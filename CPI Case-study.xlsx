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73f8247744411114/Desktop/CPI inflation/"/>
    </mc:Choice>
  </mc:AlternateContent>
  <xr:revisionPtr revIDLastSave="4" documentId="13_ncr:1_{AAD6FBE7-D835-484E-855E-783E30A2663F}" xr6:coauthVersionLast="47" xr6:coauthVersionMax="47" xr10:uidLastSave="{85DABA60-84FA-493D-BB94-FB2070BA1368}"/>
  <bookViews>
    <workbookView xWindow="-120" yWindow="-120" windowWidth="20730" windowHeight="11040" firstSheet="4" activeTab="4" xr2:uid="{DE1CFE81-B195-41A1-BE9B-B9BCA9FE0EC3}"/>
  </bookViews>
  <sheets>
    <sheet name="Raw data" sheetId="1" r:id="rId1"/>
    <sheet name="Working sheet" sheetId="4" r:id="rId2"/>
    <sheet name="Clean data" sheetId="8" r:id="rId3"/>
    <sheet name="Classification" sheetId="3" r:id="rId4"/>
    <sheet name="Case-study overview" sheetId="6" r:id="rId5"/>
    <sheet name="CPI Contribution" sheetId="10" r:id="rId6"/>
    <sheet name="YOY Analysis" sheetId="12" r:id="rId7"/>
    <sheet name="Food Inflation Analysis" sheetId="15" r:id="rId8"/>
    <sheet name="Covid inflation Analysis" sheetId="16" r:id="rId9"/>
    <sheet name="Crude oil Analysis" sheetId="17" r:id="rId10"/>
  </sheets>
  <definedNames>
    <definedName name="_xlnm._FilterDatabase" localSheetId="1" hidden="1">'Working sheet'!$A$1:$AK$373</definedName>
    <definedName name="ExternalData_1" localSheetId="5" hidden="1">'CPI Contribution'!$A$1:$E$2233</definedName>
  </definedNames>
  <calcPr calcId="191029"/>
  <pivotCaches>
    <pivotCache cacheId="0" r:id="rId11"/>
    <pivotCache cacheId="1"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7" i="16" l="1"/>
  <c r="D25" i="16"/>
  <c r="D26" i="16"/>
  <c r="AB7" i="17"/>
  <c r="AA7" i="17"/>
  <c r="Z7" i="17"/>
  <c r="Y7" i="17"/>
  <c r="X7" i="17"/>
  <c r="W7" i="17"/>
  <c r="V7" i="17"/>
  <c r="U7" i="17"/>
  <c r="T7" i="17"/>
  <c r="S7" i="17"/>
  <c r="R7" i="17"/>
  <c r="Q7" i="17"/>
  <c r="I26" i="16"/>
  <c r="B26" i="16"/>
  <c r="L21" i="16"/>
  <c r="I29" i="16" s="1"/>
  <c r="E21" i="16"/>
  <c r="B29" i="16" s="1"/>
  <c r="L20" i="16"/>
  <c r="I28" i="16" s="1"/>
  <c r="K26" i="16" s="1"/>
  <c r="E20" i="16"/>
  <c r="B28" i="16" s="1"/>
  <c r="L19" i="16"/>
  <c r="I27" i="16" s="1"/>
  <c r="E19" i="16"/>
  <c r="B27" i="16" s="1"/>
  <c r="L18" i="16"/>
  <c r="E18" i="16"/>
  <c r="L17" i="16"/>
  <c r="E17" i="16"/>
  <c r="L16" i="16"/>
  <c r="E16" i="16"/>
  <c r="L15" i="16"/>
  <c r="E15" i="16"/>
  <c r="L14" i="16"/>
  <c r="E14" i="16"/>
  <c r="L13" i="16"/>
  <c r="E13" i="16"/>
  <c r="L12" i="16"/>
  <c r="E12" i="16"/>
  <c r="L11" i="16"/>
  <c r="E11" i="16"/>
  <c r="L10" i="16"/>
  <c r="E10" i="16"/>
  <c r="L9" i="16"/>
  <c r="E9" i="16"/>
  <c r="L8" i="16"/>
  <c r="E8" i="16"/>
  <c r="L7" i="16"/>
  <c r="E7" i="16"/>
  <c r="L6" i="16"/>
  <c r="E6" i="16"/>
  <c r="L5" i="16"/>
  <c r="I25" i="16" s="1"/>
  <c r="K25" i="16" s="1"/>
  <c r="E5" i="16"/>
  <c r="B25" i="16" s="1"/>
  <c r="K27" i="16" l="1"/>
  <c r="P5" i="15" l="1"/>
  <c r="P6" i="15"/>
  <c r="P7" i="15"/>
  <c r="P8" i="15"/>
  <c r="P9" i="15"/>
  <c r="P10" i="15"/>
  <c r="P11" i="15"/>
  <c r="P12" i="15"/>
  <c r="P13" i="15"/>
  <c r="P14" i="15"/>
  <c r="P15" i="15"/>
  <c r="P16" i="15"/>
  <c r="P4" i="15"/>
  <c r="F6" i="15"/>
  <c r="F7" i="15"/>
  <c r="F8" i="15"/>
  <c r="F9" i="15"/>
  <c r="F10" i="15"/>
  <c r="F11" i="15"/>
  <c r="F12" i="15"/>
  <c r="F13" i="15"/>
  <c r="F14" i="15"/>
  <c r="F15" i="15"/>
  <c r="F5" i="15"/>
  <c r="I373" i="8"/>
  <c r="H373" i="8"/>
  <c r="G373" i="8"/>
  <c r="F373" i="8"/>
  <c r="E373" i="8"/>
  <c r="D373" i="8"/>
  <c r="I372" i="8"/>
  <c r="H372" i="8"/>
  <c r="G372" i="8"/>
  <c r="F372" i="8"/>
  <c r="E372" i="8"/>
  <c r="D372" i="8"/>
  <c r="I371" i="8"/>
  <c r="H371" i="8"/>
  <c r="G371" i="8"/>
  <c r="F371" i="8"/>
  <c r="E371" i="8"/>
  <c r="D371" i="8"/>
  <c r="I370" i="8"/>
  <c r="H370" i="8"/>
  <c r="G370" i="8"/>
  <c r="F370" i="8"/>
  <c r="E370" i="8"/>
  <c r="D370" i="8"/>
  <c r="I369" i="8"/>
  <c r="H369" i="8"/>
  <c r="G369" i="8"/>
  <c r="F369" i="8"/>
  <c r="E369" i="8"/>
  <c r="D369" i="8"/>
  <c r="I368" i="8"/>
  <c r="H368" i="8"/>
  <c r="G368" i="8"/>
  <c r="F368" i="8"/>
  <c r="E368" i="8"/>
  <c r="D368" i="8"/>
  <c r="I367" i="8"/>
  <c r="H367" i="8"/>
  <c r="G367" i="8"/>
  <c r="F367" i="8"/>
  <c r="E367" i="8"/>
  <c r="D367" i="8"/>
  <c r="I366" i="8"/>
  <c r="H366" i="8"/>
  <c r="G366" i="8"/>
  <c r="F366" i="8"/>
  <c r="E366" i="8"/>
  <c r="D366" i="8"/>
  <c r="I365" i="8"/>
  <c r="H365" i="8"/>
  <c r="G365" i="8"/>
  <c r="F365" i="8"/>
  <c r="E365" i="8"/>
  <c r="D365" i="8"/>
  <c r="I364" i="8"/>
  <c r="H364" i="8"/>
  <c r="G364" i="8"/>
  <c r="F364" i="8"/>
  <c r="E364" i="8"/>
  <c r="D364" i="8"/>
  <c r="I363" i="8"/>
  <c r="H363" i="8"/>
  <c r="G363" i="8"/>
  <c r="F363" i="8"/>
  <c r="E363" i="8"/>
  <c r="D363" i="8"/>
  <c r="I362" i="8"/>
  <c r="H362" i="8"/>
  <c r="G362" i="8"/>
  <c r="F362" i="8"/>
  <c r="E362" i="8"/>
  <c r="D362" i="8"/>
  <c r="I361" i="8"/>
  <c r="H361" i="8"/>
  <c r="G361" i="8"/>
  <c r="F361" i="8"/>
  <c r="E361" i="8"/>
  <c r="D361" i="8"/>
  <c r="I360" i="8"/>
  <c r="H360" i="8"/>
  <c r="G360" i="8"/>
  <c r="F360" i="8"/>
  <c r="E360" i="8"/>
  <c r="D360" i="8"/>
  <c r="I359" i="8"/>
  <c r="H359" i="8"/>
  <c r="G359" i="8"/>
  <c r="F359" i="8"/>
  <c r="E359" i="8"/>
  <c r="D359" i="8"/>
  <c r="I358" i="8"/>
  <c r="H358" i="8"/>
  <c r="G358" i="8"/>
  <c r="F358" i="8"/>
  <c r="E358" i="8"/>
  <c r="D358" i="8"/>
  <c r="I357" i="8"/>
  <c r="H357" i="8"/>
  <c r="G357" i="8"/>
  <c r="F357" i="8"/>
  <c r="E357" i="8"/>
  <c r="D357" i="8"/>
  <c r="I356" i="8"/>
  <c r="H356" i="8"/>
  <c r="G356" i="8"/>
  <c r="F356" i="8"/>
  <c r="E356" i="8"/>
  <c r="D356" i="8"/>
  <c r="I355" i="8"/>
  <c r="H355" i="8"/>
  <c r="G355" i="8"/>
  <c r="F355" i="8"/>
  <c r="E355" i="8"/>
  <c r="D355" i="8"/>
  <c r="I354" i="8"/>
  <c r="H354" i="8"/>
  <c r="G354" i="8"/>
  <c r="F354" i="8"/>
  <c r="E354" i="8"/>
  <c r="D354" i="8"/>
  <c r="I353" i="8"/>
  <c r="H353" i="8"/>
  <c r="G353" i="8"/>
  <c r="F353" i="8"/>
  <c r="E353" i="8"/>
  <c r="D353" i="8"/>
  <c r="I352" i="8"/>
  <c r="H352" i="8"/>
  <c r="G352" i="8"/>
  <c r="F352" i="8"/>
  <c r="E352" i="8"/>
  <c r="D352" i="8"/>
  <c r="I351" i="8"/>
  <c r="H351" i="8"/>
  <c r="G351" i="8"/>
  <c r="F351" i="8"/>
  <c r="E351" i="8"/>
  <c r="D351" i="8"/>
  <c r="I350" i="8"/>
  <c r="H350" i="8"/>
  <c r="G350" i="8"/>
  <c r="F350" i="8"/>
  <c r="E350" i="8"/>
  <c r="D350" i="8"/>
  <c r="I349" i="8"/>
  <c r="H349" i="8"/>
  <c r="G349" i="8"/>
  <c r="F349" i="8"/>
  <c r="E349" i="8"/>
  <c r="D349" i="8"/>
  <c r="I348" i="8"/>
  <c r="H348" i="8"/>
  <c r="G348" i="8"/>
  <c r="F348" i="8"/>
  <c r="E348" i="8"/>
  <c r="D348" i="8"/>
  <c r="I347" i="8"/>
  <c r="H347" i="8"/>
  <c r="G347" i="8"/>
  <c r="F347" i="8"/>
  <c r="E347" i="8"/>
  <c r="D347" i="8"/>
  <c r="I346" i="8"/>
  <c r="H346" i="8"/>
  <c r="G346" i="8"/>
  <c r="F346" i="8"/>
  <c r="E346" i="8"/>
  <c r="D346" i="8"/>
  <c r="I345" i="8"/>
  <c r="H345" i="8"/>
  <c r="G345" i="8"/>
  <c r="F345" i="8"/>
  <c r="E345" i="8"/>
  <c r="D345" i="8"/>
  <c r="I344" i="8"/>
  <c r="H344" i="8"/>
  <c r="G344" i="8"/>
  <c r="F344" i="8"/>
  <c r="E344" i="8"/>
  <c r="D344" i="8"/>
  <c r="I343" i="8"/>
  <c r="H343" i="8"/>
  <c r="G343" i="8"/>
  <c r="F343" i="8"/>
  <c r="E343" i="8"/>
  <c r="D343" i="8"/>
  <c r="I342" i="8"/>
  <c r="H342" i="8"/>
  <c r="G342" i="8"/>
  <c r="F342" i="8"/>
  <c r="E342" i="8"/>
  <c r="D342" i="8"/>
  <c r="I341" i="8"/>
  <c r="H341" i="8"/>
  <c r="G341" i="8"/>
  <c r="F341" i="8"/>
  <c r="E341" i="8"/>
  <c r="D341" i="8"/>
  <c r="I340" i="8"/>
  <c r="H340" i="8"/>
  <c r="G340" i="8"/>
  <c r="F340" i="8"/>
  <c r="E340" i="8"/>
  <c r="D340" i="8"/>
  <c r="I339" i="8"/>
  <c r="H339" i="8"/>
  <c r="G339" i="8"/>
  <c r="F339" i="8"/>
  <c r="E339" i="8"/>
  <c r="D339" i="8"/>
  <c r="I338" i="8"/>
  <c r="H338" i="8"/>
  <c r="G338" i="8"/>
  <c r="F338" i="8"/>
  <c r="E338" i="8"/>
  <c r="D338" i="8"/>
  <c r="I337" i="8"/>
  <c r="H337" i="8"/>
  <c r="G337" i="8"/>
  <c r="F337" i="8"/>
  <c r="E337" i="8"/>
  <c r="D337" i="8"/>
  <c r="I336" i="8"/>
  <c r="H336" i="8"/>
  <c r="G336" i="8"/>
  <c r="F336" i="8"/>
  <c r="E336" i="8"/>
  <c r="D336" i="8"/>
  <c r="I335" i="8"/>
  <c r="H335" i="8"/>
  <c r="G335" i="8"/>
  <c r="F335" i="8"/>
  <c r="E335" i="8"/>
  <c r="D335" i="8"/>
  <c r="I334" i="8"/>
  <c r="H334" i="8"/>
  <c r="G334" i="8"/>
  <c r="F334" i="8"/>
  <c r="E334" i="8"/>
  <c r="D334" i="8"/>
  <c r="I333" i="8"/>
  <c r="H333" i="8"/>
  <c r="G333" i="8"/>
  <c r="F333" i="8"/>
  <c r="E333" i="8"/>
  <c r="D333" i="8"/>
  <c r="I332" i="8"/>
  <c r="H332" i="8"/>
  <c r="G332" i="8"/>
  <c r="F332" i="8"/>
  <c r="E332" i="8"/>
  <c r="D332" i="8"/>
  <c r="I331" i="8"/>
  <c r="H331" i="8"/>
  <c r="G331" i="8"/>
  <c r="F331" i="8"/>
  <c r="E331" i="8"/>
  <c r="D331" i="8"/>
  <c r="I330" i="8"/>
  <c r="H330" i="8"/>
  <c r="G330" i="8"/>
  <c r="F330" i="8"/>
  <c r="E330" i="8"/>
  <c r="D330" i="8"/>
  <c r="I329" i="8"/>
  <c r="H329" i="8"/>
  <c r="G329" i="8"/>
  <c r="F329" i="8"/>
  <c r="E329" i="8"/>
  <c r="D329" i="8"/>
  <c r="I328" i="8"/>
  <c r="H328" i="8"/>
  <c r="G328" i="8"/>
  <c r="F328" i="8"/>
  <c r="E328" i="8"/>
  <c r="D328" i="8"/>
  <c r="I327" i="8"/>
  <c r="H327" i="8"/>
  <c r="G327" i="8"/>
  <c r="F327" i="8"/>
  <c r="E327" i="8"/>
  <c r="D327" i="8"/>
  <c r="I326" i="8"/>
  <c r="H326" i="8"/>
  <c r="G326" i="8"/>
  <c r="F326" i="8"/>
  <c r="E326" i="8"/>
  <c r="D326" i="8"/>
  <c r="I325" i="8"/>
  <c r="H325" i="8"/>
  <c r="G325" i="8"/>
  <c r="F325" i="8"/>
  <c r="E325" i="8"/>
  <c r="D325" i="8"/>
  <c r="I324" i="8"/>
  <c r="H324" i="8"/>
  <c r="G324" i="8"/>
  <c r="F324" i="8"/>
  <c r="E324" i="8"/>
  <c r="D324" i="8"/>
  <c r="I323" i="8"/>
  <c r="H323" i="8"/>
  <c r="G323" i="8"/>
  <c r="F323" i="8"/>
  <c r="E323" i="8"/>
  <c r="D323" i="8"/>
  <c r="I322" i="8"/>
  <c r="H322" i="8"/>
  <c r="G322" i="8"/>
  <c r="F322" i="8"/>
  <c r="E322" i="8"/>
  <c r="D322" i="8"/>
  <c r="I321" i="8"/>
  <c r="H321" i="8"/>
  <c r="G321" i="8"/>
  <c r="F321" i="8"/>
  <c r="E321" i="8"/>
  <c r="D321" i="8"/>
  <c r="I320" i="8"/>
  <c r="H320" i="8"/>
  <c r="G320" i="8"/>
  <c r="F320" i="8"/>
  <c r="E320" i="8"/>
  <c r="D320" i="8"/>
  <c r="I319" i="8"/>
  <c r="H319" i="8"/>
  <c r="G319" i="8"/>
  <c r="F319" i="8"/>
  <c r="E319" i="8"/>
  <c r="D319" i="8"/>
  <c r="I318" i="8"/>
  <c r="H318" i="8"/>
  <c r="G318" i="8"/>
  <c r="F318" i="8"/>
  <c r="E318" i="8"/>
  <c r="D318" i="8"/>
  <c r="I317" i="8"/>
  <c r="H317" i="8"/>
  <c r="G317" i="8"/>
  <c r="F317" i="8"/>
  <c r="E317" i="8"/>
  <c r="D317" i="8"/>
  <c r="I316" i="8"/>
  <c r="H316" i="8"/>
  <c r="G316" i="8"/>
  <c r="F316" i="8"/>
  <c r="E316" i="8"/>
  <c r="D316" i="8"/>
  <c r="I315" i="8"/>
  <c r="H315" i="8"/>
  <c r="G315" i="8"/>
  <c r="F315" i="8"/>
  <c r="E315" i="8"/>
  <c r="D315" i="8"/>
  <c r="I314" i="8"/>
  <c r="H314" i="8"/>
  <c r="G314" i="8"/>
  <c r="F314" i="8"/>
  <c r="E314" i="8"/>
  <c r="D314" i="8"/>
  <c r="I313" i="8"/>
  <c r="H313" i="8"/>
  <c r="G313" i="8"/>
  <c r="F313" i="8"/>
  <c r="E313" i="8"/>
  <c r="D313" i="8"/>
  <c r="I312" i="8"/>
  <c r="H312" i="8"/>
  <c r="G312" i="8"/>
  <c r="F312" i="8"/>
  <c r="E312" i="8"/>
  <c r="D312" i="8"/>
  <c r="I311" i="8"/>
  <c r="H311" i="8"/>
  <c r="G311" i="8"/>
  <c r="F311" i="8"/>
  <c r="E311" i="8"/>
  <c r="D311" i="8"/>
  <c r="I310" i="8"/>
  <c r="H310" i="8"/>
  <c r="G310" i="8"/>
  <c r="F310" i="8"/>
  <c r="E310" i="8"/>
  <c r="D310" i="8"/>
  <c r="I309" i="8"/>
  <c r="H309" i="8"/>
  <c r="G309" i="8"/>
  <c r="F309" i="8"/>
  <c r="E309" i="8"/>
  <c r="D309" i="8"/>
  <c r="I308" i="8"/>
  <c r="H308" i="8"/>
  <c r="G308" i="8"/>
  <c r="F308" i="8"/>
  <c r="E308" i="8"/>
  <c r="D308" i="8"/>
  <c r="I307" i="8"/>
  <c r="H307" i="8"/>
  <c r="G307" i="8"/>
  <c r="F307" i="8"/>
  <c r="E307" i="8"/>
  <c r="D307" i="8"/>
  <c r="I306" i="8"/>
  <c r="H306" i="8"/>
  <c r="G306" i="8"/>
  <c r="F306" i="8"/>
  <c r="E306" i="8"/>
  <c r="D306" i="8"/>
  <c r="I305" i="8"/>
  <c r="H305" i="8"/>
  <c r="G305" i="8"/>
  <c r="F305" i="8"/>
  <c r="E305" i="8"/>
  <c r="D305" i="8"/>
  <c r="I304" i="8"/>
  <c r="H304" i="8"/>
  <c r="G304" i="8"/>
  <c r="F304" i="8"/>
  <c r="E304" i="8"/>
  <c r="D304" i="8"/>
  <c r="I303" i="8"/>
  <c r="H303" i="8"/>
  <c r="G303" i="8"/>
  <c r="F303" i="8"/>
  <c r="E303" i="8"/>
  <c r="D303" i="8"/>
  <c r="I302" i="8"/>
  <c r="H302" i="8"/>
  <c r="G302" i="8"/>
  <c r="F302" i="8"/>
  <c r="E302" i="8"/>
  <c r="D302" i="8"/>
  <c r="I301" i="8"/>
  <c r="H301" i="8"/>
  <c r="G301" i="8"/>
  <c r="F301" i="8"/>
  <c r="E301" i="8"/>
  <c r="D301" i="8"/>
  <c r="I300" i="8"/>
  <c r="H300" i="8"/>
  <c r="G300" i="8"/>
  <c r="F300" i="8"/>
  <c r="E300" i="8"/>
  <c r="D300" i="8"/>
  <c r="I299" i="8"/>
  <c r="H299" i="8"/>
  <c r="G299" i="8"/>
  <c r="F299" i="8"/>
  <c r="E299" i="8"/>
  <c r="D299" i="8"/>
  <c r="I298" i="8"/>
  <c r="H298" i="8"/>
  <c r="G298" i="8"/>
  <c r="F298" i="8"/>
  <c r="E298" i="8"/>
  <c r="D298" i="8"/>
  <c r="I297" i="8"/>
  <c r="H297" i="8"/>
  <c r="G297" i="8"/>
  <c r="F297" i="8"/>
  <c r="E297" i="8"/>
  <c r="D297" i="8"/>
  <c r="I296" i="8"/>
  <c r="H296" i="8"/>
  <c r="G296" i="8"/>
  <c r="F296" i="8"/>
  <c r="E296" i="8"/>
  <c r="D296" i="8"/>
  <c r="I295" i="8"/>
  <c r="H295" i="8"/>
  <c r="G295" i="8"/>
  <c r="F295" i="8"/>
  <c r="E295" i="8"/>
  <c r="D295" i="8"/>
  <c r="I294" i="8"/>
  <c r="H294" i="8"/>
  <c r="G294" i="8"/>
  <c r="F294" i="8"/>
  <c r="E294" i="8"/>
  <c r="D294" i="8"/>
  <c r="I293" i="8"/>
  <c r="H293" i="8"/>
  <c r="G293" i="8"/>
  <c r="F293" i="8"/>
  <c r="E293" i="8"/>
  <c r="D293" i="8"/>
  <c r="I292" i="8"/>
  <c r="H292" i="8"/>
  <c r="G292" i="8"/>
  <c r="F292" i="8"/>
  <c r="E292" i="8"/>
  <c r="D292" i="8"/>
  <c r="I291" i="8"/>
  <c r="H291" i="8"/>
  <c r="G291" i="8"/>
  <c r="F291" i="8"/>
  <c r="E291" i="8"/>
  <c r="D291" i="8"/>
  <c r="I290" i="8"/>
  <c r="H290" i="8"/>
  <c r="G290" i="8"/>
  <c r="F290" i="8"/>
  <c r="E290" i="8"/>
  <c r="D290" i="8"/>
  <c r="I289" i="8"/>
  <c r="H289" i="8"/>
  <c r="G289" i="8"/>
  <c r="F289" i="8"/>
  <c r="E289" i="8"/>
  <c r="D289" i="8"/>
  <c r="I288" i="8"/>
  <c r="H288" i="8"/>
  <c r="G288" i="8"/>
  <c r="F288" i="8"/>
  <c r="E288" i="8"/>
  <c r="D288" i="8"/>
  <c r="I287" i="8"/>
  <c r="H287" i="8"/>
  <c r="G287" i="8"/>
  <c r="F287" i="8"/>
  <c r="E287" i="8"/>
  <c r="D287" i="8"/>
  <c r="I286" i="8"/>
  <c r="H286" i="8"/>
  <c r="G286" i="8"/>
  <c r="F286" i="8"/>
  <c r="E286" i="8"/>
  <c r="D286" i="8"/>
  <c r="I285" i="8"/>
  <c r="H285" i="8"/>
  <c r="G285" i="8"/>
  <c r="F285" i="8"/>
  <c r="E285" i="8"/>
  <c r="D285" i="8"/>
  <c r="I284" i="8"/>
  <c r="H284" i="8"/>
  <c r="G284" i="8"/>
  <c r="F284" i="8"/>
  <c r="E284" i="8"/>
  <c r="D284" i="8"/>
  <c r="I283" i="8"/>
  <c r="H283" i="8"/>
  <c r="G283" i="8"/>
  <c r="F283" i="8"/>
  <c r="E283" i="8"/>
  <c r="D283" i="8"/>
  <c r="I282" i="8"/>
  <c r="H282" i="8"/>
  <c r="G282" i="8"/>
  <c r="F282" i="8"/>
  <c r="E282" i="8"/>
  <c r="D282" i="8"/>
  <c r="I281" i="8"/>
  <c r="H281" i="8"/>
  <c r="G281" i="8"/>
  <c r="F281" i="8"/>
  <c r="E281" i="8"/>
  <c r="D281" i="8"/>
  <c r="I280" i="8"/>
  <c r="H280" i="8"/>
  <c r="G280" i="8"/>
  <c r="F280" i="8"/>
  <c r="E280" i="8"/>
  <c r="D280" i="8"/>
  <c r="I279" i="8"/>
  <c r="H279" i="8"/>
  <c r="G279" i="8"/>
  <c r="F279" i="8"/>
  <c r="E279" i="8"/>
  <c r="D279" i="8"/>
  <c r="I278" i="8"/>
  <c r="H278" i="8"/>
  <c r="G278" i="8"/>
  <c r="F278" i="8"/>
  <c r="E278" i="8"/>
  <c r="D278" i="8"/>
  <c r="I277" i="8"/>
  <c r="H277" i="8"/>
  <c r="G277" i="8"/>
  <c r="F277" i="8"/>
  <c r="E277" i="8"/>
  <c r="D277" i="8"/>
  <c r="I276" i="8"/>
  <c r="H276" i="8"/>
  <c r="G276" i="8"/>
  <c r="F276" i="8"/>
  <c r="E276" i="8"/>
  <c r="D276" i="8"/>
  <c r="I275" i="8"/>
  <c r="H275" i="8"/>
  <c r="G275" i="8"/>
  <c r="F275" i="8"/>
  <c r="E275" i="8"/>
  <c r="D275" i="8"/>
  <c r="I274" i="8"/>
  <c r="H274" i="8"/>
  <c r="G274" i="8"/>
  <c r="F274" i="8"/>
  <c r="E274" i="8"/>
  <c r="D274" i="8"/>
  <c r="I273" i="8"/>
  <c r="H273" i="8"/>
  <c r="G273" i="8"/>
  <c r="F273" i="8"/>
  <c r="E273" i="8"/>
  <c r="D273" i="8"/>
  <c r="I272" i="8"/>
  <c r="H272" i="8"/>
  <c r="G272" i="8"/>
  <c r="F272" i="8"/>
  <c r="E272" i="8"/>
  <c r="D272" i="8"/>
  <c r="I271" i="8"/>
  <c r="H271" i="8"/>
  <c r="G271" i="8"/>
  <c r="F271" i="8"/>
  <c r="E271" i="8"/>
  <c r="D271" i="8"/>
  <c r="I270" i="8"/>
  <c r="H270" i="8"/>
  <c r="G270" i="8"/>
  <c r="F270" i="8"/>
  <c r="E270" i="8"/>
  <c r="D270" i="8"/>
  <c r="I269" i="8"/>
  <c r="H269" i="8"/>
  <c r="G269" i="8"/>
  <c r="F269" i="8"/>
  <c r="E269" i="8"/>
  <c r="D269" i="8"/>
  <c r="I268" i="8"/>
  <c r="H268" i="8"/>
  <c r="G268" i="8"/>
  <c r="F268" i="8"/>
  <c r="E268" i="8"/>
  <c r="D268" i="8"/>
  <c r="I267" i="8"/>
  <c r="H267" i="8"/>
  <c r="G267" i="8"/>
  <c r="F267" i="8"/>
  <c r="E267" i="8"/>
  <c r="D267" i="8"/>
  <c r="I266" i="8"/>
  <c r="H266" i="8"/>
  <c r="G266" i="8"/>
  <c r="F266" i="8"/>
  <c r="E266" i="8"/>
  <c r="D266" i="8"/>
  <c r="I265" i="8"/>
  <c r="H265" i="8"/>
  <c r="G265" i="8"/>
  <c r="F265" i="8"/>
  <c r="E265" i="8"/>
  <c r="D265" i="8"/>
  <c r="I264" i="8"/>
  <c r="H264" i="8"/>
  <c r="G264" i="8"/>
  <c r="F264" i="8"/>
  <c r="E264" i="8"/>
  <c r="D264" i="8"/>
  <c r="I263" i="8"/>
  <c r="H263" i="8"/>
  <c r="G263" i="8"/>
  <c r="F263" i="8"/>
  <c r="E263" i="8"/>
  <c r="D263" i="8"/>
  <c r="I262" i="8"/>
  <c r="H262" i="8"/>
  <c r="G262" i="8"/>
  <c r="F262" i="8"/>
  <c r="E262" i="8"/>
  <c r="D262" i="8"/>
  <c r="I261" i="8"/>
  <c r="H261" i="8"/>
  <c r="G261" i="8"/>
  <c r="F261" i="8"/>
  <c r="E261" i="8"/>
  <c r="D261" i="8"/>
  <c r="I260" i="8"/>
  <c r="H260" i="8"/>
  <c r="G260" i="8"/>
  <c r="F260" i="8"/>
  <c r="E260" i="8"/>
  <c r="D260" i="8"/>
  <c r="I259" i="8"/>
  <c r="H259" i="8"/>
  <c r="G259" i="8"/>
  <c r="F259" i="8"/>
  <c r="E259" i="8"/>
  <c r="D259" i="8"/>
  <c r="I258" i="8"/>
  <c r="H258" i="8"/>
  <c r="G258" i="8"/>
  <c r="F258" i="8"/>
  <c r="E258" i="8"/>
  <c r="D258" i="8"/>
  <c r="I257" i="8"/>
  <c r="H257" i="8"/>
  <c r="G257" i="8"/>
  <c r="F257" i="8"/>
  <c r="E257" i="8"/>
  <c r="D257" i="8"/>
  <c r="I256" i="8"/>
  <c r="H256" i="8"/>
  <c r="G256" i="8"/>
  <c r="F256" i="8"/>
  <c r="E256" i="8"/>
  <c r="D256" i="8"/>
  <c r="I255" i="8"/>
  <c r="H255" i="8"/>
  <c r="G255" i="8"/>
  <c r="F255" i="8"/>
  <c r="E255" i="8"/>
  <c r="D255" i="8"/>
  <c r="I254" i="8"/>
  <c r="H254" i="8"/>
  <c r="G254" i="8"/>
  <c r="F254" i="8"/>
  <c r="E254" i="8"/>
  <c r="D254" i="8"/>
  <c r="I253" i="8"/>
  <c r="H253" i="8"/>
  <c r="G253" i="8"/>
  <c r="F253" i="8"/>
  <c r="E253" i="8"/>
  <c r="D253" i="8"/>
  <c r="I252" i="8"/>
  <c r="H252" i="8"/>
  <c r="G252" i="8"/>
  <c r="F252" i="8"/>
  <c r="E252" i="8"/>
  <c r="D252" i="8"/>
  <c r="I251" i="8"/>
  <c r="H251" i="8"/>
  <c r="G251" i="8"/>
  <c r="F251" i="8"/>
  <c r="E251" i="8"/>
  <c r="D251" i="8"/>
  <c r="I250" i="8"/>
  <c r="H250" i="8"/>
  <c r="G250" i="8"/>
  <c r="F250" i="8"/>
  <c r="E250" i="8"/>
  <c r="D250" i="8"/>
  <c r="I249" i="8"/>
  <c r="H249" i="8"/>
  <c r="G249" i="8"/>
  <c r="F249" i="8"/>
  <c r="E249" i="8"/>
  <c r="D249" i="8"/>
  <c r="I248" i="8"/>
  <c r="H248" i="8"/>
  <c r="G248" i="8"/>
  <c r="F248" i="8"/>
  <c r="E248" i="8"/>
  <c r="D248" i="8"/>
  <c r="I247" i="8"/>
  <c r="H247" i="8"/>
  <c r="G247" i="8"/>
  <c r="F247" i="8"/>
  <c r="E247" i="8"/>
  <c r="D247" i="8"/>
  <c r="I246" i="8"/>
  <c r="H246" i="8"/>
  <c r="G246" i="8"/>
  <c r="F246" i="8"/>
  <c r="E246" i="8"/>
  <c r="D246" i="8"/>
  <c r="I245" i="8"/>
  <c r="H245" i="8"/>
  <c r="G245" i="8"/>
  <c r="F245" i="8"/>
  <c r="E245" i="8"/>
  <c r="D245" i="8"/>
  <c r="I244" i="8"/>
  <c r="H244" i="8"/>
  <c r="G244" i="8"/>
  <c r="F244" i="8"/>
  <c r="E244" i="8"/>
  <c r="D244" i="8"/>
  <c r="I243" i="8"/>
  <c r="H243" i="8"/>
  <c r="G243" i="8"/>
  <c r="F243" i="8"/>
  <c r="E243" i="8"/>
  <c r="D243" i="8"/>
  <c r="I242" i="8"/>
  <c r="H242" i="8"/>
  <c r="G242" i="8"/>
  <c r="F242" i="8"/>
  <c r="E242" i="8"/>
  <c r="D242" i="8"/>
  <c r="I241" i="8"/>
  <c r="H241" i="8"/>
  <c r="G241" i="8"/>
  <c r="F241" i="8"/>
  <c r="E241" i="8"/>
  <c r="D241" i="8"/>
  <c r="I240" i="8"/>
  <c r="H240" i="8"/>
  <c r="G240" i="8"/>
  <c r="F240" i="8"/>
  <c r="E240" i="8"/>
  <c r="D240" i="8"/>
  <c r="I239" i="8"/>
  <c r="H239" i="8"/>
  <c r="G239" i="8"/>
  <c r="F239" i="8"/>
  <c r="E239" i="8"/>
  <c r="D239" i="8"/>
  <c r="I238" i="8"/>
  <c r="H238" i="8"/>
  <c r="G238" i="8"/>
  <c r="F238" i="8"/>
  <c r="E238" i="8"/>
  <c r="D238" i="8"/>
  <c r="I237" i="8"/>
  <c r="H237" i="8"/>
  <c r="G237" i="8"/>
  <c r="F237" i="8"/>
  <c r="E237" i="8"/>
  <c r="D237" i="8"/>
  <c r="I236" i="8"/>
  <c r="H236" i="8"/>
  <c r="G236" i="8"/>
  <c r="F236" i="8"/>
  <c r="E236" i="8"/>
  <c r="D236" i="8"/>
  <c r="I235" i="8"/>
  <c r="H235" i="8"/>
  <c r="G235" i="8"/>
  <c r="F235" i="8"/>
  <c r="E235" i="8"/>
  <c r="D235" i="8"/>
  <c r="I234" i="8"/>
  <c r="H234" i="8"/>
  <c r="G234" i="8"/>
  <c r="F234" i="8"/>
  <c r="E234" i="8"/>
  <c r="D234" i="8"/>
  <c r="I233" i="8"/>
  <c r="H233" i="8"/>
  <c r="G233" i="8"/>
  <c r="F233" i="8"/>
  <c r="E233" i="8"/>
  <c r="D233" i="8"/>
  <c r="I232" i="8"/>
  <c r="H232" i="8"/>
  <c r="G232" i="8"/>
  <c r="F232" i="8"/>
  <c r="E232" i="8"/>
  <c r="D232" i="8"/>
  <c r="I231" i="8"/>
  <c r="H231" i="8"/>
  <c r="G231" i="8"/>
  <c r="F231" i="8"/>
  <c r="E231" i="8"/>
  <c r="D231" i="8"/>
  <c r="I230" i="8"/>
  <c r="H230" i="8"/>
  <c r="G230" i="8"/>
  <c r="F230" i="8"/>
  <c r="E230" i="8"/>
  <c r="D230" i="8"/>
  <c r="I229" i="8"/>
  <c r="H229" i="8"/>
  <c r="G229" i="8"/>
  <c r="F229" i="8"/>
  <c r="E229" i="8"/>
  <c r="D229" i="8"/>
  <c r="I228" i="8"/>
  <c r="H228" i="8"/>
  <c r="G228" i="8"/>
  <c r="F228" i="8"/>
  <c r="E228" i="8"/>
  <c r="D228" i="8"/>
  <c r="I227" i="8"/>
  <c r="H227" i="8"/>
  <c r="G227" i="8"/>
  <c r="F227" i="8"/>
  <c r="E227" i="8"/>
  <c r="D227" i="8"/>
  <c r="I226" i="8"/>
  <c r="H226" i="8"/>
  <c r="G226" i="8"/>
  <c r="F226" i="8"/>
  <c r="E226" i="8"/>
  <c r="D226" i="8"/>
  <c r="I225" i="8"/>
  <c r="H225" i="8"/>
  <c r="G225" i="8"/>
  <c r="F225" i="8"/>
  <c r="E225" i="8"/>
  <c r="D225" i="8"/>
  <c r="I224" i="8"/>
  <c r="H224" i="8"/>
  <c r="G224" i="8"/>
  <c r="F224" i="8"/>
  <c r="E224" i="8"/>
  <c r="D224" i="8"/>
  <c r="I223" i="8"/>
  <c r="H223" i="8"/>
  <c r="G223" i="8"/>
  <c r="F223" i="8"/>
  <c r="E223" i="8"/>
  <c r="D223" i="8"/>
  <c r="I222" i="8"/>
  <c r="H222" i="8"/>
  <c r="G222" i="8"/>
  <c r="F222" i="8"/>
  <c r="E222" i="8"/>
  <c r="D222" i="8"/>
  <c r="I221" i="8"/>
  <c r="H221" i="8"/>
  <c r="G221" i="8"/>
  <c r="F221" i="8"/>
  <c r="E221" i="8"/>
  <c r="D221" i="8"/>
  <c r="I220" i="8"/>
  <c r="H220" i="8"/>
  <c r="G220" i="8"/>
  <c r="F220" i="8"/>
  <c r="E220" i="8"/>
  <c r="D220" i="8"/>
  <c r="I219" i="8"/>
  <c r="H219" i="8"/>
  <c r="G219" i="8"/>
  <c r="F219" i="8"/>
  <c r="E219" i="8"/>
  <c r="D219" i="8"/>
  <c r="I218" i="8"/>
  <c r="H218" i="8"/>
  <c r="G218" i="8"/>
  <c r="F218" i="8"/>
  <c r="E218" i="8"/>
  <c r="D218" i="8"/>
  <c r="I217" i="8"/>
  <c r="H217" i="8"/>
  <c r="G217" i="8"/>
  <c r="F217" i="8"/>
  <c r="E217" i="8"/>
  <c r="D217" i="8"/>
  <c r="I216" i="8"/>
  <c r="H216" i="8"/>
  <c r="G216" i="8"/>
  <c r="F216" i="8"/>
  <c r="E216" i="8"/>
  <c r="D216" i="8"/>
  <c r="I215" i="8"/>
  <c r="H215" i="8"/>
  <c r="G215" i="8"/>
  <c r="F215" i="8"/>
  <c r="E215" i="8"/>
  <c r="D215" i="8"/>
  <c r="I214" i="8"/>
  <c r="H214" i="8"/>
  <c r="G214" i="8"/>
  <c r="F214" i="8"/>
  <c r="E214" i="8"/>
  <c r="D214" i="8"/>
  <c r="I213" i="8"/>
  <c r="H213" i="8"/>
  <c r="G213" i="8"/>
  <c r="F213" i="8"/>
  <c r="E213" i="8"/>
  <c r="D213" i="8"/>
  <c r="I212" i="8"/>
  <c r="H212" i="8"/>
  <c r="G212" i="8"/>
  <c r="F212" i="8"/>
  <c r="E212" i="8"/>
  <c r="D212" i="8"/>
  <c r="I211" i="8"/>
  <c r="H211" i="8"/>
  <c r="G211" i="8"/>
  <c r="F211" i="8"/>
  <c r="E211" i="8"/>
  <c r="D211" i="8"/>
  <c r="I210" i="8"/>
  <c r="H210" i="8"/>
  <c r="G210" i="8"/>
  <c r="F210" i="8"/>
  <c r="E210" i="8"/>
  <c r="D210" i="8"/>
  <c r="I209" i="8"/>
  <c r="H209" i="8"/>
  <c r="G209" i="8"/>
  <c r="F209" i="8"/>
  <c r="E209" i="8"/>
  <c r="D209" i="8"/>
  <c r="I208" i="8"/>
  <c r="H208" i="8"/>
  <c r="G208" i="8"/>
  <c r="F208" i="8"/>
  <c r="E208" i="8"/>
  <c r="D208" i="8"/>
  <c r="I207" i="8"/>
  <c r="H207" i="8"/>
  <c r="G207" i="8"/>
  <c r="F207" i="8"/>
  <c r="E207" i="8"/>
  <c r="D207" i="8"/>
  <c r="I206" i="8"/>
  <c r="H206" i="8"/>
  <c r="G206" i="8"/>
  <c r="F206" i="8"/>
  <c r="E206" i="8"/>
  <c r="D206" i="8"/>
  <c r="I205" i="8"/>
  <c r="H205" i="8"/>
  <c r="G205" i="8"/>
  <c r="F205" i="8"/>
  <c r="E205" i="8"/>
  <c r="D205" i="8"/>
  <c r="I204" i="8"/>
  <c r="H204" i="8"/>
  <c r="G204" i="8"/>
  <c r="F204" i="8"/>
  <c r="E204" i="8"/>
  <c r="D204" i="8"/>
  <c r="I203" i="8"/>
  <c r="H203" i="8"/>
  <c r="G203" i="8"/>
  <c r="F203" i="8"/>
  <c r="E203" i="8"/>
  <c r="D203" i="8"/>
  <c r="I202" i="8"/>
  <c r="H202" i="8"/>
  <c r="G202" i="8"/>
  <c r="F202" i="8"/>
  <c r="E202" i="8"/>
  <c r="D202" i="8"/>
  <c r="I201" i="8"/>
  <c r="H201" i="8"/>
  <c r="G201" i="8"/>
  <c r="F201" i="8"/>
  <c r="E201" i="8"/>
  <c r="D201" i="8"/>
  <c r="I200" i="8"/>
  <c r="H200" i="8"/>
  <c r="G200" i="8"/>
  <c r="F200" i="8"/>
  <c r="E200" i="8"/>
  <c r="D200" i="8"/>
  <c r="I199" i="8"/>
  <c r="H199" i="8"/>
  <c r="G199" i="8"/>
  <c r="F199" i="8"/>
  <c r="E199" i="8"/>
  <c r="D199" i="8"/>
  <c r="I198" i="8"/>
  <c r="H198" i="8"/>
  <c r="G198" i="8"/>
  <c r="F198" i="8"/>
  <c r="E198" i="8"/>
  <c r="D198" i="8"/>
  <c r="I197" i="8"/>
  <c r="H197" i="8"/>
  <c r="G197" i="8"/>
  <c r="F197" i="8"/>
  <c r="E197" i="8"/>
  <c r="D197" i="8"/>
  <c r="I196" i="8"/>
  <c r="H196" i="8"/>
  <c r="G196" i="8"/>
  <c r="F196" i="8"/>
  <c r="E196" i="8"/>
  <c r="D196" i="8"/>
  <c r="I195" i="8"/>
  <c r="H195" i="8"/>
  <c r="G195" i="8"/>
  <c r="F195" i="8"/>
  <c r="E195" i="8"/>
  <c r="D195" i="8"/>
  <c r="I194" i="8"/>
  <c r="H194" i="8"/>
  <c r="G194" i="8"/>
  <c r="F194" i="8"/>
  <c r="E194" i="8"/>
  <c r="D194" i="8"/>
  <c r="I193" i="8"/>
  <c r="H193" i="8"/>
  <c r="G193" i="8"/>
  <c r="F193" i="8"/>
  <c r="E193" i="8"/>
  <c r="D193" i="8"/>
  <c r="I192" i="8"/>
  <c r="H192" i="8"/>
  <c r="G192" i="8"/>
  <c r="F192" i="8"/>
  <c r="E192" i="8"/>
  <c r="D192" i="8"/>
  <c r="I191" i="8"/>
  <c r="H191" i="8"/>
  <c r="G191" i="8"/>
  <c r="F191" i="8"/>
  <c r="E191" i="8"/>
  <c r="D191" i="8"/>
  <c r="I190" i="8"/>
  <c r="H190" i="8"/>
  <c r="G190" i="8"/>
  <c r="F190" i="8"/>
  <c r="E190" i="8"/>
  <c r="D190" i="8"/>
  <c r="I189" i="8"/>
  <c r="H189" i="8"/>
  <c r="G189" i="8"/>
  <c r="F189" i="8"/>
  <c r="E189" i="8"/>
  <c r="D189" i="8"/>
  <c r="I188" i="8"/>
  <c r="H188" i="8"/>
  <c r="G188" i="8"/>
  <c r="F188" i="8"/>
  <c r="E188" i="8"/>
  <c r="D188" i="8"/>
  <c r="I187" i="8"/>
  <c r="H187" i="8"/>
  <c r="G187" i="8"/>
  <c r="F187" i="8"/>
  <c r="E187" i="8"/>
  <c r="D187" i="8"/>
  <c r="I186" i="8"/>
  <c r="H186" i="8"/>
  <c r="G186" i="8"/>
  <c r="F186" i="8"/>
  <c r="E186" i="8"/>
  <c r="D186" i="8"/>
  <c r="I185" i="8"/>
  <c r="H185" i="8"/>
  <c r="G185" i="8"/>
  <c r="F185" i="8"/>
  <c r="E185" i="8"/>
  <c r="D185" i="8"/>
  <c r="I184" i="8"/>
  <c r="H184" i="8"/>
  <c r="G184" i="8"/>
  <c r="F184" i="8"/>
  <c r="E184" i="8"/>
  <c r="D184" i="8"/>
  <c r="I183" i="8"/>
  <c r="H183" i="8"/>
  <c r="G183" i="8"/>
  <c r="F183" i="8"/>
  <c r="E183" i="8"/>
  <c r="D183" i="8"/>
  <c r="I182" i="8"/>
  <c r="H182" i="8"/>
  <c r="G182" i="8"/>
  <c r="F182" i="8"/>
  <c r="E182" i="8"/>
  <c r="D182" i="8"/>
  <c r="I181" i="8"/>
  <c r="H181" i="8"/>
  <c r="G181" i="8"/>
  <c r="F181" i="8"/>
  <c r="E181" i="8"/>
  <c r="D181" i="8"/>
  <c r="I180" i="8"/>
  <c r="H180" i="8"/>
  <c r="G180" i="8"/>
  <c r="F180" i="8"/>
  <c r="E180" i="8"/>
  <c r="D180" i="8"/>
  <c r="I179" i="8"/>
  <c r="H179" i="8"/>
  <c r="G179" i="8"/>
  <c r="F179" i="8"/>
  <c r="E179" i="8"/>
  <c r="D179" i="8"/>
  <c r="I178" i="8"/>
  <c r="H178" i="8"/>
  <c r="G178" i="8"/>
  <c r="F178" i="8"/>
  <c r="E178" i="8"/>
  <c r="D178" i="8"/>
  <c r="I177" i="8"/>
  <c r="H177" i="8"/>
  <c r="G177" i="8"/>
  <c r="F177" i="8"/>
  <c r="E177" i="8"/>
  <c r="D177" i="8"/>
  <c r="I176" i="8"/>
  <c r="H176" i="8"/>
  <c r="G176" i="8"/>
  <c r="F176" i="8"/>
  <c r="E176" i="8"/>
  <c r="D176" i="8"/>
  <c r="I175" i="8"/>
  <c r="H175" i="8"/>
  <c r="G175" i="8"/>
  <c r="F175" i="8"/>
  <c r="E175" i="8"/>
  <c r="D175" i="8"/>
  <c r="I174" i="8"/>
  <c r="H174" i="8"/>
  <c r="G174" i="8"/>
  <c r="F174" i="8"/>
  <c r="E174" i="8"/>
  <c r="D174" i="8"/>
  <c r="I173" i="8"/>
  <c r="H173" i="8"/>
  <c r="G173" i="8"/>
  <c r="F173" i="8"/>
  <c r="E173" i="8"/>
  <c r="D173" i="8"/>
  <c r="I172" i="8"/>
  <c r="H172" i="8"/>
  <c r="G172" i="8"/>
  <c r="F172" i="8"/>
  <c r="E172" i="8"/>
  <c r="D172" i="8"/>
  <c r="I171" i="8"/>
  <c r="H171" i="8"/>
  <c r="G171" i="8"/>
  <c r="F171" i="8"/>
  <c r="E171" i="8"/>
  <c r="D171" i="8"/>
  <c r="I170" i="8"/>
  <c r="H170" i="8"/>
  <c r="G170" i="8"/>
  <c r="F170" i="8"/>
  <c r="E170" i="8"/>
  <c r="D170" i="8"/>
  <c r="I169" i="8"/>
  <c r="H169" i="8"/>
  <c r="G169" i="8"/>
  <c r="F169" i="8"/>
  <c r="E169" i="8"/>
  <c r="D169" i="8"/>
  <c r="I168" i="8"/>
  <c r="H168" i="8"/>
  <c r="G168" i="8"/>
  <c r="F168" i="8"/>
  <c r="E168" i="8"/>
  <c r="D168" i="8"/>
  <c r="I167" i="8"/>
  <c r="H167" i="8"/>
  <c r="G167" i="8"/>
  <c r="F167" i="8"/>
  <c r="E167" i="8"/>
  <c r="D167" i="8"/>
  <c r="I166" i="8"/>
  <c r="H166" i="8"/>
  <c r="G166" i="8"/>
  <c r="F166" i="8"/>
  <c r="E166" i="8"/>
  <c r="D166" i="8"/>
  <c r="I165" i="8"/>
  <c r="H165" i="8"/>
  <c r="G165" i="8"/>
  <c r="F165" i="8"/>
  <c r="E165" i="8"/>
  <c r="D165" i="8"/>
  <c r="I164" i="8"/>
  <c r="H164" i="8"/>
  <c r="G164" i="8"/>
  <c r="F164" i="8"/>
  <c r="E164" i="8"/>
  <c r="D164" i="8"/>
  <c r="I163" i="8"/>
  <c r="H163" i="8"/>
  <c r="G163" i="8"/>
  <c r="F163" i="8"/>
  <c r="E163" i="8"/>
  <c r="D163" i="8"/>
  <c r="I162" i="8"/>
  <c r="H162" i="8"/>
  <c r="G162" i="8"/>
  <c r="F162" i="8"/>
  <c r="E162" i="8"/>
  <c r="D162" i="8"/>
  <c r="I161" i="8"/>
  <c r="H161" i="8"/>
  <c r="G161" i="8"/>
  <c r="F161" i="8"/>
  <c r="E161" i="8"/>
  <c r="D161" i="8"/>
  <c r="I160" i="8"/>
  <c r="H160" i="8"/>
  <c r="G160" i="8"/>
  <c r="F160" i="8"/>
  <c r="E160" i="8"/>
  <c r="D160" i="8"/>
  <c r="I159" i="8"/>
  <c r="H159" i="8"/>
  <c r="G159" i="8"/>
  <c r="F159" i="8"/>
  <c r="E159" i="8"/>
  <c r="D159" i="8"/>
  <c r="I158" i="8"/>
  <c r="H158" i="8"/>
  <c r="G158" i="8"/>
  <c r="F158" i="8"/>
  <c r="E158" i="8"/>
  <c r="D158" i="8"/>
  <c r="I157" i="8"/>
  <c r="H157" i="8"/>
  <c r="G157" i="8"/>
  <c r="F157" i="8"/>
  <c r="E157" i="8"/>
  <c r="D157" i="8"/>
  <c r="I156" i="8"/>
  <c r="H156" i="8"/>
  <c r="G156" i="8"/>
  <c r="F156" i="8"/>
  <c r="E156" i="8"/>
  <c r="D156" i="8"/>
  <c r="I155" i="8"/>
  <c r="H155" i="8"/>
  <c r="G155" i="8"/>
  <c r="F155" i="8"/>
  <c r="E155" i="8"/>
  <c r="D155" i="8"/>
  <c r="I154" i="8"/>
  <c r="H154" i="8"/>
  <c r="G154" i="8"/>
  <c r="F154" i="8"/>
  <c r="E154" i="8"/>
  <c r="D154" i="8"/>
  <c r="I153" i="8"/>
  <c r="H153" i="8"/>
  <c r="G153" i="8"/>
  <c r="F153" i="8"/>
  <c r="E153" i="8"/>
  <c r="D153" i="8"/>
  <c r="I152" i="8"/>
  <c r="H152" i="8"/>
  <c r="G152" i="8"/>
  <c r="F152" i="8"/>
  <c r="E152" i="8"/>
  <c r="D152" i="8"/>
  <c r="I151" i="8"/>
  <c r="H151" i="8"/>
  <c r="G151" i="8"/>
  <c r="F151" i="8"/>
  <c r="E151" i="8"/>
  <c r="D151" i="8"/>
  <c r="I150" i="8"/>
  <c r="H150" i="8"/>
  <c r="G150" i="8"/>
  <c r="F150" i="8"/>
  <c r="E150" i="8"/>
  <c r="D150" i="8"/>
  <c r="I149" i="8"/>
  <c r="H149" i="8"/>
  <c r="G149" i="8"/>
  <c r="F149" i="8"/>
  <c r="E149" i="8"/>
  <c r="D149" i="8"/>
  <c r="I148" i="8"/>
  <c r="H148" i="8"/>
  <c r="G148" i="8"/>
  <c r="F148" i="8"/>
  <c r="E148" i="8"/>
  <c r="D148" i="8"/>
  <c r="I147" i="8"/>
  <c r="H147" i="8"/>
  <c r="G147" i="8"/>
  <c r="F147" i="8"/>
  <c r="E147" i="8"/>
  <c r="D147" i="8"/>
  <c r="I146" i="8"/>
  <c r="H146" i="8"/>
  <c r="G146" i="8"/>
  <c r="F146" i="8"/>
  <c r="E146" i="8"/>
  <c r="D146" i="8"/>
  <c r="I145" i="8"/>
  <c r="H145" i="8"/>
  <c r="G145" i="8"/>
  <c r="F145" i="8"/>
  <c r="E145" i="8"/>
  <c r="D145" i="8"/>
  <c r="I144" i="8"/>
  <c r="H144" i="8"/>
  <c r="G144" i="8"/>
  <c r="F144" i="8"/>
  <c r="E144" i="8"/>
  <c r="D144" i="8"/>
  <c r="I143" i="8"/>
  <c r="H143" i="8"/>
  <c r="G143" i="8"/>
  <c r="F143" i="8"/>
  <c r="E143" i="8"/>
  <c r="D143" i="8"/>
  <c r="I142" i="8"/>
  <c r="H142" i="8"/>
  <c r="G142" i="8"/>
  <c r="F142" i="8"/>
  <c r="E142" i="8"/>
  <c r="D142" i="8"/>
  <c r="I141" i="8"/>
  <c r="H141" i="8"/>
  <c r="G141" i="8"/>
  <c r="F141" i="8"/>
  <c r="E141" i="8"/>
  <c r="D141" i="8"/>
  <c r="I140" i="8"/>
  <c r="H140" i="8"/>
  <c r="G140" i="8"/>
  <c r="F140" i="8"/>
  <c r="E140" i="8"/>
  <c r="D140" i="8"/>
  <c r="I139" i="8"/>
  <c r="H139" i="8"/>
  <c r="G139" i="8"/>
  <c r="F139" i="8"/>
  <c r="E139" i="8"/>
  <c r="D139" i="8"/>
  <c r="I138" i="8"/>
  <c r="H138" i="8"/>
  <c r="G138" i="8"/>
  <c r="F138" i="8"/>
  <c r="E138" i="8"/>
  <c r="D138" i="8"/>
  <c r="I137" i="8"/>
  <c r="H137" i="8"/>
  <c r="G137" i="8"/>
  <c r="F137" i="8"/>
  <c r="E137" i="8"/>
  <c r="D137" i="8"/>
  <c r="I136" i="8"/>
  <c r="H136" i="8"/>
  <c r="G136" i="8"/>
  <c r="F136" i="8"/>
  <c r="E136" i="8"/>
  <c r="D136" i="8"/>
  <c r="I135" i="8"/>
  <c r="H135" i="8"/>
  <c r="G135" i="8"/>
  <c r="F135" i="8"/>
  <c r="E135" i="8"/>
  <c r="D135" i="8"/>
  <c r="I134" i="8"/>
  <c r="H134" i="8"/>
  <c r="G134" i="8"/>
  <c r="F134" i="8"/>
  <c r="E134" i="8"/>
  <c r="D134" i="8"/>
  <c r="I133" i="8"/>
  <c r="H133" i="8"/>
  <c r="G133" i="8"/>
  <c r="F133" i="8"/>
  <c r="E133" i="8"/>
  <c r="D133" i="8"/>
  <c r="I132" i="8"/>
  <c r="H132" i="8"/>
  <c r="G132" i="8"/>
  <c r="F132" i="8"/>
  <c r="E132" i="8"/>
  <c r="D132" i="8"/>
  <c r="I131" i="8"/>
  <c r="H131" i="8"/>
  <c r="G131" i="8"/>
  <c r="F131" i="8"/>
  <c r="E131" i="8"/>
  <c r="D131" i="8"/>
  <c r="I130" i="8"/>
  <c r="H130" i="8"/>
  <c r="G130" i="8"/>
  <c r="F130" i="8"/>
  <c r="E130" i="8"/>
  <c r="D130" i="8"/>
  <c r="I129" i="8"/>
  <c r="H129" i="8"/>
  <c r="G129" i="8"/>
  <c r="F129" i="8"/>
  <c r="E129" i="8"/>
  <c r="D129" i="8"/>
  <c r="I128" i="8"/>
  <c r="H128" i="8"/>
  <c r="G128" i="8"/>
  <c r="F128" i="8"/>
  <c r="E128" i="8"/>
  <c r="D128" i="8"/>
  <c r="I127" i="8"/>
  <c r="H127" i="8"/>
  <c r="G127" i="8"/>
  <c r="F127" i="8"/>
  <c r="E127" i="8"/>
  <c r="D127" i="8"/>
  <c r="I126" i="8"/>
  <c r="H126" i="8"/>
  <c r="G126" i="8"/>
  <c r="F126" i="8"/>
  <c r="E126" i="8"/>
  <c r="D126" i="8"/>
  <c r="I125" i="8"/>
  <c r="H125" i="8"/>
  <c r="G125" i="8"/>
  <c r="F125" i="8"/>
  <c r="E125" i="8"/>
  <c r="D125" i="8"/>
  <c r="I124" i="8"/>
  <c r="H124" i="8"/>
  <c r="G124" i="8"/>
  <c r="F124" i="8"/>
  <c r="E124" i="8"/>
  <c r="D124" i="8"/>
  <c r="I123" i="8"/>
  <c r="H123" i="8"/>
  <c r="G123" i="8"/>
  <c r="F123" i="8"/>
  <c r="E123" i="8"/>
  <c r="D123" i="8"/>
  <c r="I122" i="8"/>
  <c r="H122" i="8"/>
  <c r="G122" i="8"/>
  <c r="F122" i="8"/>
  <c r="E122" i="8"/>
  <c r="D122" i="8"/>
  <c r="I121" i="8"/>
  <c r="H121" i="8"/>
  <c r="G121" i="8"/>
  <c r="F121" i="8"/>
  <c r="E121" i="8"/>
  <c r="D121" i="8"/>
  <c r="I120" i="8"/>
  <c r="H120" i="8"/>
  <c r="G120" i="8"/>
  <c r="F120" i="8"/>
  <c r="E120" i="8"/>
  <c r="D120" i="8"/>
  <c r="I119" i="8"/>
  <c r="H119" i="8"/>
  <c r="G119" i="8"/>
  <c r="F119" i="8"/>
  <c r="E119" i="8"/>
  <c r="D119" i="8"/>
  <c r="I118" i="8"/>
  <c r="H118" i="8"/>
  <c r="G118" i="8"/>
  <c r="F118" i="8"/>
  <c r="E118" i="8"/>
  <c r="D118" i="8"/>
  <c r="I117" i="8"/>
  <c r="H117" i="8"/>
  <c r="G117" i="8"/>
  <c r="F117" i="8"/>
  <c r="E117" i="8"/>
  <c r="D117" i="8"/>
  <c r="I116" i="8"/>
  <c r="H116" i="8"/>
  <c r="G116" i="8"/>
  <c r="F116" i="8"/>
  <c r="E116" i="8"/>
  <c r="D116" i="8"/>
  <c r="I115" i="8"/>
  <c r="H115" i="8"/>
  <c r="G115" i="8"/>
  <c r="F115" i="8"/>
  <c r="E115" i="8"/>
  <c r="D115" i="8"/>
  <c r="I114" i="8"/>
  <c r="H114" i="8"/>
  <c r="G114" i="8"/>
  <c r="F114" i="8"/>
  <c r="E114" i="8"/>
  <c r="D114" i="8"/>
  <c r="I113" i="8"/>
  <c r="H113" i="8"/>
  <c r="G113" i="8"/>
  <c r="F113" i="8"/>
  <c r="E113" i="8"/>
  <c r="D113" i="8"/>
  <c r="I112" i="8"/>
  <c r="H112" i="8"/>
  <c r="G112" i="8"/>
  <c r="F112" i="8"/>
  <c r="E112" i="8"/>
  <c r="D112" i="8"/>
  <c r="I111" i="8"/>
  <c r="H111" i="8"/>
  <c r="G111" i="8"/>
  <c r="F111" i="8"/>
  <c r="E111" i="8"/>
  <c r="D111" i="8"/>
  <c r="I110" i="8"/>
  <c r="H110" i="8"/>
  <c r="G110" i="8"/>
  <c r="F110" i="8"/>
  <c r="E110" i="8"/>
  <c r="D110" i="8"/>
  <c r="I109" i="8"/>
  <c r="H109" i="8"/>
  <c r="G109" i="8"/>
  <c r="F109" i="8"/>
  <c r="E109" i="8"/>
  <c r="D109" i="8"/>
  <c r="I108" i="8"/>
  <c r="H108" i="8"/>
  <c r="G108" i="8"/>
  <c r="F108" i="8"/>
  <c r="E108" i="8"/>
  <c r="D108" i="8"/>
  <c r="I107" i="8"/>
  <c r="H107" i="8"/>
  <c r="G107" i="8"/>
  <c r="F107" i="8"/>
  <c r="E107" i="8"/>
  <c r="D107" i="8"/>
  <c r="I106" i="8"/>
  <c r="H106" i="8"/>
  <c r="G106" i="8"/>
  <c r="F106" i="8"/>
  <c r="E106" i="8"/>
  <c r="D106" i="8"/>
  <c r="I105" i="8"/>
  <c r="H105" i="8"/>
  <c r="G105" i="8"/>
  <c r="F105" i="8"/>
  <c r="E105" i="8"/>
  <c r="D105" i="8"/>
  <c r="I104" i="8"/>
  <c r="H104" i="8"/>
  <c r="G104" i="8"/>
  <c r="F104" i="8"/>
  <c r="E104" i="8"/>
  <c r="D104" i="8"/>
  <c r="I103" i="8"/>
  <c r="H103" i="8"/>
  <c r="G103" i="8"/>
  <c r="F103" i="8"/>
  <c r="E103" i="8"/>
  <c r="D103" i="8"/>
  <c r="I102" i="8"/>
  <c r="H102" i="8"/>
  <c r="G102" i="8"/>
  <c r="F102" i="8"/>
  <c r="E102" i="8"/>
  <c r="D102" i="8"/>
  <c r="I101" i="8"/>
  <c r="H101" i="8"/>
  <c r="G101" i="8"/>
  <c r="F101" i="8"/>
  <c r="E101" i="8"/>
  <c r="D101" i="8"/>
  <c r="I100" i="8"/>
  <c r="H100" i="8"/>
  <c r="G100" i="8"/>
  <c r="F100" i="8"/>
  <c r="E100" i="8"/>
  <c r="D100" i="8"/>
  <c r="I99" i="8"/>
  <c r="H99" i="8"/>
  <c r="G99" i="8"/>
  <c r="F99" i="8"/>
  <c r="E99" i="8"/>
  <c r="D99" i="8"/>
  <c r="I98" i="8"/>
  <c r="H98" i="8"/>
  <c r="G98" i="8"/>
  <c r="F98" i="8"/>
  <c r="E98" i="8"/>
  <c r="D98" i="8"/>
  <c r="I97" i="8"/>
  <c r="H97" i="8"/>
  <c r="G97" i="8"/>
  <c r="F97" i="8"/>
  <c r="E97" i="8"/>
  <c r="D97" i="8"/>
  <c r="I96" i="8"/>
  <c r="H96" i="8"/>
  <c r="G96" i="8"/>
  <c r="F96" i="8"/>
  <c r="E96" i="8"/>
  <c r="D96" i="8"/>
  <c r="I95" i="8"/>
  <c r="H95" i="8"/>
  <c r="G95" i="8"/>
  <c r="F95" i="8"/>
  <c r="E95" i="8"/>
  <c r="D95" i="8"/>
  <c r="I94" i="8"/>
  <c r="H94" i="8"/>
  <c r="G94" i="8"/>
  <c r="F94" i="8"/>
  <c r="E94" i="8"/>
  <c r="D94" i="8"/>
  <c r="I93" i="8"/>
  <c r="H93" i="8"/>
  <c r="G93" i="8"/>
  <c r="F93" i="8"/>
  <c r="E93" i="8"/>
  <c r="D93" i="8"/>
  <c r="I92" i="8"/>
  <c r="H92" i="8"/>
  <c r="G92" i="8"/>
  <c r="F92" i="8"/>
  <c r="E92" i="8"/>
  <c r="D92" i="8"/>
  <c r="I91" i="8"/>
  <c r="H91" i="8"/>
  <c r="G91" i="8"/>
  <c r="F91" i="8"/>
  <c r="E91" i="8"/>
  <c r="D91" i="8"/>
  <c r="I90" i="8"/>
  <c r="H90" i="8"/>
  <c r="G90" i="8"/>
  <c r="F90" i="8"/>
  <c r="E90" i="8"/>
  <c r="D90" i="8"/>
  <c r="I89" i="8"/>
  <c r="H89" i="8"/>
  <c r="G89" i="8"/>
  <c r="F89" i="8"/>
  <c r="E89" i="8"/>
  <c r="D89" i="8"/>
  <c r="I88" i="8"/>
  <c r="H88" i="8"/>
  <c r="G88" i="8"/>
  <c r="F88" i="8"/>
  <c r="E88" i="8"/>
  <c r="D88" i="8"/>
  <c r="I87" i="8"/>
  <c r="H87" i="8"/>
  <c r="G87" i="8"/>
  <c r="F87" i="8"/>
  <c r="E87" i="8"/>
  <c r="D87" i="8"/>
  <c r="I86" i="8"/>
  <c r="H86" i="8"/>
  <c r="G86" i="8"/>
  <c r="F86" i="8"/>
  <c r="E86" i="8"/>
  <c r="D86" i="8"/>
  <c r="I85" i="8"/>
  <c r="H85" i="8"/>
  <c r="G85" i="8"/>
  <c r="F85" i="8"/>
  <c r="E85" i="8"/>
  <c r="D85" i="8"/>
  <c r="I84" i="8"/>
  <c r="H84" i="8"/>
  <c r="G84" i="8"/>
  <c r="F84" i="8"/>
  <c r="E84" i="8"/>
  <c r="D84" i="8"/>
  <c r="I83" i="8"/>
  <c r="H83" i="8"/>
  <c r="G83" i="8"/>
  <c r="F83" i="8"/>
  <c r="E83" i="8"/>
  <c r="D83" i="8"/>
  <c r="I82" i="8"/>
  <c r="H82" i="8"/>
  <c r="G82" i="8"/>
  <c r="F82" i="8"/>
  <c r="E82" i="8"/>
  <c r="D82" i="8"/>
  <c r="I81" i="8"/>
  <c r="H81" i="8"/>
  <c r="G81" i="8"/>
  <c r="F81" i="8"/>
  <c r="E81" i="8"/>
  <c r="D81" i="8"/>
  <c r="I80" i="8"/>
  <c r="H80" i="8"/>
  <c r="G80" i="8"/>
  <c r="F80" i="8"/>
  <c r="E80" i="8"/>
  <c r="D80" i="8"/>
  <c r="I79" i="8"/>
  <c r="H79" i="8"/>
  <c r="G79" i="8"/>
  <c r="F79" i="8"/>
  <c r="E79" i="8"/>
  <c r="D79" i="8"/>
  <c r="I78" i="8"/>
  <c r="H78" i="8"/>
  <c r="G78" i="8"/>
  <c r="F78" i="8"/>
  <c r="E78" i="8"/>
  <c r="D78" i="8"/>
  <c r="I77" i="8"/>
  <c r="H77" i="8"/>
  <c r="G77" i="8"/>
  <c r="F77" i="8"/>
  <c r="E77" i="8"/>
  <c r="D77" i="8"/>
  <c r="I76" i="8"/>
  <c r="H76" i="8"/>
  <c r="G76" i="8"/>
  <c r="F76" i="8"/>
  <c r="E76" i="8"/>
  <c r="D76" i="8"/>
  <c r="I75" i="8"/>
  <c r="H75" i="8"/>
  <c r="G75" i="8"/>
  <c r="F75" i="8"/>
  <c r="E75" i="8"/>
  <c r="D75" i="8"/>
  <c r="I74" i="8"/>
  <c r="H74" i="8"/>
  <c r="G74" i="8"/>
  <c r="F74" i="8"/>
  <c r="E74" i="8"/>
  <c r="D74" i="8"/>
  <c r="I73" i="8"/>
  <c r="H73" i="8"/>
  <c r="G73" i="8"/>
  <c r="F73" i="8"/>
  <c r="E73" i="8"/>
  <c r="D73" i="8"/>
  <c r="I72" i="8"/>
  <c r="H72" i="8"/>
  <c r="G72" i="8"/>
  <c r="F72" i="8"/>
  <c r="E72" i="8"/>
  <c r="D72" i="8"/>
  <c r="I71" i="8"/>
  <c r="H71" i="8"/>
  <c r="G71" i="8"/>
  <c r="F71" i="8"/>
  <c r="E71" i="8"/>
  <c r="D71" i="8"/>
  <c r="I70" i="8"/>
  <c r="H70" i="8"/>
  <c r="G70" i="8"/>
  <c r="F70" i="8"/>
  <c r="E70" i="8"/>
  <c r="D70" i="8"/>
  <c r="I69" i="8"/>
  <c r="H69" i="8"/>
  <c r="G69" i="8"/>
  <c r="F69" i="8"/>
  <c r="E69" i="8"/>
  <c r="D69" i="8"/>
  <c r="I68" i="8"/>
  <c r="H68" i="8"/>
  <c r="G68" i="8"/>
  <c r="F68" i="8"/>
  <c r="E68" i="8"/>
  <c r="D68" i="8"/>
  <c r="I67" i="8"/>
  <c r="H67" i="8"/>
  <c r="G67" i="8"/>
  <c r="F67" i="8"/>
  <c r="E67" i="8"/>
  <c r="D67" i="8"/>
  <c r="I66" i="8"/>
  <c r="H66" i="8"/>
  <c r="G66" i="8"/>
  <c r="F66" i="8"/>
  <c r="E66" i="8"/>
  <c r="D66" i="8"/>
  <c r="I65" i="8"/>
  <c r="H65" i="8"/>
  <c r="G65" i="8"/>
  <c r="F65" i="8"/>
  <c r="E65" i="8"/>
  <c r="D65" i="8"/>
  <c r="I64" i="8"/>
  <c r="H64" i="8"/>
  <c r="G64" i="8"/>
  <c r="F64" i="8"/>
  <c r="E64" i="8"/>
  <c r="D64" i="8"/>
  <c r="I63" i="8"/>
  <c r="H63" i="8"/>
  <c r="G63" i="8"/>
  <c r="F63" i="8"/>
  <c r="E63" i="8"/>
  <c r="D63" i="8"/>
  <c r="I62" i="8"/>
  <c r="H62" i="8"/>
  <c r="G62" i="8"/>
  <c r="F62" i="8"/>
  <c r="E62" i="8"/>
  <c r="D62" i="8"/>
  <c r="I61" i="8"/>
  <c r="H61" i="8"/>
  <c r="G61" i="8"/>
  <c r="F61" i="8"/>
  <c r="E61" i="8"/>
  <c r="D61" i="8"/>
  <c r="I60" i="8"/>
  <c r="H60" i="8"/>
  <c r="G60" i="8"/>
  <c r="F60" i="8"/>
  <c r="E60" i="8"/>
  <c r="D60" i="8"/>
  <c r="I59" i="8"/>
  <c r="H59" i="8"/>
  <c r="G59" i="8"/>
  <c r="F59" i="8"/>
  <c r="E59" i="8"/>
  <c r="D59" i="8"/>
  <c r="I58" i="8"/>
  <c r="H58" i="8"/>
  <c r="G58" i="8"/>
  <c r="F58" i="8"/>
  <c r="E58" i="8"/>
  <c r="D58" i="8"/>
  <c r="I57" i="8"/>
  <c r="H57" i="8"/>
  <c r="G57" i="8"/>
  <c r="F57" i="8"/>
  <c r="E57" i="8"/>
  <c r="D57" i="8"/>
  <c r="I56" i="8"/>
  <c r="H56" i="8"/>
  <c r="G56" i="8"/>
  <c r="F56" i="8"/>
  <c r="E56" i="8"/>
  <c r="D56" i="8"/>
  <c r="I55" i="8"/>
  <c r="H55" i="8"/>
  <c r="G55" i="8"/>
  <c r="F55" i="8"/>
  <c r="E55" i="8"/>
  <c r="D55" i="8"/>
  <c r="I54" i="8"/>
  <c r="H54" i="8"/>
  <c r="G54" i="8"/>
  <c r="F54" i="8"/>
  <c r="E54" i="8"/>
  <c r="D54" i="8"/>
  <c r="I53" i="8"/>
  <c r="H53" i="8"/>
  <c r="G53" i="8"/>
  <c r="F53" i="8"/>
  <c r="E53" i="8"/>
  <c r="D53" i="8"/>
  <c r="I52" i="8"/>
  <c r="H52" i="8"/>
  <c r="G52" i="8"/>
  <c r="F52" i="8"/>
  <c r="E52" i="8"/>
  <c r="D52" i="8"/>
  <c r="I51" i="8"/>
  <c r="H51" i="8"/>
  <c r="G51" i="8"/>
  <c r="F51" i="8"/>
  <c r="E51" i="8"/>
  <c r="D51" i="8"/>
  <c r="I50" i="8"/>
  <c r="H50" i="8"/>
  <c r="G50" i="8"/>
  <c r="F50" i="8"/>
  <c r="E50" i="8"/>
  <c r="D50" i="8"/>
  <c r="I49" i="8"/>
  <c r="H49" i="8"/>
  <c r="G49" i="8"/>
  <c r="F49" i="8"/>
  <c r="E49" i="8"/>
  <c r="D49" i="8"/>
  <c r="I48" i="8"/>
  <c r="H48" i="8"/>
  <c r="G48" i="8"/>
  <c r="F48" i="8"/>
  <c r="E48" i="8"/>
  <c r="D48" i="8"/>
  <c r="I47" i="8"/>
  <c r="H47" i="8"/>
  <c r="G47" i="8"/>
  <c r="F47" i="8"/>
  <c r="E47" i="8"/>
  <c r="D47" i="8"/>
  <c r="I46" i="8"/>
  <c r="H46" i="8"/>
  <c r="G46" i="8"/>
  <c r="F46" i="8"/>
  <c r="E46" i="8"/>
  <c r="D46" i="8"/>
  <c r="I45" i="8"/>
  <c r="H45" i="8"/>
  <c r="G45" i="8"/>
  <c r="F45" i="8"/>
  <c r="E45" i="8"/>
  <c r="D45" i="8"/>
  <c r="I44" i="8"/>
  <c r="H44" i="8"/>
  <c r="G44" i="8"/>
  <c r="F44" i="8"/>
  <c r="E44" i="8"/>
  <c r="D44" i="8"/>
  <c r="I43" i="8"/>
  <c r="H43" i="8"/>
  <c r="G43" i="8"/>
  <c r="F43" i="8"/>
  <c r="E43" i="8"/>
  <c r="D43" i="8"/>
  <c r="I42" i="8"/>
  <c r="H42" i="8"/>
  <c r="G42" i="8"/>
  <c r="F42" i="8"/>
  <c r="E42" i="8"/>
  <c r="D42" i="8"/>
  <c r="I41" i="8"/>
  <c r="H41" i="8"/>
  <c r="G41" i="8"/>
  <c r="F41" i="8"/>
  <c r="E41" i="8"/>
  <c r="D41" i="8"/>
  <c r="I40" i="8"/>
  <c r="H40" i="8"/>
  <c r="G40" i="8"/>
  <c r="F40" i="8"/>
  <c r="E40" i="8"/>
  <c r="D40" i="8"/>
  <c r="I39" i="8"/>
  <c r="H39" i="8"/>
  <c r="G39" i="8"/>
  <c r="F39" i="8"/>
  <c r="E39" i="8"/>
  <c r="D39" i="8"/>
  <c r="I38" i="8"/>
  <c r="H38" i="8"/>
  <c r="G38" i="8"/>
  <c r="F38" i="8"/>
  <c r="E38" i="8"/>
  <c r="D38" i="8"/>
  <c r="I37" i="8"/>
  <c r="H37" i="8"/>
  <c r="G37" i="8"/>
  <c r="F37" i="8"/>
  <c r="E37" i="8"/>
  <c r="D37" i="8"/>
  <c r="I36" i="8"/>
  <c r="H36" i="8"/>
  <c r="G36" i="8"/>
  <c r="F36" i="8"/>
  <c r="E36" i="8"/>
  <c r="D36" i="8"/>
  <c r="I35" i="8"/>
  <c r="H35" i="8"/>
  <c r="G35" i="8"/>
  <c r="F35" i="8"/>
  <c r="E35" i="8"/>
  <c r="D35" i="8"/>
  <c r="I34" i="8"/>
  <c r="H34" i="8"/>
  <c r="G34" i="8"/>
  <c r="F34" i="8"/>
  <c r="E34" i="8"/>
  <c r="D34" i="8"/>
  <c r="I33" i="8"/>
  <c r="H33" i="8"/>
  <c r="G33" i="8"/>
  <c r="F33" i="8"/>
  <c r="E33" i="8"/>
  <c r="D33" i="8"/>
  <c r="I32" i="8"/>
  <c r="H32" i="8"/>
  <c r="G32" i="8"/>
  <c r="F32" i="8"/>
  <c r="E32" i="8"/>
  <c r="D32" i="8"/>
  <c r="I31" i="8"/>
  <c r="H31" i="8"/>
  <c r="G31" i="8"/>
  <c r="F31" i="8"/>
  <c r="E31" i="8"/>
  <c r="D31" i="8"/>
  <c r="I30" i="8"/>
  <c r="H30" i="8"/>
  <c r="G30" i="8"/>
  <c r="F30" i="8"/>
  <c r="E30" i="8"/>
  <c r="D30" i="8"/>
  <c r="I29" i="8"/>
  <c r="H29" i="8"/>
  <c r="G29" i="8"/>
  <c r="F29" i="8"/>
  <c r="E29" i="8"/>
  <c r="D29" i="8"/>
  <c r="I28" i="8"/>
  <c r="H28" i="8"/>
  <c r="G28" i="8"/>
  <c r="F28" i="8"/>
  <c r="E28" i="8"/>
  <c r="D28" i="8"/>
  <c r="I27" i="8"/>
  <c r="H27" i="8"/>
  <c r="G27" i="8"/>
  <c r="F27" i="8"/>
  <c r="E27" i="8"/>
  <c r="D27" i="8"/>
  <c r="I26" i="8"/>
  <c r="H26" i="8"/>
  <c r="G26" i="8"/>
  <c r="F26" i="8"/>
  <c r="E26" i="8"/>
  <c r="D26" i="8"/>
  <c r="I25" i="8"/>
  <c r="H25" i="8"/>
  <c r="G25" i="8"/>
  <c r="F25" i="8"/>
  <c r="E25" i="8"/>
  <c r="D25" i="8"/>
  <c r="I24" i="8"/>
  <c r="H24" i="8"/>
  <c r="G24" i="8"/>
  <c r="F24" i="8"/>
  <c r="E24" i="8"/>
  <c r="D24" i="8"/>
  <c r="I23" i="8"/>
  <c r="H23" i="8"/>
  <c r="G23" i="8"/>
  <c r="F23" i="8"/>
  <c r="E23" i="8"/>
  <c r="D23" i="8"/>
  <c r="I22" i="8"/>
  <c r="H22" i="8"/>
  <c r="G22" i="8"/>
  <c r="F22" i="8"/>
  <c r="E22" i="8"/>
  <c r="D22" i="8"/>
  <c r="I21" i="8"/>
  <c r="H21" i="8"/>
  <c r="G21" i="8"/>
  <c r="F21" i="8"/>
  <c r="E21" i="8"/>
  <c r="D21" i="8"/>
  <c r="I20" i="8"/>
  <c r="H20" i="8"/>
  <c r="G20" i="8"/>
  <c r="F20" i="8"/>
  <c r="E20" i="8"/>
  <c r="D20" i="8"/>
  <c r="I19" i="8"/>
  <c r="H19" i="8"/>
  <c r="G19" i="8"/>
  <c r="F19" i="8"/>
  <c r="E19" i="8"/>
  <c r="D19" i="8"/>
  <c r="I18" i="8"/>
  <c r="H18" i="8"/>
  <c r="G18" i="8"/>
  <c r="F18" i="8"/>
  <c r="E18" i="8"/>
  <c r="D18" i="8"/>
  <c r="I17" i="8"/>
  <c r="H17" i="8"/>
  <c r="G17" i="8"/>
  <c r="F17" i="8"/>
  <c r="E17" i="8"/>
  <c r="D17" i="8"/>
  <c r="I16" i="8"/>
  <c r="H16" i="8"/>
  <c r="G16" i="8"/>
  <c r="F16" i="8"/>
  <c r="E16" i="8"/>
  <c r="D16" i="8"/>
  <c r="I15" i="8"/>
  <c r="H15" i="8"/>
  <c r="G15" i="8"/>
  <c r="F15" i="8"/>
  <c r="E15" i="8"/>
  <c r="D15" i="8"/>
  <c r="I14" i="8"/>
  <c r="H14" i="8"/>
  <c r="G14" i="8"/>
  <c r="F14" i="8"/>
  <c r="E14" i="8"/>
  <c r="D14" i="8"/>
  <c r="I13" i="8"/>
  <c r="H13" i="8"/>
  <c r="G13" i="8"/>
  <c r="F13" i="8"/>
  <c r="E13" i="8"/>
  <c r="D13" i="8"/>
  <c r="I12" i="8"/>
  <c r="H12" i="8"/>
  <c r="G12" i="8"/>
  <c r="F12" i="8"/>
  <c r="E12" i="8"/>
  <c r="D12" i="8"/>
  <c r="I11" i="8"/>
  <c r="H11" i="8"/>
  <c r="G11" i="8"/>
  <c r="F11" i="8"/>
  <c r="E11" i="8"/>
  <c r="D11" i="8"/>
  <c r="I10" i="8"/>
  <c r="H10" i="8"/>
  <c r="G10" i="8"/>
  <c r="F10" i="8"/>
  <c r="E10" i="8"/>
  <c r="D10" i="8"/>
  <c r="I9" i="8"/>
  <c r="H9" i="8"/>
  <c r="G9" i="8"/>
  <c r="F9" i="8"/>
  <c r="E9" i="8"/>
  <c r="D9" i="8"/>
  <c r="I8" i="8"/>
  <c r="H8" i="8"/>
  <c r="G8" i="8"/>
  <c r="F8" i="8"/>
  <c r="E8" i="8"/>
  <c r="D8" i="8"/>
  <c r="I7" i="8"/>
  <c r="H7" i="8"/>
  <c r="G7" i="8"/>
  <c r="F7" i="8"/>
  <c r="E7" i="8"/>
  <c r="D7" i="8"/>
  <c r="I6" i="8"/>
  <c r="H6" i="8"/>
  <c r="G6" i="8"/>
  <c r="F6" i="8"/>
  <c r="E6" i="8"/>
  <c r="D6" i="8"/>
  <c r="I5" i="8"/>
  <c r="H5" i="8"/>
  <c r="G5" i="8"/>
  <c r="F5" i="8"/>
  <c r="E5" i="8"/>
  <c r="D5" i="8"/>
  <c r="I4" i="8"/>
  <c r="H4" i="8"/>
  <c r="G4" i="8"/>
  <c r="F4" i="8"/>
  <c r="E4" i="8"/>
  <c r="D4" i="8"/>
  <c r="I3" i="8"/>
  <c r="H3" i="8"/>
  <c r="G3" i="8"/>
  <c r="F3" i="8"/>
  <c r="E3" i="8"/>
  <c r="D3" i="8"/>
  <c r="I2" i="8"/>
  <c r="H2" i="8"/>
  <c r="G2" i="8"/>
  <c r="F2" i="8"/>
  <c r="E2" i="8"/>
  <c r="D2" i="8"/>
  <c r="AF8" i="4"/>
  <c r="AG8" i="4"/>
  <c r="AH8" i="4"/>
  <c r="AI8" i="4"/>
  <c r="AJ8" i="4"/>
  <c r="AK8" i="4"/>
  <c r="AF9" i="4"/>
  <c r="AG9" i="4"/>
  <c r="AH9" i="4"/>
  <c r="AI9" i="4"/>
  <c r="AJ9" i="4"/>
  <c r="AK9" i="4"/>
  <c r="AF10" i="4"/>
  <c r="AG10" i="4"/>
  <c r="AH10" i="4"/>
  <c r="AI10" i="4"/>
  <c r="AJ10" i="4"/>
  <c r="AK10" i="4"/>
  <c r="AF11" i="4"/>
  <c r="AG11" i="4"/>
  <c r="AH11" i="4"/>
  <c r="AI11" i="4"/>
  <c r="AJ11" i="4"/>
  <c r="AK11" i="4"/>
  <c r="AF12" i="4"/>
  <c r="AG12" i="4"/>
  <c r="AH12" i="4"/>
  <c r="AI12" i="4"/>
  <c r="AJ12" i="4"/>
  <c r="AK12" i="4"/>
  <c r="AF13" i="4"/>
  <c r="AG13" i="4"/>
  <c r="AH13" i="4"/>
  <c r="AI13" i="4"/>
  <c r="AJ13" i="4"/>
  <c r="AK13" i="4"/>
  <c r="AF14" i="4"/>
  <c r="AG14" i="4"/>
  <c r="AH14" i="4"/>
  <c r="AI14" i="4"/>
  <c r="AJ14" i="4"/>
  <c r="AK14" i="4"/>
  <c r="AF15" i="4"/>
  <c r="AG15" i="4"/>
  <c r="AH15" i="4"/>
  <c r="AI15" i="4"/>
  <c r="AJ15" i="4"/>
  <c r="AK15" i="4"/>
  <c r="AF16" i="4"/>
  <c r="AG16" i="4"/>
  <c r="AH16" i="4"/>
  <c r="AI16" i="4"/>
  <c r="AJ16" i="4"/>
  <c r="AK16" i="4"/>
  <c r="AF17" i="4"/>
  <c r="AG17" i="4"/>
  <c r="AH17" i="4"/>
  <c r="AI17" i="4"/>
  <c r="AJ17" i="4"/>
  <c r="AK17" i="4"/>
  <c r="AF18" i="4"/>
  <c r="AG18" i="4"/>
  <c r="AH18" i="4"/>
  <c r="AI18" i="4"/>
  <c r="AJ18" i="4"/>
  <c r="AK18" i="4"/>
  <c r="AF19" i="4"/>
  <c r="AG19" i="4"/>
  <c r="AH19" i="4"/>
  <c r="AI19" i="4"/>
  <c r="AJ19" i="4"/>
  <c r="AK19" i="4"/>
  <c r="AF20" i="4"/>
  <c r="AG20" i="4"/>
  <c r="AH20" i="4"/>
  <c r="AI20" i="4"/>
  <c r="AJ20" i="4"/>
  <c r="AK20" i="4"/>
  <c r="AF21" i="4"/>
  <c r="AG21" i="4"/>
  <c r="AH21" i="4"/>
  <c r="AI21" i="4"/>
  <c r="AJ21" i="4"/>
  <c r="AK21" i="4"/>
  <c r="AF22" i="4"/>
  <c r="AG22" i="4"/>
  <c r="AH22" i="4"/>
  <c r="AI22" i="4"/>
  <c r="AJ22" i="4"/>
  <c r="AK22" i="4"/>
  <c r="AF23" i="4"/>
  <c r="AG23" i="4"/>
  <c r="AH23" i="4"/>
  <c r="AI23" i="4"/>
  <c r="AJ23" i="4"/>
  <c r="AK23" i="4"/>
  <c r="AF24" i="4"/>
  <c r="AG24" i="4"/>
  <c r="AH24" i="4"/>
  <c r="AI24" i="4"/>
  <c r="AJ24" i="4"/>
  <c r="AK24" i="4"/>
  <c r="AF25" i="4"/>
  <c r="AG25" i="4"/>
  <c r="AH25" i="4"/>
  <c r="AI25" i="4"/>
  <c r="AJ25" i="4"/>
  <c r="AK25" i="4"/>
  <c r="AF26" i="4"/>
  <c r="AG26" i="4"/>
  <c r="AH26" i="4"/>
  <c r="AI26" i="4"/>
  <c r="AJ26" i="4"/>
  <c r="AK26" i="4"/>
  <c r="AF27" i="4"/>
  <c r="AG27" i="4"/>
  <c r="AH27" i="4"/>
  <c r="AI27" i="4"/>
  <c r="AJ27" i="4"/>
  <c r="AK27" i="4"/>
  <c r="AF28" i="4"/>
  <c r="AG28" i="4"/>
  <c r="AH28" i="4"/>
  <c r="AI28" i="4"/>
  <c r="AJ28" i="4"/>
  <c r="AK28" i="4"/>
  <c r="AF29" i="4"/>
  <c r="AG29" i="4"/>
  <c r="AH29" i="4"/>
  <c r="AI29" i="4"/>
  <c r="AJ29" i="4"/>
  <c r="AK29" i="4"/>
  <c r="AF30" i="4"/>
  <c r="AG30" i="4"/>
  <c r="AH30" i="4"/>
  <c r="AI30" i="4"/>
  <c r="AJ30" i="4"/>
  <c r="AK30" i="4"/>
  <c r="AF31" i="4"/>
  <c r="AG31" i="4"/>
  <c r="AH31" i="4"/>
  <c r="AI31" i="4"/>
  <c r="AJ31" i="4"/>
  <c r="AK31" i="4"/>
  <c r="AF32" i="4"/>
  <c r="AG32" i="4"/>
  <c r="AH32" i="4"/>
  <c r="AI32" i="4"/>
  <c r="AJ32" i="4"/>
  <c r="AK32" i="4"/>
  <c r="AF33" i="4"/>
  <c r="AG33" i="4"/>
  <c r="AH33" i="4"/>
  <c r="AI33" i="4"/>
  <c r="AJ33" i="4"/>
  <c r="AK33" i="4"/>
  <c r="AF34" i="4"/>
  <c r="AG34" i="4"/>
  <c r="AH34" i="4"/>
  <c r="AI34" i="4"/>
  <c r="AJ34" i="4"/>
  <c r="AK34" i="4"/>
  <c r="AF35" i="4"/>
  <c r="AG35" i="4"/>
  <c r="AH35" i="4"/>
  <c r="AI35" i="4"/>
  <c r="AJ35" i="4"/>
  <c r="AK35" i="4"/>
  <c r="AF36" i="4"/>
  <c r="AG36" i="4"/>
  <c r="AH36" i="4"/>
  <c r="AI36" i="4"/>
  <c r="AJ36" i="4"/>
  <c r="AK36" i="4"/>
  <c r="AF37" i="4"/>
  <c r="AG37" i="4"/>
  <c r="AH37" i="4"/>
  <c r="AI37" i="4"/>
  <c r="AJ37" i="4"/>
  <c r="AK37" i="4"/>
  <c r="AF38" i="4"/>
  <c r="AG38" i="4"/>
  <c r="AH38" i="4"/>
  <c r="AI38" i="4"/>
  <c r="AJ38" i="4"/>
  <c r="AK38" i="4"/>
  <c r="AF39" i="4"/>
  <c r="AG39" i="4"/>
  <c r="AH39" i="4"/>
  <c r="AI39" i="4"/>
  <c r="AJ39" i="4"/>
  <c r="AK39" i="4"/>
  <c r="AF40" i="4"/>
  <c r="AG40" i="4"/>
  <c r="AH40" i="4"/>
  <c r="AI40" i="4"/>
  <c r="AJ40" i="4"/>
  <c r="AK40" i="4"/>
  <c r="AF41" i="4"/>
  <c r="AG41" i="4"/>
  <c r="AH41" i="4"/>
  <c r="AI41" i="4"/>
  <c r="AJ41" i="4"/>
  <c r="AK41" i="4"/>
  <c r="AF42" i="4"/>
  <c r="AG42" i="4"/>
  <c r="AH42" i="4"/>
  <c r="AI42" i="4"/>
  <c r="AJ42" i="4"/>
  <c r="AK42" i="4"/>
  <c r="AF43" i="4"/>
  <c r="AG43" i="4"/>
  <c r="AH43" i="4"/>
  <c r="AI43" i="4"/>
  <c r="AJ43" i="4"/>
  <c r="AK43" i="4"/>
  <c r="AF44" i="4"/>
  <c r="AG44" i="4"/>
  <c r="AH44" i="4"/>
  <c r="AI44" i="4"/>
  <c r="AJ44" i="4"/>
  <c r="AK44" i="4"/>
  <c r="AF45" i="4"/>
  <c r="AG45" i="4"/>
  <c r="AH45" i="4"/>
  <c r="AI45" i="4"/>
  <c r="AJ45" i="4"/>
  <c r="AK45" i="4"/>
  <c r="AF46" i="4"/>
  <c r="AG46" i="4"/>
  <c r="AH46" i="4"/>
  <c r="AI46" i="4"/>
  <c r="AJ46" i="4"/>
  <c r="AK46" i="4"/>
  <c r="AF47" i="4"/>
  <c r="AG47" i="4"/>
  <c r="AH47" i="4"/>
  <c r="AI47" i="4"/>
  <c r="AJ47" i="4"/>
  <c r="AK47" i="4"/>
  <c r="AF48" i="4"/>
  <c r="AG48" i="4"/>
  <c r="AH48" i="4"/>
  <c r="AI48" i="4"/>
  <c r="AJ48" i="4"/>
  <c r="AK48" i="4"/>
  <c r="AF49" i="4"/>
  <c r="AG49" i="4"/>
  <c r="AH49" i="4"/>
  <c r="AI49" i="4"/>
  <c r="AJ49" i="4"/>
  <c r="AK49" i="4"/>
  <c r="AF50" i="4"/>
  <c r="AG50" i="4"/>
  <c r="AH50" i="4"/>
  <c r="AI50" i="4"/>
  <c r="AJ50" i="4"/>
  <c r="AK50" i="4"/>
  <c r="AF51" i="4"/>
  <c r="AG51" i="4"/>
  <c r="AH51" i="4"/>
  <c r="AI51" i="4"/>
  <c r="AJ51" i="4"/>
  <c r="AK51" i="4"/>
  <c r="AF52" i="4"/>
  <c r="AG52" i="4"/>
  <c r="AH52" i="4"/>
  <c r="AI52" i="4"/>
  <c r="AJ52" i="4"/>
  <c r="AK52" i="4"/>
  <c r="AF53" i="4"/>
  <c r="AG53" i="4"/>
  <c r="AH53" i="4"/>
  <c r="AI53" i="4"/>
  <c r="AJ53" i="4"/>
  <c r="AK53" i="4"/>
  <c r="AF54" i="4"/>
  <c r="AG54" i="4"/>
  <c r="AH54" i="4"/>
  <c r="AI54" i="4"/>
  <c r="AJ54" i="4"/>
  <c r="AK54" i="4"/>
  <c r="AF55" i="4"/>
  <c r="AG55" i="4"/>
  <c r="AH55" i="4"/>
  <c r="AI55" i="4"/>
  <c r="AJ55" i="4"/>
  <c r="AK55" i="4"/>
  <c r="AF56" i="4"/>
  <c r="AG56" i="4"/>
  <c r="AH56" i="4"/>
  <c r="AI56" i="4"/>
  <c r="AJ56" i="4"/>
  <c r="AK56" i="4"/>
  <c r="AF57" i="4"/>
  <c r="AG57" i="4"/>
  <c r="AH57" i="4"/>
  <c r="AI57" i="4"/>
  <c r="AJ57" i="4"/>
  <c r="AK57" i="4"/>
  <c r="AF58" i="4"/>
  <c r="AG58" i="4"/>
  <c r="AH58" i="4"/>
  <c r="AI58" i="4"/>
  <c r="AJ58" i="4"/>
  <c r="AK58" i="4"/>
  <c r="AF59" i="4"/>
  <c r="AG59" i="4"/>
  <c r="AH59" i="4"/>
  <c r="AI59" i="4"/>
  <c r="AJ59" i="4"/>
  <c r="AK59" i="4"/>
  <c r="AF60" i="4"/>
  <c r="AG60" i="4"/>
  <c r="AH60" i="4"/>
  <c r="AI60" i="4"/>
  <c r="AJ60" i="4"/>
  <c r="AK60" i="4"/>
  <c r="AF61" i="4"/>
  <c r="AG61" i="4"/>
  <c r="AH61" i="4"/>
  <c r="AI61" i="4"/>
  <c r="AJ61" i="4"/>
  <c r="AK61" i="4"/>
  <c r="AF62" i="4"/>
  <c r="AG62" i="4"/>
  <c r="AH62" i="4"/>
  <c r="AI62" i="4"/>
  <c r="AJ62" i="4"/>
  <c r="AK62" i="4"/>
  <c r="AF63" i="4"/>
  <c r="AG63" i="4"/>
  <c r="AH63" i="4"/>
  <c r="AI63" i="4"/>
  <c r="AJ63" i="4"/>
  <c r="AK63" i="4"/>
  <c r="AF64" i="4"/>
  <c r="AG64" i="4"/>
  <c r="AH64" i="4"/>
  <c r="AI64" i="4"/>
  <c r="AJ64" i="4"/>
  <c r="AK64" i="4"/>
  <c r="AF65" i="4"/>
  <c r="AG65" i="4"/>
  <c r="AH65" i="4"/>
  <c r="AI65" i="4"/>
  <c r="AJ65" i="4"/>
  <c r="AK65" i="4"/>
  <c r="AF66" i="4"/>
  <c r="AG66" i="4"/>
  <c r="AH66" i="4"/>
  <c r="AI66" i="4"/>
  <c r="AJ66" i="4"/>
  <c r="AK66" i="4"/>
  <c r="AF67" i="4"/>
  <c r="AG67" i="4"/>
  <c r="AH67" i="4"/>
  <c r="AI67" i="4"/>
  <c r="AJ67" i="4"/>
  <c r="AK67" i="4"/>
  <c r="AF68" i="4"/>
  <c r="AG68" i="4"/>
  <c r="AH68" i="4"/>
  <c r="AI68" i="4"/>
  <c r="AJ68" i="4"/>
  <c r="AK68" i="4"/>
  <c r="AF69" i="4"/>
  <c r="AG69" i="4"/>
  <c r="AH69" i="4"/>
  <c r="AI69" i="4"/>
  <c r="AJ69" i="4"/>
  <c r="AK69" i="4"/>
  <c r="AF70" i="4"/>
  <c r="AG70" i="4"/>
  <c r="AH70" i="4"/>
  <c r="AI70" i="4"/>
  <c r="AJ70" i="4"/>
  <c r="AK70" i="4"/>
  <c r="AF71" i="4"/>
  <c r="AG71" i="4"/>
  <c r="AH71" i="4"/>
  <c r="AI71" i="4"/>
  <c r="AJ71" i="4"/>
  <c r="AK71" i="4"/>
  <c r="AF72" i="4"/>
  <c r="AG72" i="4"/>
  <c r="AH72" i="4"/>
  <c r="AI72" i="4"/>
  <c r="AJ72" i="4"/>
  <c r="AK72" i="4"/>
  <c r="AF73" i="4"/>
  <c r="AG73" i="4"/>
  <c r="AH73" i="4"/>
  <c r="AI73" i="4"/>
  <c r="AJ73" i="4"/>
  <c r="AK73" i="4"/>
  <c r="AF74" i="4"/>
  <c r="AG74" i="4"/>
  <c r="AH74" i="4"/>
  <c r="AI74" i="4"/>
  <c r="AJ74" i="4"/>
  <c r="AK74" i="4"/>
  <c r="AF75" i="4"/>
  <c r="AG75" i="4"/>
  <c r="AH75" i="4"/>
  <c r="AI75" i="4"/>
  <c r="AJ75" i="4"/>
  <c r="AK75" i="4"/>
  <c r="AF76" i="4"/>
  <c r="AG76" i="4"/>
  <c r="AH76" i="4"/>
  <c r="AI76" i="4"/>
  <c r="AJ76" i="4"/>
  <c r="AK76" i="4"/>
  <c r="AF77" i="4"/>
  <c r="AG77" i="4"/>
  <c r="AH77" i="4"/>
  <c r="AI77" i="4"/>
  <c r="AJ77" i="4"/>
  <c r="AK77" i="4"/>
  <c r="AF78" i="4"/>
  <c r="AG78" i="4"/>
  <c r="AH78" i="4"/>
  <c r="AI78" i="4"/>
  <c r="AJ78" i="4"/>
  <c r="AK78" i="4"/>
  <c r="AF79" i="4"/>
  <c r="AG79" i="4"/>
  <c r="AH79" i="4"/>
  <c r="AI79" i="4"/>
  <c r="AJ79" i="4"/>
  <c r="AK79" i="4"/>
  <c r="AF80" i="4"/>
  <c r="AG80" i="4"/>
  <c r="AH80" i="4"/>
  <c r="AI80" i="4"/>
  <c r="AJ80" i="4"/>
  <c r="AK80" i="4"/>
  <c r="AF81" i="4"/>
  <c r="AG81" i="4"/>
  <c r="AH81" i="4"/>
  <c r="AI81" i="4"/>
  <c r="AJ81" i="4"/>
  <c r="AK81" i="4"/>
  <c r="AF82" i="4"/>
  <c r="AG82" i="4"/>
  <c r="AH82" i="4"/>
  <c r="AI82" i="4"/>
  <c r="AJ82" i="4"/>
  <c r="AK82" i="4"/>
  <c r="AF83" i="4"/>
  <c r="AG83" i="4"/>
  <c r="AH83" i="4"/>
  <c r="AI83" i="4"/>
  <c r="AJ83" i="4"/>
  <c r="AK83" i="4"/>
  <c r="AF84" i="4"/>
  <c r="AG84" i="4"/>
  <c r="AH84" i="4"/>
  <c r="AI84" i="4"/>
  <c r="AJ84" i="4"/>
  <c r="AK84" i="4"/>
  <c r="AF85" i="4"/>
  <c r="AG85" i="4"/>
  <c r="AH85" i="4"/>
  <c r="AI85" i="4"/>
  <c r="AJ85" i="4"/>
  <c r="AK85" i="4"/>
  <c r="AF86" i="4"/>
  <c r="AG86" i="4"/>
  <c r="AH86" i="4"/>
  <c r="AI86" i="4"/>
  <c r="AJ86" i="4"/>
  <c r="AK86" i="4"/>
  <c r="AF87" i="4"/>
  <c r="AG87" i="4"/>
  <c r="AH87" i="4"/>
  <c r="AI87" i="4"/>
  <c r="AJ87" i="4"/>
  <c r="AK87" i="4"/>
  <c r="AF88" i="4"/>
  <c r="AG88" i="4"/>
  <c r="AH88" i="4"/>
  <c r="AI88" i="4"/>
  <c r="AJ88" i="4"/>
  <c r="AK88" i="4"/>
  <c r="AF89" i="4"/>
  <c r="AG89" i="4"/>
  <c r="AH89" i="4"/>
  <c r="AI89" i="4"/>
  <c r="AJ89" i="4"/>
  <c r="AK89" i="4"/>
  <c r="AF90" i="4"/>
  <c r="AG90" i="4"/>
  <c r="AH90" i="4"/>
  <c r="AI90" i="4"/>
  <c r="AJ90" i="4"/>
  <c r="AK90" i="4"/>
  <c r="AF91" i="4"/>
  <c r="AG91" i="4"/>
  <c r="AH91" i="4"/>
  <c r="AI91" i="4"/>
  <c r="AJ91" i="4"/>
  <c r="AK91" i="4"/>
  <c r="AF92" i="4"/>
  <c r="AG92" i="4"/>
  <c r="AH92" i="4"/>
  <c r="AI92" i="4"/>
  <c r="AJ92" i="4"/>
  <c r="AK92" i="4"/>
  <c r="AF93" i="4"/>
  <c r="AG93" i="4"/>
  <c r="AH93" i="4"/>
  <c r="AI93" i="4"/>
  <c r="AJ93" i="4"/>
  <c r="AK93" i="4"/>
  <c r="AF94" i="4"/>
  <c r="AG94" i="4"/>
  <c r="AH94" i="4"/>
  <c r="AI94" i="4"/>
  <c r="AJ94" i="4"/>
  <c r="AK94" i="4"/>
  <c r="AF95" i="4"/>
  <c r="AG95" i="4"/>
  <c r="AH95" i="4"/>
  <c r="AI95" i="4"/>
  <c r="AJ95" i="4"/>
  <c r="AK95" i="4"/>
  <c r="AF96" i="4"/>
  <c r="AG96" i="4"/>
  <c r="AH96" i="4"/>
  <c r="AI96" i="4"/>
  <c r="AJ96" i="4"/>
  <c r="AK96" i="4"/>
  <c r="AF97" i="4"/>
  <c r="AG97" i="4"/>
  <c r="AH97" i="4"/>
  <c r="AI97" i="4"/>
  <c r="AJ97" i="4"/>
  <c r="AK97" i="4"/>
  <c r="AF98" i="4"/>
  <c r="AG98" i="4"/>
  <c r="AH98" i="4"/>
  <c r="AI98" i="4"/>
  <c r="AJ98" i="4"/>
  <c r="AK98" i="4"/>
  <c r="AF99" i="4"/>
  <c r="AG99" i="4"/>
  <c r="AH99" i="4"/>
  <c r="AI99" i="4"/>
  <c r="AJ99" i="4"/>
  <c r="AK99" i="4"/>
  <c r="AF100" i="4"/>
  <c r="AG100" i="4"/>
  <c r="AH100" i="4"/>
  <c r="AI100" i="4"/>
  <c r="AJ100" i="4"/>
  <c r="AK100" i="4"/>
  <c r="AF101" i="4"/>
  <c r="AG101" i="4"/>
  <c r="AH101" i="4"/>
  <c r="AI101" i="4"/>
  <c r="AJ101" i="4"/>
  <c r="AK101" i="4"/>
  <c r="AF102" i="4"/>
  <c r="AG102" i="4"/>
  <c r="AH102" i="4"/>
  <c r="AI102" i="4"/>
  <c r="AJ102" i="4"/>
  <c r="AK102" i="4"/>
  <c r="AF103" i="4"/>
  <c r="AG103" i="4"/>
  <c r="AH103" i="4"/>
  <c r="AI103" i="4"/>
  <c r="AJ103" i="4"/>
  <c r="AK103" i="4"/>
  <c r="AF104" i="4"/>
  <c r="AG104" i="4"/>
  <c r="AH104" i="4"/>
  <c r="AI104" i="4"/>
  <c r="AJ104" i="4"/>
  <c r="AK104" i="4"/>
  <c r="AF105" i="4"/>
  <c r="AG105" i="4"/>
  <c r="AH105" i="4"/>
  <c r="AI105" i="4"/>
  <c r="AJ105" i="4"/>
  <c r="AK105" i="4"/>
  <c r="AF106" i="4"/>
  <c r="AG106" i="4"/>
  <c r="AH106" i="4"/>
  <c r="AI106" i="4"/>
  <c r="AJ106" i="4"/>
  <c r="AK106" i="4"/>
  <c r="AF107" i="4"/>
  <c r="AG107" i="4"/>
  <c r="AH107" i="4"/>
  <c r="AI107" i="4"/>
  <c r="AJ107" i="4"/>
  <c r="AK107" i="4"/>
  <c r="AF108" i="4"/>
  <c r="AG108" i="4"/>
  <c r="AH108" i="4"/>
  <c r="AI108" i="4"/>
  <c r="AJ108" i="4"/>
  <c r="AK108" i="4"/>
  <c r="AF109" i="4"/>
  <c r="AG109" i="4"/>
  <c r="AH109" i="4"/>
  <c r="AI109" i="4"/>
  <c r="AJ109" i="4"/>
  <c r="AK109" i="4"/>
  <c r="AF110" i="4"/>
  <c r="AG110" i="4"/>
  <c r="AH110" i="4"/>
  <c r="AI110" i="4"/>
  <c r="AJ110" i="4"/>
  <c r="AK110" i="4"/>
  <c r="AF111" i="4"/>
  <c r="AG111" i="4"/>
  <c r="AH111" i="4"/>
  <c r="AI111" i="4"/>
  <c r="AJ111" i="4"/>
  <c r="AK111" i="4"/>
  <c r="AF112" i="4"/>
  <c r="AG112" i="4"/>
  <c r="AH112" i="4"/>
  <c r="AI112" i="4"/>
  <c r="AJ112" i="4"/>
  <c r="AK112" i="4"/>
  <c r="AF113" i="4"/>
  <c r="AG113" i="4"/>
  <c r="AH113" i="4"/>
  <c r="AI113" i="4"/>
  <c r="AJ113" i="4"/>
  <c r="AK113" i="4"/>
  <c r="AF114" i="4"/>
  <c r="AG114" i="4"/>
  <c r="AH114" i="4"/>
  <c r="AI114" i="4"/>
  <c r="AJ114" i="4"/>
  <c r="AK114" i="4"/>
  <c r="AF115" i="4"/>
  <c r="AG115" i="4"/>
  <c r="AH115" i="4"/>
  <c r="AI115" i="4"/>
  <c r="AJ115" i="4"/>
  <c r="AK115" i="4"/>
  <c r="AF116" i="4"/>
  <c r="AG116" i="4"/>
  <c r="AH116" i="4"/>
  <c r="AI116" i="4"/>
  <c r="AJ116" i="4"/>
  <c r="AK116" i="4"/>
  <c r="AF117" i="4"/>
  <c r="AG117" i="4"/>
  <c r="AH117" i="4"/>
  <c r="AI117" i="4"/>
  <c r="AJ117" i="4"/>
  <c r="AK117" i="4"/>
  <c r="AF118" i="4"/>
  <c r="AG118" i="4"/>
  <c r="AH118" i="4"/>
  <c r="AI118" i="4"/>
  <c r="AJ118" i="4"/>
  <c r="AK118" i="4"/>
  <c r="AF119" i="4"/>
  <c r="AG119" i="4"/>
  <c r="AH119" i="4"/>
  <c r="AI119" i="4"/>
  <c r="AJ119" i="4"/>
  <c r="AK119" i="4"/>
  <c r="AF120" i="4"/>
  <c r="AG120" i="4"/>
  <c r="AH120" i="4"/>
  <c r="AI120" i="4"/>
  <c r="AJ120" i="4"/>
  <c r="AK120" i="4"/>
  <c r="AF121" i="4"/>
  <c r="AG121" i="4"/>
  <c r="AH121" i="4"/>
  <c r="AI121" i="4"/>
  <c r="AJ121" i="4"/>
  <c r="AK121" i="4"/>
  <c r="AF122" i="4"/>
  <c r="AG122" i="4"/>
  <c r="AH122" i="4"/>
  <c r="AI122" i="4"/>
  <c r="AJ122" i="4"/>
  <c r="AK122" i="4"/>
  <c r="AF123" i="4"/>
  <c r="AG123" i="4"/>
  <c r="AH123" i="4"/>
  <c r="AI123" i="4"/>
  <c r="AJ123" i="4"/>
  <c r="AK123" i="4"/>
  <c r="AF124" i="4"/>
  <c r="AG124" i="4"/>
  <c r="AH124" i="4"/>
  <c r="AI124" i="4"/>
  <c r="AJ124" i="4"/>
  <c r="AK124" i="4"/>
  <c r="AF125" i="4"/>
  <c r="AG125" i="4"/>
  <c r="AH125" i="4"/>
  <c r="AI125" i="4"/>
  <c r="AJ125" i="4"/>
  <c r="AK125" i="4"/>
  <c r="AF126" i="4"/>
  <c r="AG126" i="4"/>
  <c r="AH126" i="4"/>
  <c r="AI126" i="4"/>
  <c r="AJ126" i="4"/>
  <c r="AK126" i="4"/>
  <c r="AF127" i="4"/>
  <c r="AG127" i="4"/>
  <c r="AH127" i="4"/>
  <c r="AI127" i="4"/>
  <c r="AJ127" i="4"/>
  <c r="AK127" i="4"/>
  <c r="AF128" i="4"/>
  <c r="AG128" i="4"/>
  <c r="AH128" i="4"/>
  <c r="AI128" i="4"/>
  <c r="AJ128" i="4"/>
  <c r="AK128" i="4"/>
  <c r="AF129" i="4"/>
  <c r="AG129" i="4"/>
  <c r="AH129" i="4"/>
  <c r="AI129" i="4"/>
  <c r="AJ129" i="4"/>
  <c r="AK129" i="4"/>
  <c r="AF130" i="4"/>
  <c r="AG130" i="4"/>
  <c r="AH130" i="4"/>
  <c r="AI130" i="4"/>
  <c r="AJ130" i="4"/>
  <c r="AK130" i="4"/>
  <c r="AF131" i="4"/>
  <c r="AG131" i="4"/>
  <c r="AH131" i="4"/>
  <c r="AI131" i="4"/>
  <c r="AJ131" i="4"/>
  <c r="AK131" i="4"/>
  <c r="AF132" i="4"/>
  <c r="AG132" i="4"/>
  <c r="AH132" i="4"/>
  <c r="AI132" i="4"/>
  <c r="AJ132" i="4"/>
  <c r="AK132" i="4"/>
  <c r="AF133" i="4"/>
  <c r="AG133" i="4"/>
  <c r="AH133" i="4"/>
  <c r="AI133" i="4"/>
  <c r="AJ133" i="4"/>
  <c r="AK133" i="4"/>
  <c r="AF134" i="4"/>
  <c r="AG134" i="4"/>
  <c r="AH134" i="4"/>
  <c r="AI134" i="4"/>
  <c r="AJ134" i="4"/>
  <c r="AK134" i="4"/>
  <c r="AF135" i="4"/>
  <c r="AG135" i="4"/>
  <c r="AH135" i="4"/>
  <c r="AI135" i="4"/>
  <c r="AJ135" i="4"/>
  <c r="AK135" i="4"/>
  <c r="AF136" i="4"/>
  <c r="AG136" i="4"/>
  <c r="AH136" i="4"/>
  <c r="AI136" i="4"/>
  <c r="AJ136" i="4"/>
  <c r="AK136" i="4"/>
  <c r="AF137" i="4"/>
  <c r="AG137" i="4"/>
  <c r="AH137" i="4"/>
  <c r="AI137" i="4"/>
  <c r="AJ137" i="4"/>
  <c r="AK137" i="4"/>
  <c r="AF138" i="4"/>
  <c r="AG138" i="4"/>
  <c r="AH138" i="4"/>
  <c r="AI138" i="4"/>
  <c r="AJ138" i="4"/>
  <c r="AK138" i="4"/>
  <c r="AF139" i="4"/>
  <c r="AG139" i="4"/>
  <c r="AH139" i="4"/>
  <c r="AI139" i="4"/>
  <c r="AJ139" i="4"/>
  <c r="AK139" i="4"/>
  <c r="AF140" i="4"/>
  <c r="AG140" i="4"/>
  <c r="AH140" i="4"/>
  <c r="AI140" i="4"/>
  <c r="AJ140" i="4"/>
  <c r="AK140" i="4"/>
  <c r="AF141" i="4"/>
  <c r="AG141" i="4"/>
  <c r="AH141" i="4"/>
  <c r="AI141" i="4"/>
  <c r="AJ141" i="4"/>
  <c r="AK141" i="4"/>
  <c r="AF142" i="4"/>
  <c r="AG142" i="4"/>
  <c r="AH142" i="4"/>
  <c r="AI142" i="4"/>
  <c r="AJ142" i="4"/>
  <c r="AK142" i="4"/>
  <c r="AF143" i="4"/>
  <c r="AG143" i="4"/>
  <c r="AH143" i="4"/>
  <c r="AI143" i="4"/>
  <c r="AJ143" i="4"/>
  <c r="AK143" i="4"/>
  <c r="AF144" i="4"/>
  <c r="AG144" i="4"/>
  <c r="AH144" i="4"/>
  <c r="AI144" i="4"/>
  <c r="AJ144" i="4"/>
  <c r="AK144" i="4"/>
  <c r="AF145" i="4"/>
  <c r="AG145" i="4"/>
  <c r="AH145" i="4"/>
  <c r="AI145" i="4"/>
  <c r="AJ145" i="4"/>
  <c r="AK145" i="4"/>
  <c r="AF146" i="4"/>
  <c r="AG146" i="4"/>
  <c r="AH146" i="4"/>
  <c r="AI146" i="4"/>
  <c r="AJ146" i="4"/>
  <c r="AK146" i="4"/>
  <c r="AF147" i="4"/>
  <c r="AG147" i="4"/>
  <c r="AH147" i="4"/>
  <c r="AI147" i="4"/>
  <c r="AJ147" i="4"/>
  <c r="AK147" i="4"/>
  <c r="AF148" i="4"/>
  <c r="AG148" i="4"/>
  <c r="AH148" i="4"/>
  <c r="AI148" i="4"/>
  <c r="AJ148" i="4"/>
  <c r="AK148" i="4"/>
  <c r="AF149" i="4"/>
  <c r="AG149" i="4"/>
  <c r="AH149" i="4"/>
  <c r="AI149" i="4"/>
  <c r="AJ149" i="4"/>
  <c r="AK149" i="4"/>
  <c r="AF150" i="4"/>
  <c r="AG150" i="4"/>
  <c r="AH150" i="4"/>
  <c r="AI150" i="4"/>
  <c r="AJ150" i="4"/>
  <c r="AK150" i="4"/>
  <c r="AF151" i="4"/>
  <c r="AG151" i="4"/>
  <c r="AH151" i="4"/>
  <c r="AI151" i="4"/>
  <c r="AJ151" i="4"/>
  <c r="AK151" i="4"/>
  <c r="AF152" i="4"/>
  <c r="AG152" i="4"/>
  <c r="AH152" i="4"/>
  <c r="AI152" i="4"/>
  <c r="AJ152" i="4"/>
  <c r="AK152" i="4"/>
  <c r="AF153" i="4"/>
  <c r="AG153" i="4"/>
  <c r="AH153" i="4"/>
  <c r="AI153" i="4"/>
  <c r="AJ153" i="4"/>
  <c r="AK153" i="4"/>
  <c r="AF154" i="4"/>
  <c r="AG154" i="4"/>
  <c r="AH154" i="4"/>
  <c r="AI154" i="4"/>
  <c r="AJ154" i="4"/>
  <c r="AK154" i="4"/>
  <c r="AF155" i="4"/>
  <c r="AG155" i="4"/>
  <c r="AH155" i="4"/>
  <c r="AI155" i="4"/>
  <c r="AJ155" i="4"/>
  <c r="AK155" i="4"/>
  <c r="AF156" i="4"/>
  <c r="AG156" i="4"/>
  <c r="AH156" i="4"/>
  <c r="AI156" i="4"/>
  <c r="AJ156" i="4"/>
  <c r="AK156" i="4"/>
  <c r="AF157" i="4"/>
  <c r="AG157" i="4"/>
  <c r="AH157" i="4"/>
  <c r="AI157" i="4"/>
  <c r="AJ157" i="4"/>
  <c r="AK157" i="4"/>
  <c r="AF158" i="4"/>
  <c r="AG158" i="4"/>
  <c r="AH158" i="4"/>
  <c r="AI158" i="4"/>
  <c r="AJ158" i="4"/>
  <c r="AK158" i="4"/>
  <c r="AF159" i="4"/>
  <c r="AG159" i="4"/>
  <c r="AH159" i="4"/>
  <c r="AI159" i="4"/>
  <c r="AJ159" i="4"/>
  <c r="AK159" i="4"/>
  <c r="AF160" i="4"/>
  <c r="AG160" i="4"/>
  <c r="AH160" i="4"/>
  <c r="AI160" i="4"/>
  <c r="AJ160" i="4"/>
  <c r="AK160" i="4"/>
  <c r="AF161" i="4"/>
  <c r="AG161" i="4"/>
  <c r="AH161" i="4"/>
  <c r="AI161" i="4"/>
  <c r="AJ161" i="4"/>
  <c r="AK161" i="4"/>
  <c r="AF162" i="4"/>
  <c r="AG162" i="4"/>
  <c r="AH162" i="4"/>
  <c r="AI162" i="4"/>
  <c r="AJ162" i="4"/>
  <c r="AK162" i="4"/>
  <c r="AF163" i="4"/>
  <c r="AG163" i="4"/>
  <c r="AH163" i="4"/>
  <c r="AI163" i="4"/>
  <c r="AJ163" i="4"/>
  <c r="AK163" i="4"/>
  <c r="AF164" i="4"/>
  <c r="AG164" i="4"/>
  <c r="AH164" i="4"/>
  <c r="AI164" i="4"/>
  <c r="AJ164" i="4"/>
  <c r="AK164" i="4"/>
  <c r="AF165" i="4"/>
  <c r="AG165" i="4"/>
  <c r="AH165" i="4"/>
  <c r="AI165" i="4"/>
  <c r="AJ165" i="4"/>
  <c r="AK165" i="4"/>
  <c r="AF166" i="4"/>
  <c r="AG166" i="4"/>
  <c r="AH166" i="4"/>
  <c r="AI166" i="4"/>
  <c r="AJ166" i="4"/>
  <c r="AK166" i="4"/>
  <c r="AF167" i="4"/>
  <c r="AG167" i="4"/>
  <c r="AH167" i="4"/>
  <c r="AI167" i="4"/>
  <c r="AJ167" i="4"/>
  <c r="AK167" i="4"/>
  <c r="AF168" i="4"/>
  <c r="AG168" i="4"/>
  <c r="AH168" i="4"/>
  <c r="AI168" i="4"/>
  <c r="AJ168" i="4"/>
  <c r="AK168" i="4"/>
  <c r="AF169" i="4"/>
  <c r="AG169" i="4"/>
  <c r="AH169" i="4"/>
  <c r="AI169" i="4"/>
  <c r="AJ169" i="4"/>
  <c r="AK169" i="4"/>
  <c r="AF170" i="4"/>
  <c r="AG170" i="4"/>
  <c r="AH170" i="4"/>
  <c r="AI170" i="4"/>
  <c r="AJ170" i="4"/>
  <c r="AK170" i="4"/>
  <c r="AF171" i="4"/>
  <c r="AG171" i="4"/>
  <c r="AH171" i="4"/>
  <c r="AI171" i="4"/>
  <c r="AJ171" i="4"/>
  <c r="AK171" i="4"/>
  <c r="AF172" i="4"/>
  <c r="AG172" i="4"/>
  <c r="AH172" i="4"/>
  <c r="AI172" i="4"/>
  <c r="AJ172" i="4"/>
  <c r="AK172" i="4"/>
  <c r="AF173" i="4"/>
  <c r="AG173" i="4"/>
  <c r="AH173" i="4"/>
  <c r="AI173" i="4"/>
  <c r="AJ173" i="4"/>
  <c r="AK173" i="4"/>
  <c r="AF174" i="4"/>
  <c r="AG174" i="4"/>
  <c r="AH174" i="4"/>
  <c r="AI174" i="4"/>
  <c r="AJ174" i="4"/>
  <c r="AK174" i="4"/>
  <c r="AF175" i="4"/>
  <c r="AG175" i="4"/>
  <c r="AH175" i="4"/>
  <c r="AI175" i="4"/>
  <c r="AJ175" i="4"/>
  <c r="AK175" i="4"/>
  <c r="AF176" i="4"/>
  <c r="AG176" i="4"/>
  <c r="AH176" i="4"/>
  <c r="AI176" i="4"/>
  <c r="AJ176" i="4"/>
  <c r="AK176" i="4"/>
  <c r="AF177" i="4"/>
  <c r="AG177" i="4"/>
  <c r="AH177" i="4"/>
  <c r="AI177" i="4"/>
  <c r="AJ177" i="4"/>
  <c r="AK177" i="4"/>
  <c r="AF178" i="4"/>
  <c r="AG178" i="4"/>
  <c r="AH178" i="4"/>
  <c r="AI178" i="4"/>
  <c r="AJ178" i="4"/>
  <c r="AK178" i="4"/>
  <c r="AF179" i="4"/>
  <c r="AG179" i="4"/>
  <c r="AH179" i="4"/>
  <c r="AI179" i="4"/>
  <c r="AJ179" i="4"/>
  <c r="AK179" i="4"/>
  <c r="AF180" i="4"/>
  <c r="AG180" i="4"/>
  <c r="AH180" i="4"/>
  <c r="AI180" i="4"/>
  <c r="AJ180" i="4"/>
  <c r="AK180" i="4"/>
  <c r="AF181" i="4"/>
  <c r="AG181" i="4"/>
  <c r="AH181" i="4"/>
  <c r="AI181" i="4"/>
  <c r="AJ181" i="4"/>
  <c r="AK181" i="4"/>
  <c r="AF182" i="4"/>
  <c r="AG182" i="4"/>
  <c r="AH182" i="4"/>
  <c r="AI182" i="4"/>
  <c r="AJ182" i="4"/>
  <c r="AK182" i="4"/>
  <c r="AF183" i="4"/>
  <c r="AG183" i="4"/>
  <c r="AH183" i="4"/>
  <c r="AI183" i="4"/>
  <c r="AJ183" i="4"/>
  <c r="AK183" i="4"/>
  <c r="AF184" i="4"/>
  <c r="AG184" i="4"/>
  <c r="AH184" i="4"/>
  <c r="AI184" i="4"/>
  <c r="AJ184" i="4"/>
  <c r="AK184" i="4"/>
  <c r="AF185" i="4"/>
  <c r="AG185" i="4"/>
  <c r="AH185" i="4"/>
  <c r="AI185" i="4"/>
  <c r="AJ185" i="4"/>
  <c r="AK185" i="4"/>
  <c r="AF186" i="4"/>
  <c r="AG186" i="4"/>
  <c r="AH186" i="4"/>
  <c r="AI186" i="4"/>
  <c r="AJ186" i="4"/>
  <c r="AK186" i="4"/>
  <c r="AF187" i="4"/>
  <c r="AG187" i="4"/>
  <c r="AH187" i="4"/>
  <c r="AI187" i="4"/>
  <c r="AJ187" i="4"/>
  <c r="AK187" i="4"/>
  <c r="AF188" i="4"/>
  <c r="AG188" i="4"/>
  <c r="AH188" i="4"/>
  <c r="AI188" i="4"/>
  <c r="AJ188" i="4"/>
  <c r="AK188" i="4"/>
  <c r="AF189" i="4"/>
  <c r="AG189" i="4"/>
  <c r="AH189" i="4"/>
  <c r="AI189" i="4"/>
  <c r="AJ189" i="4"/>
  <c r="AK189" i="4"/>
  <c r="AF190" i="4"/>
  <c r="AG190" i="4"/>
  <c r="AH190" i="4"/>
  <c r="AI190" i="4"/>
  <c r="AJ190" i="4"/>
  <c r="AK190" i="4"/>
  <c r="AF191" i="4"/>
  <c r="AG191" i="4"/>
  <c r="AH191" i="4"/>
  <c r="AI191" i="4"/>
  <c r="AJ191" i="4"/>
  <c r="AK191" i="4"/>
  <c r="AF192" i="4"/>
  <c r="AG192" i="4"/>
  <c r="AH192" i="4"/>
  <c r="AI192" i="4"/>
  <c r="AJ192" i="4"/>
  <c r="AK192" i="4"/>
  <c r="AF193" i="4"/>
  <c r="AG193" i="4"/>
  <c r="AH193" i="4"/>
  <c r="AI193" i="4"/>
  <c r="AJ193" i="4"/>
  <c r="AK193" i="4"/>
  <c r="AF194" i="4"/>
  <c r="AG194" i="4"/>
  <c r="AH194" i="4"/>
  <c r="AI194" i="4"/>
  <c r="AJ194" i="4"/>
  <c r="AK194" i="4"/>
  <c r="AF195" i="4"/>
  <c r="AG195" i="4"/>
  <c r="AH195" i="4"/>
  <c r="AI195" i="4"/>
  <c r="AJ195" i="4"/>
  <c r="AK195" i="4"/>
  <c r="AF196" i="4"/>
  <c r="AG196" i="4"/>
  <c r="AH196" i="4"/>
  <c r="AI196" i="4"/>
  <c r="AJ196" i="4"/>
  <c r="AK196" i="4"/>
  <c r="AF197" i="4"/>
  <c r="AG197" i="4"/>
  <c r="AH197" i="4"/>
  <c r="AI197" i="4"/>
  <c r="AJ197" i="4"/>
  <c r="AK197" i="4"/>
  <c r="AF198" i="4"/>
  <c r="AG198" i="4"/>
  <c r="AH198" i="4"/>
  <c r="AI198" i="4"/>
  <c r="AJ198" i="4"/>
  <c r="AK198" i="4"/>
  <c r="AF199" i="4"/>
  <c r="AG199" i="4"/>
  <c r="AH199" i="4"/>
  <c r="AI199" i="4"/>
  <c r="AJ199" i="4"/>
  <c r="AK199" i="4"/>
  <c r="AF200" i="4"/>
  <c r="AG200" i="4"/>
  <c r="AH200" i="4"/>
  <c r="AI200" i="4"/>
  <c r="AJ200" i="4"/>
  <c r="AK200" i="4"/>
  <c r="AF201" i="4"/>
  <c r="AG201" i="4"/>
  <c r="AH201" i="4"/>
  <c r="AI201" i="4"/>
  <c r="AJ201" i="4"/>
  <c r="AK201" i="4"/>
  <c r="AF202" i="4"/>
  <c r="AG202" i="4"/>
  <c r="AH202" i="4"/>
  <c r="AI202" i="4"/>
  <c r="AJ202" i="4"/>
  <c r="AK202" i="4"/>
  <c r="AF203" i="4"/>
  <c r="AG203" i="4"/>
  <c r="AH203" i="4"/>
  <c r="AI203" i="4"/>
  <c r="AJ203" i="4"/>
  <c r="AK203" i="4"/>
  <c r="AF204" i="4"/>
  <c r="AG204" i="4"/>
  <c r="AH204" i="4"/>
  <c r="AI204" i="4"/>
  <c r="AJ204" i="4"/>
  <c r="AK204" i="4"/>
  <c r="AF205" i="4"/>
  <c r="AG205" i="4"/>
  <c r="AH205" i="4"/>
  <c r="AI205" i="4"/>
  <c r="AJ205" i="4"/>
  <c r="AK205" i="4"/>
  <c r="AF206" i="4"/>
  <c r="AG206" i="4"/>
  <c r="AH206" i="4"/>
  <c r="AI206" i="4"/>
  <c r="AJ206" i="4"/>
  <c r="AK206" i="4"/>
  <c r="AF207" i="4"/>
  <c r="AG207" i="4"/>
  <c r="AH207" i="4"/>
  <c r="AI207" i="4"/>
  <c r="AJ207" i="4"/>
  <c r="AK207" i="4"/>
  <c r="AF208" i="4"/>
  <c r="AG208" i="4"/>
  <c r="AH208" i="4"/>
  <c r="AI208" i="4"/>
  <c r="AJ208" i="4"/>
  <c r="AK208" i="4"/>
  <c r="AF209" i="4"/>
  <c r="AG209" i="4"/>
  <c r="AH209" i="4"/>
  <c r="AI209" i="4"/>
  <c r="AJ209" i="4"/>
  <c r="AK209" i="4"/>
  <c r="AF210" i="4"/>
  <c r="AG210" i="4"/>
  <c r="AH210" i="4"/>
  <c r="AI210" i="4"/>
  <c r="AJ210" i="4"/>
  <c r="AK210" i="4"/>
  <c r="AF211" i="4"/>
  <c r="AG211" i="4"/>
  <c r="AH211" i="4"/>
  <c r="AI211" i="4"/>
  <c r="AJ211" i="4"/>
  <c r="AK211" i="4"/>
  <c r="AF212" i="4"/>
  <c r="AG212" i="4"/>
  <c r="AH212" i="4"/>
  <c r="AI212" i="4"/>
  <c r="AJ212" i="4"/>
  <c r="AK212" i="4"/>
  <c r="AF213" i="4"/>
  <c r="AG213" i="4"/>
  <c r="AH213" i="4"/>
  <c r="AI213" i="4"/>
  <c r="AJ213" i="4"/>
  <c r="AK213" i="4"/>
  <c r="AF214" i="4"/>
  <c r="AG214" i="4"/>
  <c r="AH214" i="4"/>
  <c r="AI214" i="4"/>
  <c r="AJ214" i="4"/>
  <c r="AK214" i="4"/>
  <c r="AF215" i="4"/>
  <c r="AG215" i="4"/>
  <c r="AH215" i="4"/>
  <c r="AI215" i="4"/>
  <c r="AJ215" i="4"/>
  <c r="AK215" i="4"/>
  <c r="AF216" i="4"/>
  <c r="AG216" i="4"/>
  <c r="AH216" i="4"/>
  <c r="AI216" i="4"/>
  <c r="AJ216" i="4"/>
  <c r="AK216" i="4"/>
  <c r="AF217" i="4"/>
  <c r="AG217" i="4"/>
  <c r="AH217" i="4"/>
  <c r="AI217" i="4"/>
  <c r="AJ217" i="4"/>
  <c r="AK217" i="4"/>
  <c r="AF218" i="4"/>
  <c r="AG218" i="4"/>
  <c r="AH218" i="4"/>
  <c r="AI218" i="4"/>
  <c r="AJ218" i="4"/>
  <c r="AK218" i="4"/>
  <c r="AF219" i="4"/>
  <c r="AG219" i="4"/>
  <c r="AH219" i="4"/>
  <c r="AI219" i="4"/>
  <c r="AJ219" i="4"/>
  <c r="AK219" i="4"/>
  <c r="AF220" i="4"/>
  <c r="AG220" i="4"/>
  <c r="AH220" i="4"/>
  <c r="AI220" i="4"/>
  <c r="AJ220" i="4"/>
  <c r="AK220" i="4"/>
  <c r="AF221" i="4"/>
  <c r="AG221" i="4"/>
  <c r="AH221" i="4"/>
  <c r="AI221" i="4"/>
  <c r="AJ221" i="4"/>
  <c r="AK221" i="4"/>
  <c r="AF222" i="4"/>
  <c r="AG222" i="4"/>
  <c r="AH222" i="4"/>
  <c r="AI222" i="4"/>
  <c r="AJ222" i="4"/>
  <c r="AK222" i="4"/>
  <c r="AF223" i="4"/>
  <c r="AG223" i="4"/>
  <c r="AH223" i="4"/>
  <c r="AI223" i="4"/>
  <c r="AJ223" i="4"/>
  <c r="AK223" i="4"/>
  <c r="AF224" i="4"/>
  <c r="AG224" i="4"/>
  <c r="AH224" i="4"/>
  <c r="AI224" i="4"/>
  <c r="AJ224" i="4"/>
  <c r="AK224" i="4"/>
  <c r="AF225" i="4"/>
  <c r="AG225" i="4"/>
  <c r="AH225" i="4"/>
  <c r="AI225" i="4"/>
  <c r="AJ225" i="4"/>
  <c r="AK225" i="4"/>
  <c r="AF226" i="4"/>
  <c r="AG226" i="4"/>
  <c r="AH226" i="4"/>
  <c r="AI226" i="4"/>
  <c r="AJ226" i="4"/>
  <c r="AK226" i="4"/>
  <c r="AF227" i="4"/>
  <c r="AG227" i="4"/>
  <c r="AH227" i="4"/>
  <c r="AI227" i="4"/>
  <c r="AJ227" i="4"/>
  <c r="AK227" i="4"/>
  <c r="AF228" i="4"/>
  <c r="AG228" i="4"/>
  <c r="AH228" i="4"/>
  <c r="AI228" i="4"/>
  <c r="AJ228" i="4"/>
  <c r="AK228" i="4"/>
  <c r="AF229" i="4"/>
  <c r="AG229" i="4"/>
  <c r="AH229" i="4"/>
  <c r="AI229" i="4"/>
  <c r="AJ229" i="4"/>
  <c r="AK229" i="4"/>
  <c r="AF230" i="4"/>
  <c r="AG230" i="4"/>
  <c r="AH230" i="4"/>
  <c r="AI230" i="4"/>
  <c r="AJ230" i="4"/>
  <c r="AK230" i="4"/>
  <c r="AF231" i="4"/>
  <c r="AG231" i="4"/>
  <c r="AH231" i="4"/>
  <c r="AI231" i="4"/>
  <c r="AJ231" i="4"/>
  <c r="AK231" i="4"/>
  <c r="AF232" i="4"/>
  <c r="AG232" i="4"/>
  <c r="AH232" i="4"/>
  <c r="AI232" i="4"/>
  <c r="AJ232" i="4"/>
  <c r="AK232" i="4"/>
  <c r="AF233" i="4"/>
  <c r="AG233" i="4"/>
  <c r="AH233" i="4"/>
  <c r="AI233" i="4"/>
  <c r="AJ233" i="4"/>
  <c r="AK233" i="4"/>
  <c r="AF234" i="4"/>
  <c r="AG234" i="4"/>
  <c r="AH234" i="4"/>
  <c r="AI234" i="4"/>
  <c r="AJ234" i="4"/>
  <c r="AK234" i="4"/>
  <c r="AF235" i="4"/>
  <c r="AG235" i="4"/>
  <c r="AH235" i="4"/>
  <c r="AI235" i="4"/>
  <c r="AJ235" i="4"/>
  <c r="AK235" i="4"/>
  <c r="AF236" i="4"/>
  <c r="AG236" i="4"/>
  <c r="AH236" i="4"/>
  <c r="AI236" i="4"/>
  <c r="AJ236" i="4"/>
  <c r="AK236" i="4"/>
  <c r="AF237" i="4"/>
  <c r="AG237" i="4"/>
  <c r="AH237" i="4"/>
  <c r="AI237" i="4"/>
  <c r="AJ237" i="4"/>
  <c r="AK237" i="4"/>
  <c r="AF238" i="4"/>
  <c r="AG238" i="4"/>
  <c r="AH238" i="4"/>
  <c r="AI238" i="4"/>
  <c r="AJ238" i="4"/>
  <c r="AK238" i="4"/>
  <c r="AF239" i="4"/>
  <c r="AG239" i="4"/>
  <c r="AH239" i="4"/>
  <c r="AI239" i="4"/>
  <c r="AJ239" i="4"/>
  <c r="AK239" i="4"/>
  <c r="AF240" i="4"/>
  <c r="AG240" i="4"/>
  <c r="AH240" i="4"/>
  <c r="AI240" i="4"/>
  <c r="AJ240" i="4"/>
  <c r="AK240" i="4"/>
  <c r="AF241" i="4"/>
  <c r="AG241" i="4"/>
  <c r="AH241" i="4"/>
  <c r="AI241" i="4"/>
  <c r="AJ241" i="4"/>
  <c r="AK241" i="4"/>
  <c r="AF242" i="4"/>
  <c r="AG242" i="4"/>
  <c r="AH242" i="4"/>
  <c r="AI242" i="4"/>
  <c r="AJ242" i="4"/>
  <c r="AK242" i="4"/>
  <c r="AF243" i="4"/>
  <c r="AG243" i="4"/>
  <c r="AH243" i="4"/>
  <c r="AI243" i="4"/>
  <c r="AJ243" i="4"/>
  <c r="AK243" i="4"/>
  <c r="AF244" i="4"/>
  <c r="AG244" i="4"/>
  <c r="AH244" i="4"/>
  <c r="AI244" i="4"/>
  <c r="AJ244" i="4"/>
  <c r="AK244" i="4"/>
  <c r="AF245" i="4"/>
  <c r="AG245" i="4"/>
  <c r="AH245" i="4"/>
  <c r="AI245" i="4"/>
  <c r="AJ245" i="4"/>
  <c r="AK245" i="4"/>
  <c r="AF246" i="4"/>
  <c r="AG246" i="4"/>
  <c r="AH246" i="4"/>
  <c r="AI246" i="4"/>
  <c r="AJ246" i="4"/>
  <c r="AK246" i="4"/>
  <c r="AF247" i="4"/>
  <c r="AG247" i="4"/>
  <c r="AH247" i="4"/>
  <c r="AI247" i="4"/>
  <c r="AJ247" i="4"/>
  <c r="AK247" i="4"/>
  <c r="AF248" i="4"/>
  <c r="AG248" i="4"/>
  <c r="AH248" i="4"/>
  <c r="AI248" i="4"/>
  <c r="AJ248" i="4"/>
  <c r="AK248" i="4"/>
  <c r="AF249" i="4"/>
  <c r="AG249" i="4"/>
  <c r="AH249" i="4"/>
  <c r="AI249" i="4"/>
  <c r="AJ249" i="4"/>
  <c r="AK249" i="4"/>
  <c r="AF250" i="4"/>
  <c r="AG250" i="4"/>
  <c r="AH250" i="4"/>
  <c r="AI250" i="4"/>
  <c r="AJ250" i="4"/>
  <c r="AK250" i="4"/>
  <c r="AF251" i="4"/>
  <c r="AG251" i="4"/>
  <c r="AH251" i="4"/>
  <c r="AI251" i="4"/>
  <c r="AJ251" i="4"/>
  <c r="AK251" i="4"/>
  <c r="AF252" i="4"/>
  <c r="AG252" i="4"/>
  <c r="AH252" i="4"/>
  <c r="AI252" i="4"/>
  <c r="AJ252" i="4"/>
  <c r="AK252" i="4"/>
  <c r="AF253" i="4"/>
  <c r="AG253" i="4"/>
  <c r="AH253" i="4"/>
  <c r="AI253" i="4"/>
  <c r="AJ253" i="4"/>
  <c r="AK253" i="4"/>
  <c r="AF254" i="4"/>
  <c r="AG254" i="4"/>
  <c r="AH254" i="4"/>
  <c r="AI254" i="4"/>
  <c r="AJ254" i="4"/>
  <c r="AK254" i="4"/>
  <c r="AF255" i="4"/>
  <c r="AG255" i="4"/>
  <c r="AH255" i="4"/>
  <c r="AI255" i="4"/>
  <c r="AJ255" i="4"/>
  <c r="AK255" i="4"/>
  <c r="AF256" i="4"/>
  <c r="AG256" i="4"/>
  <c r="AH256" i="4"/>
  <c r="AI256" i="4"/>
  <c r="AJ256" i="4"/>
  <c r="AK256" i="4"/>
  <c r="AF257" i="4"/>
  <c r="AG257" i="4"/>
  <c r="AH257" i="4"/>
  <c r="AI257" i="4"/>
  <c r="AJ257" i="4"/>
  <c r="AK257" i="4"/>
  <c r="AF258" i="4"/>
  <c r="AG258" i="4"/>
  <c r="AH258" i="4"/>
  <c r="AI258" i="4"/>
  <c r="AJ258" i="4"/>
  <c r="AK258" i="4"/>
  <c r="AF259" i="4"/>
  <c r="AG259" i="4"/>
  <c r="AH259" i="4"/>
  <c r="AI259" i="4"/>
  <c r="AJ259" i="4"/>
  <c r="AK259" i="4"/>
  <c r="AF260" i="4"/>
  <c r="AG260" i="4"/>
  <c r="AH260" i="4"/>
  <c r="AI260" i="4"/>
  <c r="AJ260" i="4"/>
  <c r="AK260" i="4"/>
  <c r="AF261" i="4"/>
  <c r="AG261" i="4"/>
  <c r="AH261" i="4"/>
  <c r="AI261" i="4"/>
  <c r="AJ261" i="4"/>
  <c r="AK261" i="4"/>
  <c r="AF262" i="4"/>
  <c r="AG262" i="4"/>
  <c r="AH262" i="4"/>
  <c r="AI262" i="4"/>
  <c r="AJ262" i="4"/>
  <c r="AK262" i="4"/>
  <c r="AF263" i="4"/>
  <c r="AG263" i="4"/>
  <c r="AH263" i="4"/>
  <c r="AI263" i="4"/>
  <c r="AJ263" i="4"/>
  <c r="AK263" i="4"/>
  <c r="AF264" i="4"/>
  <c r="AG264" i="4"/>
  <c r="AH264" i="4"/>
  <c r="AI264" i="4"/>
  <c r="AJ264" i="4"/>
  <c r="AK264" i="4"/>
  <c r="AF265" i="4"/>
  <c r="AG265" i="4"/>
  <c r="AH265" i="4"/>
  <c r="AI265" i="4"/>
  <c r="AJ265" i="4"/>
  <c r="AK265" i="4"/>
  <c r="AF266" i="4"/>
  <c r="AG266" i="4"/>
  <c r="AH266" i="4"/>
  <c r="AI266" i="4"/>
  <c r="AJ266" i="4"/>
  <c r="AK266" i="4"/>
  <c r="AF267" i="4"/>
  <c r="AG267" i="4"/>
  <c r="AH267" i="4"/>
  <c r="AI267" i="4"/>
  <c r="AJ267" i="4"/>
  <c r="AK267" i="4"/>
  <c r="AF268" i="4"/>
  <c r="AG268" i="4"/>
  <c r="AH268" i="4"/>
  <c r="AI268" i="4"/>
  <c r="AJ268" i="4"/>
  <c r="AK268" i="4"/>
  <c r="AF269" i="4"/>
  <c r="AG269" i="4"/>
  <c r="AH269" i="4"/>
  <c r="AI269" i="4"/>
  <c r="AJ269" i="4"/>
  <c r="AK269" i="4"/>
  <c r="AF270" i="4"/>
  <c r="AG270" i="4"/>
  <c r="AH270" i="4"/>
  <c r="AI270" i="4"/>
  <c r="AJ270" i="4"/>
  <c r="AK270" i="4"/>
  <c r="AF271" i="4"/>
  <c r="AG271" i="4"/>
  <c r="AH271" i="4"/>
  <c r="AI271" i="4"/>
  <c r="AJ271" i="4"/>
  <c r="AK271" i="4"/>
  <c r="AF272" i="4"/>
  <c r="AG272" i="4"/>
  <c r="AH272" i="4"/>
  <c r="AI272" i="4"/>
  <c r="AJ272" i="4"/>
  <c r="AK272" i="4"/>
  <c r="AF273" i="4"/>
  <c r="AG273" i="4"/>
  <c r="AH273" i="4"/>
  <c r="AI273" i="4"/>
  <c r="AJ273" i="4"/>
  <c r="AK273" i="4"/>
  <c r="AF274" i="4"/>
  <c r="AG274" i="4"/>
  <c r="AH274" i="4"/>
  <c r="AI274" i="4"/>
  <c r="AJ274" i="4"/>
  <c r="AK274" i="4"/>
  <c r="AF275" i="4"/>
  <c r="AG275" i="4"/>
  <c r="AH275" i="4"/>
  <c r="AI275" i="4"/>
  <c r="AJ275" i="4"/>
  <c r="AK275" i="4"/>
  <c r="AF276" i="4"/>
  <c r="AG276" i="4"/>
  <c r="AH276" i="4"/>
  <c r="AI276" i="4"/>
  <c r="AJ276" i="4"/>
  <c r="AK276" i="4"/>
  <c r="AF277" i="4"/>
  <c r="AG277" i="4"/>
  <c r="AH277" i="4"/>
  <c r="AI277" i="4"/>
  <c r="AJ277" i="4"/>
  <c r="AK277" i="4"/>
  <c r="AF278" i="4"/>
  <c r="AG278" i="4"/>
  <c r="AH278" i="4"/>
  <c r="AI278" i="4"/>
  <c r="AJ278" i="4"/>
  <c r="AK278" i="4"/>
  <c r="AF279" i="4"/>
  <c r="AG279" i="4"/>
  <c r="AH279" i="4"/>
  <c r="AI279" i="4"/>
  <c r="AJ279" i="4"/>
  <c r="AK279" i="4"/>
  <c r="AF280" i="4"/>
  <c r="AG280" i="4"/>
  <c r="AH280" i="4"/>
  <c r="AI280" i="4"/>
  <c r="AJ280" i="4"/>
  <c r="AK280" i="4"/>
  <c r="AF281" i="4"/>
  <c r="AG281" i="4"/>
  <c r="AH281" i="4"/>
  <c r="AI281" i="4"/>
  <c r="AJ281" i="4"/>
  <c r="AK281" i="4"/>
  <c r="AF282" i="4"/>
  <c r="AG282" i="4"/>
  <c r="AH282" i="4"/>
  <c r="AI282" i="4"/>
  <c r="AJ282" i="4"/>
  <c r="AK282" i="4"/>
  <c r="AF283" i="4"/>
  <c r="AG283" i="4"/>
  <c r="AH283" i="4"/>
  <c r="AI283" i="4"/>
  <c r="AJ283" i="4"/>
  <c r="AK283" i="4"/>
  <c r="AF284" i="4"/>
  <c r="AG284" i="4"/>
  <c r="AH284" i="4"/>
  <c r="AI284" i="4"/>
  <c r="AJ284" i="4"/>
  <c r="AK284" i="4"/>
  <c r="AF285" i="4"/>
  <c r="AG285" i="4"/>
  <c r="AH285" i="4"/>
  <c r="AI285" i="4"/>
  <c r="AJ285" i="4"/>
  <c r="AK285" i="4"/>
  <c r="AF286" i="4"/>
  <c r="AG286" i="4"/>
  <c r="AH286" i="4"/>
  <c r="AI286" i="4"/>
  <c r="AJ286" i="4"/>
  <c r="AK286" i="4"/>
  <c r="AF287" i="4"/>
  <c r="AG287" i="4"/>
  <c r="AH287" i="4"/>
  <c r="AI287" i="4"/>
  <c r="AJ287" i="4"/>
  <c r="AK287" i="4"/>
  <c r="AF288" i="4"/>
  <c r="AG288" i="4"/>
  <c r="AH288" i="4"/>
  <c r="AI288" i="4"/>
  <c r="AJ288" i="4"/>
  <c r="AK288" i="4"/>
  <c r="AF289" i="4"/>
  <c r="AG289" i="4"/>
  <c r="AH289" i="4"/>
  <c r="AI289" i="4"/>
  <c r="AJ289" i="4"/>
  <c r="AK289" i="4"/>
  <c r="AF290" i="4"/>
  <c r="AG290" i="4"/>
  <c r="AH290" i="4"/>
  <c r="AI290" i="4"/>
  <c r="AJ290" i="4"/>
  <c r="AK290" i="4"/>
  <c r="AF291" i="4"/>
  <c r="AG291" i="4"/>
  <c r="AH291" i="4"/>
  <c r="AI291" i="4"/>
  <c r="AJ291" i="4"/>
  <c r="AK291" i="4"/>
  <c r="AF292" i="4"/>
  <c r="AG292" i="4"/>
  <c r="AH292" i="4"/>
  <c r="AI292" i="4"/>
  <c r="AJ292" i="4"/>
  <c r="AK292" i="4"/>
  <c r="AF293" i="4"/>
  <c r="AG293" i="4"/>
  <c r="AH293" i="4"/>
  <c r="AI293" i="4"/>
  <c r="AJ293" i="4"/>
  <c r="AK293" i="4"/>
  <c r="AF294" i="4"/>
  <c r="AG294" i="4"/>
  <c r="AH294" i="4"/>
  <c r="AI294" i="4"/>
  <c r="AJ294" i="4"/>
  <c r="AK294" i="4"/>
  <c r="AF295" i="4"/>
  <c r="AG295" i="4"/>
  <c r="AH295" i="4"/>
  <c r="AI295" i="4"/>
  <c r="AJ295" i="4"/>
  <c r="AK295" i="4"/>
  <c r="AF296" i="4"/>
  <c r="AG296" i="4"/>
  <c r="AH296" i="4"/>
  <c r="AI296" i="4"/>
  <c r="AJ296" i="4"/>
  <c r="AK296" i="4"/>
  <c r="AF297" i="4"/>
  <c r="AG297" i="4"/>
  <c r="AH297" i="4"/>
  <c r="AI297" i="4"/>
  <c r="AJ297" i="4"/>
  <c r="AK297" i="4"/>
  <c r="AF298" i="4"/>
  <c r="AG298" i="4"/>
  <c r="AH298" i="4"/>
  <c r="AI298" i="4"/>
  <c r="AJ298" i="4"/>
  <c r="AK298" i="4"/>
  <c r="AF299" i="4"/>
  <c r="AG299" i="4"/>
  <c r="AH299" i="4"/>
  <c r="AI299" i="4"/>
  <c r="AJ299" i="4"/>
  <c r="AK299" i="4"/>
  <c r="AF300" i="4"/>
  <c r="AG300" i="4"/>
  <c r="AH300" i="4"/>
  <c r="AI300" i="4"/>
  <c r="AJ300" i="4"/>
  <c r="AK300" i="4"/>
  <c r="AF301" i="4"/>
  <c r="AG301" i="4"/>
  <c r="AH301" i="4"/>
  <c r="AI301" i="4"/>
  <c r="AJ301" i="4"/>
  <c r="AK301" i="4"/>
  <c r="AF302" i="4"/>
  <c r="AG302" i="4"/>
  <c r="AH302" i="4"/>
  <c r="AI302" i="4"/>
  <c r="AJ302" i="4"/>
  <c r="AK302" i="4"/>
  <c r="AF303" i="4"/>
  <c r="AG303" i="4"/>
  <c r="AH303" i="4"/>
  <c r="AI303" i="4"/>
  <c r="AJ303" i="4"/>
  <c r="AK303" i="4"/>
  <c r="AF304" i="4"/>
  <c r="AG304" i="4"/>
  <c r="AH304" i="4"/>
  <c r="AI304" i="4"/>
  <c r="AJ304" i="4"/>
  <c r="AK304" i="4"/>
  <c r="AF305" i="4"/>
  <c r="AG305" i="4"/>
  <c r="AH305" i="4"/>
  <c r="AI305" i="4"/>
  <c r="AJ305" i="4"/>
  <c r="AK305" i="4"/>
  <c r="AF306" i="4"/>
  <c r="AG306" i="4"/>
  <c r="AH306" i="4"/>
  <c r="AI306" i="4"/>
  <c r="AJ306" i="4"/>
  <c r="AK306" i="4"/>
  <c r="AF307" i="4"/>
  <c r="AG307" i="4"/>
  <c r="AH307" i="4"/>
  <c r="AI307" i="4"/>
  <c r="AJ307" i="4"/>
  <c r="AK307" i="4"/>
  <c r="AF308" i="4"/>
  <c r="AG308" i="4"/>
  <c r="AH308" i="4"/>
  <c r="AI308" i="4"/>
  <c r="AJ308" i="4"/>
  <c r="AK308" i="4"/>
  <c r="AF309" i="4"/>
  <c r="AG309" i="4"/>
  <c r="AH309" i="4"/>
  <c r="AI309" i="4"/>
  <c r="AJ309" i="4"/>
  <c r="AK309" i="4"/>
  <c r="AF310" i="4"/>
  <c r="AG310" i="4"/>
  <c r="AH310" i="4"/>
  <c r="AI310" i="4"/>
  <c r="AJ310" i="4"/>
  <c r="AK310" i="4"/>
  <c r="AF311" i="4"/>
  <c r="AG311" i="4"/>
  <c r="AH311" i="4"/>
  <c r="AI311" i="4"/>
  <c r="AJ311" i="4"/>
  <c r="AK311" i="4"/>
  <c r="AF312" i="4"/>
  <c r="AG312" i="4"/>
  <c r="AH312" i="4"/>
  <c r="AI312" i="4"/>
  <c r="AJ312" i="4"/>
  <c r="AK312" i="4"/>
  <c r="AF313" i="4"/>
  <c r="AG313" i="4"/>
  <c r="AH313" i="4"/>
  <c r="AI313" i="4"/>
  <c r="AJ313" i="4"/>
  <c r="AK313" i="4"/>
  <c r="AF314" i="4"/>
  <c r="AG314" i="4"/>
  <c r="AH314" i="4"/>
  <c r="AI314" i="4"/>
  <c r="AJ314" i="4"/>
  <c r="AK314" i="4"/>
  <c r="AF315" i="4"/>
  <c r="AG315" i="4"/>
  <c r="AH315" i="4"/>
  <c r="AI315" i="4"/>
  <c r="AJ315" i="4"/>
  <c r="AK315" i="4"/>
  <c r="AF316" i="4"/>
  <c r="AG316" i="4"/>
  <c r="AH316" i="4"/>
  <c r="AI316" i="4"/>
  <c r="AJ316" i="4"/>
  <c r="AK316" i="4"/>
  <c r="AF317" i="4"/>
  <c r="AG317" i="4"/>
  <c r="AH317" i="4"/>
  <c r="AI317" i="4"/>
  <c r="AJ317" i="4"/>
  <c r="AK317" i="4"/>
  <c r="AF318" i="4"/>
  <c r="AG318" i="4"/>
  <c r="AH318" i="4"/>
  <c r="AI318" i="4"/>
  <c r="AJ318" i="4"/>
  <c r="AK318" i="4"/>
  <c r="AF319" i="4"/>
  <c r="AG319" i="4"/>
  <c r="AH319" i="4"/>
  <c r="AI319" i="4"/>
  <c r="AJ319" i="4"/>
  <c r="AK319" i="4"/>
  <c r="AF320" i="4"/>
  <c r="AG320" i="4"/>
  <c r="AH320" i="4"/>
  <c r="AI320" i="4"/>
  <c r="AJ320" i="4"/>
  <c r="AK320" i="4"/>
  <c r="AF321" i="4"/>
  <c r="AG321" i="4"/>
  <c r="AH321" i="4"/>
  <c r="AI321" i="4"/>
  <c r="AJ321" i="4"/>
  <c r="AK321" i="4"/>
  <c r="AF322" i="4"/>
  <c r="AG322" i="4"/>
  <c r="AH322" i="4"/>
  <c r="AI322" i="4"/>
  <c r="AJ322" i="4"/>
  <c r="AK322" i="4"/>
  <c r="AF323" i="4"/>
  <c r="AG323" i="4"/>
  <c r="AH323" i="4"/>
  <c r="AI323" i="4"/>
  <c r="AJ323" i="4"/>
  <c r="AK323" i="4"/>
  <c r="AF324" i="4"/>
  <c r="AG324" i="4"/>
  <c r="AH324" i="4"/>
  <c r="AI324" i="4"/>
  <c r="AJ324" i="4"/>
  <c r="AK324" i="4"/>
  <c r="AF325" i="4"/>
  <c r="AG325" i="4"/>
  <c r="AH325" i="4"/>
  <c r="AI325" i="4"/>
  <c r="AJ325" i="4"/>
  <c r="AK325" i="4"/>
  <c r="AF326" i="4"/>
  <c r="AG326" i="4"/>
  <c r="AH326" i="4"/>
  <c r="AI326" i="4"/>
  <c r="AJ326" i="4"/>
  <c r="AK326" i="4"/>
  <c r="AF327" i="4"/>
  <c r="AG327" i="4"/>
  <c r="AH327" i="4"/>
  <c r="AI327" i="4"/>
  <c r="AJ327" i="4"/>
  <c r="AK327" i="4"/>
  <c r="AF328" i="4"/>
  <c r="AG328" i="4"/>
  <c r="AH328" i="4"/>
  <c r="AI328" i="4"/>
  <c r="AJ328" i="4"/>
  <c r="AK328" i="4"/>
  <c r="AF329" i="4"/>
  <c r="AG329" i="4"/>
  <c r="AH329" i="4"/>
  <c r="AI329" i="4"/>
  <c r="AJ329" i="4"/>
  <c r="AK329" i="4"/>
  <c r="AF330" i="4"/>
  <c r="AG330" i="4"/>
  <c r="AH330" i="4"/>
  <c r="AI330" i="4"/>
  <c r="AJ330" i="4"/>
  <c r="AK330" i="4"/>
  <c r="AF331" i="4"/>
  <c r="AG331" i="4"/>
  <c r="AH331" i="4"/>
  <c r="AI331" i="4"/>
  <c r="AJ331" i="4"/>
  <c r="AK331" i="4"/>
  <c r="AF332" i="4"/>
  <c r="AG332" i="4"/>
  <c r="AH332" i="4"/>
  <c r="AI332" i="4"/>
  <c r="AJ332" i="4"/>
  <c r="AK332" i="4"/>
  <c r="AF333" i="4"/>
  <c r="AG333" i="4"/>
  <c r="AH333" i="4"/>
  <c r="AI333" i="4"/>
  <c r="AJ333" i="4"/>
  <c r="AK333" i="4"/>
  <c r="AF334" i="4"/>
  <c r="AG334" i="4"/>
  <c r="AH334" i="4"/>
  <c r="AI334" i="4"/>
  <c r="AJ334" i="4"/>
  <c r="AK334" i="4"/>
  <c r="AF335" i="4"/>
  <c r="AG335" i="4"/>
  <c r="AH335" i="4"/>
  <c r="AI335" i="4"/>
  <c r="AJ335" i="4"/>
  <c r="AK335" i="4"/>
  <c r="AF336" i="4"/>
  <c r="AG336" i="4"/>
  <c r="AH336" i="4"/>
  <c r="AI336" i="4"/>
  <c r="AJ336" i="4"/>
  <c r="AK336" i="4"/>
  <c r="AF337" i="4"/>
  <c r="AG337" i="4"/>
  <c r="AH337" i="4"/>
  <c r="AI337" i="4"/>
  <c r="AJ337" i="4"/>
  <c r="AK337" i="4"/>
  <c r="AF338" i="4"/>
  <c r="AG338" i="4"/>
  <c r="AH338" i="4"/>
  <c r="AI338" i="4"/>
  <c r="AJ338" i="4"/>
  <c r="AK338" i="4"/>
  <c r="AF339" i="4"/>
  <c r="AG339" i="4"/>
  <c r="AH339" i="4"/>
  <c r="AI339" i="4"/>
  <c r="AJ339" i="4"/>
  <c r="AK339" i="4"/>
  <c r="AF340" i="4"/>
  <c r="AG340" i="4"/>
  <c r="AH340" i="4"/>
  <c r="AI340" i="4"/>
  <c r="AJ340" i="4"/>
  <c r="AK340" i="4"/>
  <c r="AF341" i="4"/>
  <c r="AG341" i="4"/>
  <c r="AH341" i="4"/>
  <c r="AI341" i="4"/>
  <c r="AJ341" i="4"/>
  <c r="AK341" i="4"/>
  <c r="AF342" i="4"/>
  <c r="AG342" i="4"/>
  <c r="AH342" i="4"/>
  <c r="AI342" i="4"/>
  <c r="AJ342" i="4"/>
  <c r="AK342" i="4"/>
  <c r="AF343" i="4"/>
  <c r="AG343" i="4"/>
  <c r="AH343" i="4"/>
  <c r="AI343" i="4"/>
  <c r="AJ343" i="4"/>
  <c r="AK343" i="4"/>
  <c r="AF344" i="4"/>
  <c r="AG344" i="4"/>
  <c r="AH344" i="4"/>
  <c r="AI344" i="4"/>
  <c r="AJ344" i="4"/>
  <c r="AK344" i="4"/>
  <c r="AF345" i="4"/>
  <c r="AG345" i="4"/>
  <c r="AH345" i="4"/>
  <c r="AI345" i="4"/>
  <c r="AJ345" i="4"/>
  <c r="AK345" i="4"/>
  <c r="AF346" i="4"/>
  <c r="AG346" i="4"/>
  <c r="AH346" i="4"/>
  <c r="AI346" i="4"/>
  <c r="AJ346" i="4"/>
  <c r="AK346" i="4"/>
  <c r="AF347" i="4"/>
  <c r="AG347" i="4"/>
  <c r="AH347" i="4"/>
  <c r="AI347" i="4"/>
  <c r="AJ347" i="4"/>
  <c r="AK347" i="4"/>
  <c r="AF348" i="4"/>
  <c r="AG348" i="4"/>
  <c r="AH348" i="4"/>
  <c r="AI348" i="4"/>
  <c r="AJ348" i="4"/>
  <c r="AK348" i="4"/>
  <c r="AF349" i="4"/>
  <c r="AG349" i="4"/>
  <c r="AH349" i="4"/>
  <c r="AI349" i="4"/>
  <c r="AJ349" i="4"/>
  <c r="AK349" i="4"/>
  <c r="AF350" i="4"/>
  <c r="AG350" i="4"/>
  <c r="AH350" i="4"/>
  <c r="AI350" i="4"/>
  <c r="AJ350" i="4"/>
  <c r="AK350" i="4"/>
  <c r="AF351" i="4"/>
  <c r="AG351" i="4"/>
  <c r="AH351" i="4"/>
  <c r="AI351" i="4"/>
  <c r="AJ351" i="4"/>
  <c r="AK351" i="4"/>
  <c r="AF352" i="4"/>
  <c r="AG352" i="4"/>
  <c r="AH352" i="4"/>
  <c r="AI352" i="4"/>
  <c r="AJ352" i="4"/>
  <c r="AK352" i="4"/>
  <c r="AF353" i="4"/>
  <c r="AG353" i="4"/>
  <c r="AH353" i="4"/>
  <c r="AI353" i="4"/>
  <c r="AJ353" i="4"/>
  <c r="AK353" i="4"/>
  <c r="AF354" i="4"/>
  <c r="AG354" i="4"/>
  <c r="AH354" i="4"/>
  <c r="AI354" i="4"/>
  <c r="AJ354" i="4"/>
  <c r="AK354" i="4"/>
  <c r="AF355" i="4"/>
  <c r="AG355" i="4"/>
  <c r="AH355" i="4"/>
  <c r="AI355" i="4"/>
  <c r="AJ355" i="4"/>
  <c r="AK355" i="4"/>
  <c r="AF356" i="4"/>
  <c r="AG356" i="4"/>
  <c r="AH356" i="4"/>
  <c r="AI356" i="4"/>
  <c r="AJ356" i="4"/>
  <c r="AK356" i="4"/>
  <c r="AF357" i="4"/>
  <c r="AG357" i="4"/>
  <c r="AH357" i="4"/>
  <c r="AI357" i="4"/>
  <c r="AJ357" i="4"/>
  <c r="AK357" i="4"/>
  <c r="AF358" i="4"/>
  <c r="AG358" i="4"/>
  <c r="AH358" i="4"/>
  <c r="AI358" i="4"/>
  <c r="AJ358" i="4"/>
  <c r="AK358" i="4"/>
  <c r="AF359" i="4"/>
  <c r="AG359" i="4"/>
  <c r="AH359" i="4"/>
  <c r="AI359" i="4"/>
  <c r="AJ359" i="4"/>
  <c r="AK359" i="4"/>
  <c r="AF360" i="4"/>
  <c r="AG360" i="4"/>
  <c r="AH360" i="4"/>
  <c r="AI360" i="4"/>
  <c r="AJ360" i="4"/>
  <c r="AK360" i="4"/>
  <c r="AF361" i="4"/>
  <c r="AG361" i="4"/>
  <c r="AH361" i="4"/>
  <c r="AI361" i="4"/>
  <c r="AJ361" i="4"/>
  <c r="AK361" i="4"/>
  <c r="AF362" i="4"/>
  <c r="AG362" i="4"/>
  <c r="AH362" i="4"/>
  <c r="AI362" i="4"/>
  <c r="AJ362" i="4"/>
  <c r="AK362" i="4"/>
  <c r="AF363" i="4"/>
  <c r="AG363" i="4"/>
  <c r="AH363" i="4"/>
  <c r="AI363" i="4"/>
  <c r="AJ363" i="4"/>
  <c r="AK363" i="4"/>
  <c r="AF364" i="4"/>
  <c r="AG364" i="4"/>
  <c r="AH364" i="4"/>
  <c r="AI364" i="4"/>
  <c r="AJ364" i="4"/>
  <c r="AK364" i="4"/>
  <c r="AF365" i="4"/>
  <c r="AG365" i="4"/>
  <c r="AH365" i="4"/>
  <c r="AI365" i="4"/>
  <c r="AJ365" i="4"/>
  <c r="AK365" i="4"/>
  <c r="AF366" i="4"/>
  <c r="AG366" i="4"/>
  <c r="AH366" i="4"/>
  <c r="AI366" i="4"/>
  <c r="AJ366" i="4"/>
  <c r="AK366" i="4"/>
  <c r="AF367" i="4"/>
  <c r="AG367" i="4"/>
  <c r="AH367" i="4"/>
  <c r="AI367" i="4"/>
  <c r="AJ367" i="4"/>
  <c r="AK367" i="4"/>
  <c r="AF368" i="4"/>
  <c r="AG368" i="4"/>
  <c r="AH368" i="4"/>
  <c r="AI368" i="4"/>
  <c r="AJ368" i="4"/>
  <c r="AK368" i="4"/>
  <c r="AF369" i="4"/>
  <c r="AG369" i="4"/>
  <c r="AH369" i="4"/>
  <c r="AI369" i="4"/>
  <c r="AJ369" i="4"/>
  <c r="AK369" i="4"/>
  <c r="AF370" i="4"/>
  <c r="AG370" i="4"/>
  <c r="AH370" i="4"/>
  <c r="AI370" i="4"/>
  <c r="AJ370" i="4"/>
  <c r="AK370" i="4"/>
  <c r="AF371" i="4"/>
  <c r="AG371" i="4"/>
  <c r="AH371" i="4"/>
  <c r="AI371" i="4"/>
  <c r="AJ371" i="4"/>
  <c r="AK371" i="4"/>
  <c r="AF372" i="4"/>
  <c r="AG372" i="4"/>
  <c r="AH372" i="4"/>
  <c r="AI372" i="4"/>
  <c r="AJ372" i="4"/>
  <c r="AK372" i="4"/>
  <c r="AF373" i="4"/>
  <c r="AG373" i="4"/>
  <c r="AH373" i="4"/>
  <c r="AI373" i="4"/>
  <c r="AJ373" i="4"/>
  <c r="AK373" i="4"/>
  <c r="AF3" i="4"/>
  <c r="AF4" i="4"/>
  <c r="AF5" i="4"/>
  <c r="AF6" i="4"/>
  <c r="AF7" i="4"/>
  <c r="AG3" i="4"/>
  <c r="AG4" i="4"/>
  <c r="AG5" i="4"/>
  <c r="AG6" i="4"/>
  <c r="AG7" i="4"/>
  <c r="AH3" i="4"/>
  <c r="AH4" i="4"/>
  <c r="AH5" i="4"/>
  <c r="AH6" i="4"/>
  <c r="AH7" i="4"/>
  <c r="AI3" i="4"/>
  <c r="AI4" i="4"/>
  <c r="AI5" i="4"/>
  <c r="AI6" i="4"/>
  <c r="AI7" i="4"/>
  <c r="AJ3" i="4"/>
  <c r="AJ4" i="4"/>
  <c r="AJ5" i="4"/>
  <c r="AJ6" i="4"/>
  <c r="AJ7" i="4"/>
  <c r="AK3" i="4"/>
  <c r="AK4" i="4"/>
  <c r="AK5" i="4"/>
  <c r="AK6" i="4"/>
  <c r="AK7" i="4"/>
  <c r="AK2" i="4"/>
  <c r="AJ2" i="4"/>
  <c r="AI2" i="4"/>
  <c r="AH2" i="4"/>
  <c r="AG2" i="4"/>
  <c r="AF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2A6299-9AAD-4FB3-A442-F4C185178075}" keepAlive="1" name="Query - Table7 (2)" description="Connection to the 'Table7 (2)' query in the workbook." type="5" refreshedVersion="8" background="1" saveData="1">
    <dbPr connection="Provider=Microsoft.Mashup.OleDb.1;Data Source=$Workbook$;Location=&quot;Table7 (2)&quot;;Extended Properties=&quot;&quot;" command="SELECT * FROM [Table7 (2)]"/>
  </connection>
  <connection id="2" xr16:uid="{4D12BCEF-331D-4FF9-814C-2198CCD50041}" keepAlive="1" name="Query - Table7 (3)" description="Connection to the 'Table7 (3)' query in the workbook." type="5" refreshedVersion="8" background="1" saveData="1">
    <dbPr connection="Provider=Microsoft.Mashup.OleDb.1;Data Source=$Workbook$;Location=&quot;Table7 (3)&quot;;Extended Properties=&quot;&quot;" command="SELECT * FROM [Table7 (3)]"/>
  </connection>
</connections>
</file>

<file path=xl/sharedStrings.xml><?xml version="1.0" encoding="utf-8"?>
<sst xmlns="http://schemas.openxmlformats.org/spreadsheetml/2006/main" count="9346" uniqueCount="95">
  <si>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</si>
  <si>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</si>
  <si>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</si>
  <si>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</si>
  <si>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</si>
  <si>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</si>
  <si>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</si>
  <si>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</si>
  <si>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</si>
  <si>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</si>
  <si>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</si>
  <si>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</si>
  <si>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</si>
  <si>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</si>
  <si>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</si>
  <si>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</si>
  <si>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</si>
  <si>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</si>
  <si>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</si>
  <si>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</si>
  <si>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</si>
  <si>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</si>
  <si>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</si>
  <si>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</si>
  <si>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</si>
  <si>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</si>
  <si>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</si>
  <si>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</si>
  <si>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</si>
  <si>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</si>
  <si>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</si>
  <si>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</si>
  <si>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</si>
  <si>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</si>
  <si>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</si>
  <si>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</si>
  <si>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</si>
  <si>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</si>
  <si>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</si>
  <si>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</si>
  <si>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</si>
  <si>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</si>
  <si>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</si>
  <si>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</si>
  <si>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</si>
  <si>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t>
  </si>
  <si>
    <t>Prepared meals, scks, sweets etc.</t>
  </si>
  <si>
    <t>Persol care and effects</t>
  </si>
  <si>
    <t>Food &amp; Beverages</t>
  </si>
  <si>
    <t>Pan, Tobacco &amp; Intoxicants</t>
  </si>
  <si>
    <t>Clothing &amp; Footwear</t>
  </si>
  <si>
    <t>Fuel &amp; Light</t>
  </si>
  <si>
    <t>Item Name</t>
  </si>
  <si>
    <t>Indian CPI Category</t>
  </si>
  <si>
    <t>Prepared meals, snacks, sweets etc.</t>
  </si>
  <si>
    <t>— Not Categorized</t>
  </si>
  <si>
    <t>Moving average used here: IF(D2&lt;&gt;"",D2,ROUND(AVERAGE(D2:D8),1))</t>
  </si>
  <si>
    <t>Column Labels</t>
  </si>
  <si>
    <t>Grand Total</t>
  </si>
  <si>
    <t>Attribute</t>
  </si>
  <si>
    <t>Value</t>
  </si>
  <si>
    <t>For DA-1, Unpivot all the broader categories in power query.</t>
  </si>
  <si>
    <t>Categories</t>
  </si>
  <si>
    <t>Percentage</t>
  </si>
  <si>
    <t>Index values</t>
  </si>
  <si>
    <t>Average of General index</t>
  </si>
  <si>
    <t>Y-O-Y difference</t>
  </si>
  <si>
    <t>Date</t>
  </si>
  <si>
    <t>Inflation</t>
  </si>
  <si>
    <t>inflation rate</t>
  </si>
  <si>
    <t>Jun-2022</t>
  </si>
  <si>
    <t>Jul-2022</t>
  </si>
  <si>
    <t>Aug-2022</t>
  </si>
  <si>
    <t>Sep-2022</t>
  </si>
  <si>
    <t>Oct-2022</t>
  </si>
  <si>
    <t>Nov-2022</t>
  </si>
  <si>
    <t>Dec-2022</t>
  </si>
  <si>
    <t>Jan-2023</t>
  </si>
  <si>
    <t>Feb-2023</t>
  </si>
  <si>
    <t>Mar-2023</t>
  </si>
  <si>
    <t>Apr-2023</t>
  </si>
  <si>
    <t>May-2023</t>
  </si>
  <si>
    <t>Before Covid</t>
  </si>
  <si>
    <t>After Covid</t>
  </si>
  <si>
    <t>Category</t>
  </si>
  <si>
    <t>Sub Categories</t>
  </si>
  <si>
    <t>Food</t>
  </si>
  <si>
    <t>Good and services</t>
  </si>
  <si>
    <t>Transport</t>
  </si>
  <si>
    <t>Inflation rate before Covid</t>
  </si>
  <si>
    <t>Inflation rate after Covid</t>
  </si>
  <si>
    <t>Essential services</t>
  </si>
  <si>
    <t>Crude oil</t>
  </si>
  <si>
    <t>https://ppac.gov.in/prices/international-prices-of-crude-oil</t>
  </si>
  <si>
    <t>COVID-19 AFFECTED INFLATION RATE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</si>
</sst>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sz val="14"/>
      <color theme="1"/>
      <name val="Aptos Narrow"/>
      <family val="2"/>
      <scheme val="minor"/>
    </font>
    <font>
      <sz val="11"/>
      <name val="Aptos Narrow"/>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6" tint="0.39997558519241921"/>
        <bgColor indexed="64"/>
      </patternFill>
    </fill>
    <fill>
      <patternFill patternType="solid">
        <fgColor theme="3" tint="0.749992370372631"/>
        <bgColor indexed="64"/>
      </patternFill>
    </fill>
    <fill>
      <patternFill patternType="solid">
        <fgColor theme="0"/>
        <bgColor theme="6" tint="0.79998168889431442"/>
      </patternFill>
    </fill>
    <fill>
      <patternFill patternType="solid">
        <fgColor theme="0"/>
        <bgColor theme="6"/>
      </patternFill>
    </fill>
    <fill>
      <patternFill patternType="solid">
        <fgColor rgb="FFFFFF00"/>
        <bgColor theme="7"/>
      </patternFill>
    </fill>
    <fill>
      <patternFill patternType="solid">
        <fgColor rgb="FFFFFF00"/>
        <bgColor theme="6"/>
      </patternFill>
    </fill>
    <fill>
      <patternFill patternType="solid">
        <fgColor theme="0"/>
        <bgColor theme="7"/>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indexed="64"/>
      </top>
      <bottom/>
      <diagonal/>
    </border>
    <border>
      <left/>
      <right/>
      <top style="thin">
        <color theme="4" tint="0.3999755851924192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33" borderId="10" xfId="0" applyFill="1" applyBorder="1"/>
    <xf numFmtId="0" fontId="0" fillId="0" borderId="10" xfId="0" applyBorder="1"/>
    <xf numFmtId="0" fontId="0" fillId="0" borderId="11" xfId="0" applyFont="1" applyBorder="1"/>
    <xf numFmtId="0" fontId="0" fillId="0" borderId="12" xfId="0" applyFont="1" applyBorder="1"/>
    <xf numFmtId="0" fontId="0" fillId="0" borderId="13" xfId="0" applyFont="1" applyBorder="1"/>
    <xf numFmtId="0" fontId="0" fillId="36" borderId="0" xfId="0" applyFill="1"/>
    <xf numFmtId="0" fontId="0" fillId="0" borderId="0" xfId="0" applyNumberFormat="1"/>
    <xf numFmtId="0" fontId="13" fillId="34" borderId="16" xfId="0" applyFont="1" applyFill="1" applyBorder="1"/>
    <xf numFmtId="0" fontId="13" fillId="34" borderId="17" xfId="0" applyFont="1" applyFill="1" applyBorder="1"/>
    <xf numFmtId="0" fontId="0" fillId="35" borderId="18" xfId="0" applyFont="1" applyFill="1" applyBorder="1"/>
    <xf numFmtId="0" fontId="0" fillId="35" borderId="14" xfId="0" applyFont="1" applyFill="1" applyBorder="1"/>
    <xf numFmtId="0" fontId="0" fillId="35" borderId="19" xfId="0" applyFont="1" applyFill="1" applyBorder="1"/>
    <xf numFmtId="0" fontId="0" fillId="0" borderId="20" xfId="0" applyFont="1" applyBorder="1"/>
    <xf numFmtId="0" fontId="0" fillId="0" borderId="15" xfId="0" applyFont="1" applyBorder="1"/>
    <xf numFmtId="0" fontId="0" fillId="0" borderId="21" xfId="0" applyFont="1" applyBorder="1"/>
    <xf numFmtId="0" fontId="0" fillId="35" borderId="20" xfId="0" applyFont="1" applyFill="1" applyBorder="1"/>
    <xf numFmtId="0" fontId="0" fillId="35" borderId="15" xfId="0" applyFont="1" applyFill="1" applyBorder="1"/>
    <xf numFmtId="0" fontId="0" fillId="35" borderId="21" xfId="0" applyFont="1" applyFill="1" applyBorder="1"/>
    <xf numFmtId="0" fontId="13" fillId="34" borderId="20" xfId="0" applyFont="1" applyFill="1" applyBorder="1"/>
    <xf numFmtId="0" fontId="13" fillId="34" borderId="15" xfId="0" applyFont="1" applyFill="1" applyBorder="1"/>
    <xf numFmtId="0" fontId="13" fillId="34" borderId="21" xfId="0" applyFont="1" applyFill="1" applyBorder="1"/>
    <xf numFmtId="0" fontId="0" fillId="36" borderId="0" xfId="0" applyFill="1" applyAlignment="1">
      <alignment horizontal="left"/>
    </xf>
    <xf numFmtId="10" fontId="0" fillId="36" borderId="0" xfId="0" applyNumberFormat="1" applyFill="1"/>
    <xf numFmtId="0" fontId="13" fillId="34" borderId="22" xfId="0" applyFont="1" applyFill="1" applyBorder="1"/>
    <xf numFmtId="0" fontId="0" fillId="35" borderId="23" xfId="0" applyFont="1" applyFill="1" applyBorder="1"/>
    <xf numFmtId="0" fontId="0" fillId="0" borderId="23" xfId="0" applyFont="1" applyBorder="1"/>
    <xf numFmtId="165" fontId="0" fillId="36" borderId="0" xfId="0" applyNumberFormat="1" applyFill="1"/>
    <xf numFmtId="0" fontId="0" fillId="36" borderId="10" xfId="0" applyFill="1" applyBorder="1"/>
    <xf numFmtId="0" fontId="0" fillId="36" borderId="10" xfId="0" applyFill="1" applyBorder="1" applyAlignment="1">
      <alignment horizontal="left"/>
    </xf>
    <xf numFmtId="0" fontId="0" fillId="36" borderId="10" xfId="0" applyNumberFormat="1" applyFill="1" applyBorder="1"/>
    <xf numFmtId="164" fontId="0" fillId="36" borderId="10" xfId="0" applyNumberFormat="1" applyFill="1" applyBorder="1"/>
    <xf numFmtId="10" fontId="0" fillId="36" borderId="10" xfId="0" applyNumberFormat="1" applyFill="1" applyBorder="1"/>
    <xf numFmtId="2" fontId="0" fillId="36" borderId="10" xfId="0" applyNumberFormat="1" applyFill="1" applyBorder="1"/>
    <xf numFmtId="2" fontId="0" fillId="36" borderId="0" xfId="0" applyNumberFormat="1" applyFill="1"/>
    <xf numFmtId="17" fontId="0" fillId="33" borderId="10" xfId="0" applyNumberFormat="1" applyFill="1" applyBorder="1"/>
    <xf numFmtId="0" fontId="19" fillId="33" borderId="0" xfId="0" applyFont="1" applyFill="1"/>
    <xf numFmtId="0" fontId="19" fillId="33" borderId="0" xfId="0" applyFont="1" applyFill="1" applyAlignment="1">
      <alignment horizontal="center"/>
    </xf>
    <xf numFmtId="0" fontId="0" fillId="33" borderId="0" xfId="0" applyFill="1"/>
    <xf numFmtId="0" fontId="0" fillId="38" borderId="10" xfId="0" applyFill="1" applyBorder="1"/>
    <xf numFmtId="14" fontId="0" fillId="38" borderId="10" xfId="0" applyNumberFormat="1" applyFill="1" applyBorder="1"/>
    <xf numFmtId="0" fontId="0" fillId="39" borderId="10" xfId="0" applyFill="1" applyBorder="1"/>
    <xf numFmtId="0" fontId="20" fillId="40" borderId="10" xfId="0" applyFont="1" applyFill="1" applyBorder="1"/>
    <xf numFmtId="0" fontId="19" fillId="33" borderId="0" xfId="0" applyFont="1" applyFill="1" applyAlignment="1">
      <alignment horizontal="left"/>
    </xf>
    <xf numFmtId="0" fontId="16" fillId="41" borderId="10" xfId="0" applyFont="1" applyFill="1" applyBorder="1"/>
    <xf numFmtId="0" fontId="16" fillId="42" borderId="10" xfId="0" applyFont="1" applyFill="1" applyBorder="1"/>
    <xf numFmtId="0" fontId="16" fillId="43" borderId="10" xfId="0" applyFont="1" applyFill="1" applyBorder="1"/>
    <xf numFmtId="0" fontId="16" fillId="40" borderId="10" xfId="0" applyFont="1" applyFill="1" applyBorder="1"/>
    <xf numFmtId="0" fontId="16" fillId="40" borderId="0" xfId="0" applyFont="1" applyFill="1"/>
    <xf numFmtId="165" fontId="0" fillId="36" borderId="10" xfId="0" applyNumberFormat="1" applyFill="1" applyBorder="1"/>
    <xf numFmtId="2" fontId="0" fillId="33" borderId="10" xfId="0" applyNumberFormat="1" applyFill="1" applyBorder="1"/>
    <xf numFmtId="0" fontId="16" fillId="33" borderId="0" xfId="0" applyFont="1" applyFill="1" applyAlignment="1">
      <alignment horizontal="center"/>
    </xf>
    <xf numFmtId="0" fontId="18" fillId="37" borderId="1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4" formatCode="0.00%"/>
    </dxf>
    <dxf>
      <numFmt numFmtId="165" formatCode="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4" formatCode="0.00%"/>
    </dxf>
    <dxf>
      <numFmt numFmtId="165" formatCode="0.0"/>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0.0%"/>
    </dxf>
    <dxf>
      <font>
        <b val="0"/>
        <i val="0"/>
        <strike val="0"/>
        <condense val="0"/>
        <extend val="0"/>
        <outline val="0"/>
        <shadow val="0"/>
        <u val="none"/>
        <vertAlign val="baseline"/>
        <sz val="11"/>
        <color theme="1"/>
        <name val="Aptos Narrow"/>
        <family val="2"/>
        <scheme val="minor"/>
      </font>
      <border diagonalUp="0" diagonalDown="0">
        <left style="thin">
          <color theme="4" tint="0.39997558519241921"/>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vertical/>
        <horizontal/>
      </border>
    </dxf>
    <dxf>
      <border outline="0">
        <left style="thin">
          <color theme="4" tint="0.39997558519241921"/>
        </left>
        <bottom style="thin">
          <color theme="4" tint="0.39997558519241921"/>
        </bottom>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(1).xlsx]CPI Contribution!PivotTable9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Categories Analysis</a:t>
            </a:r>
          </a:p>
        </c:rich>
      </c:tx>
      <c:layout>
        <c:manualLayout>
          <c:xMode val="edge"/>
          <c:yMode val="edge"/>
          <c:x val="0.26888888888888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'CPI Contribution'!$I$8:$I$10</c:f>
              <c:strCache>
                <c:ptCount val="1"/>
                <c:pt idx="0">
                  <c:v>Rural+Urban - Index values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D61-4569-A41B-5E44DC6C320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D61-4569-A41B-5E44DC6C320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D61-4569-A41B-5E44DC6C320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D61-4569-A41B-5E44DC6C320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D61-4569-A41B-5E44DC6C320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D61-4569-A41B-5E44DC6C3200}"/>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'CPI Contribution'!$H$11:$H$17</c:f>
              <c:strCache>
                <c:ptCount val="6"/>
                <c:pt idx="0">
                  <c:v>Clothing &amp; Footwear</c:v>
                </c:pt>
                <c:pt idx="1">
                  <c:v>Food &amp; Beverages</c:v>
                </c:pt>
                <c:pt idx="2">
                  <c:v>Fuel &amp; Light</c:v>
                </c:pt>
                <c:pt idx="3">
                  <c:v>Housing</c:v>
                </c:pt>
                <c:pt idx="4">
                  <c:v>Miscellaneous</c:v>
                </c:pt>
                <c:pt idx="5">
                  <c:v>Pan, Tobacco &amp; Intoxicants</c:v>
                </c:pt>
              </c:strCache>
            </c:strRef>
          </c:cat>
          <c:val>
            <c:numRef>
              <c:f>'CPI Contribution'!$I$11:$I$17</c:f>
              <c:numCache>
                <c:formatCode>General</c:formatCode>
                <c:ptCount val="6"/>
                <c:pt idx="0">
                  <c:v>553.20000000000005</c:v>
                </c:pt>
                <c:pt idx="1">
                  <c:v>2306.9</c:v>
                </c:pt>
                <c:pt idx="2">
                  <c:v>182.8</c:v>
                </c:pt>
                <c:pt idx="3">
                  <c:v>175.6</c:v>
                </c:pt>
                <c:pt idx="4">
                  <c:v>1234.9000000000001</c:v>
                </c:pt>
                <c:pt idx="5">
                  <c:v>201</c:v>
                </c:pt>
              </c:numCache>
            </c:numRef>
          </c:val>
          <c:extLst>
            <c:ext xmlns:c16="http://schemas.microsoft.com/office/drawing/2014/chart" uri="{C3380CC4-5D6E-409C-BE32-E72D297353CC}">
              <c16:uniqueId val="{00000000-EB4D-4D88-A4AA-3126BC53F24C}"/>
            </c:ext>
          </c:extLst>
        </c:ser>
        <c:ser>
          <c:idx val="1"/>
          <c:order val="1"/>
          <c:tx>
            <c:strRef>
              <c:f>'CPI Contribution'!$J$8:$J$10</c:f>
              <c:strCache>
                <c:ptCount val="1"/>
                <c:pt idx="0">
                  <c:v>Rural+Urban - Percentage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6D61-4569-A41B-5E44DC6C320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6D61-4569-A41B-5E44DC6C320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6D61-4569-A41B-5E44DC6C320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3-6D61-4569-A41B-5E44DC6C320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5-6D61-4569-A41B-5E44DC6C320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7-6D61-4569-A41B-5E44DC6C3200}"/>
              </c:ext>
            </c:extLst>
          </c:dPt>
          <c:cat>
            <c:strRef>
              <c:f>'CPI Contribution'!$H$11:$H$17</c:f>
              <c:strCache>
                <c:ptCount val="6"/>
                <c:pt idx="0">
                  <c:v>Clothing &amp; Footwear</c:v>
                </c:pt>
                <c:pt idx="1">
                  <c:v>Food &amp; Beverages</c:v>
                </c:pt>
                <c:pt idx="2">
                  <c:v>Fuel &amp; Light</c:v>
                </c:pt>
                <c:pt idx="3">
                  <c:v>Housing</c:v>
                </c:pt>
                <c:pt idx="4">
                  <c:v>Miscellaneous</c:v>
                </c:pt>
                <c:pt idx="5">
                  <c:v>Pan, Tobacco &amp; Intoxicants</c:v>
                </c:pt>
              </c:strCache>
            </c:strRef>
          </c:cat>
          <c:val>
            <c:numRef>
              <c:f>'CPI Contribution'!$J$11:$J$17</c:f>
              <c:numCache>
                <c:formatCode>0.0%</c:formatCode>
                <c:ptCount val="6"/>
                <c:pt idx="0">
                  <c:v>0.11885527672739772</c:v>
                </c:pt>
                <c:pt idx="1">
                  <c:v>0.49563853557923682</c:v>
                </c:pt>
                <c:pt idx="2">
                  <c:v>3.9274664833276039E-2</c:v>
                </c:pt>
                <c:pt idx="3">
                  <c:v>3.7727741491921617E-2</c:v>
                </c:pt>
                <c:pt idx="4">
                  <c:v>0.26531883808869028</c:v>
                </c:pt>
                <c:pt idx="5">
                  <c:v>4.3184943279477479E-2</c:v>
                </c:pt>
              </c:numCache>
            </c:numRef>
          </c:val>
          <c:extLst>
            <c:ext xmlns:c16="http://schemas.microsoft.com/office/drawing/2014/chart" uri="{C3380CC4-5D6E-409C-BE32-E72D297353CC}">
              <c16:uniqueId val="{00000001-EB4D-4D88-A4AA-3126BC53F24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(1).xlsx]YOY Analysis!PivotTable11</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1.9444444444444445E-2"/>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1.388888888888891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8.3333333333334356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'YOY Analysis'!$B$11</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2-E2C3-4EFB-8A1B-73A81219CBE8}"/>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3-E2C3-4EFB-8A1B-73A81219CBE8}"/>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E2C3-4EFB-8A1B-73A81219CBE8}"/>
              </c:ext>
            </c:extLst>
          </c:dPt>
          <c:dLbls>
            <c:dLbl>
              <c:idx val="1"/>
              <c:layout>
                <c:manualLayout>
                  <c:x val="-1.3888888888888914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C3-4EFB-8A1B-73A81219CBE8}"/>
                </c:ext>
              </c:extLst>
            </c:dLbl>
            <c:dLbl>
              <c:idx val="2"/>
              <c:layout>
                <c:manualLayout>
                  <c:x val="-1.9444444444444445E-2"/>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C3-4EFB-8A1B-73A81219CBE8}"/>
                </c:ext>
              </c:extLst>
            </c:dLbl>
            <c:dLbl>
              <c:idx val="4"/>
              <c:layout>
                <c:manualLayout>
                  <c:x val="-8.3333333333334356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C3-4EFB-8A1B-73A81219CB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'YOY Analysis'!$A$12:$A$20</c:f>
              <c:strCache>
                <c:ptCount val="8"/>
                <c:pt idx="0">
                  <c:v>2016</c:v>
                </c:pt>
                <c:pt idx="1">
                  <c:v>2017</c:v>
                </c:pt>
                <c:pt idx="2">
                  <c:v>2018</c:v>
                </c:pt>
                <c:pt idx="3">
                  <c:v>2019</c:v>
                </c:pt>
                <c:pt idx="4">
                  <c:v>2020</c:v>
                </c:pt>
                <c:pt idx="5">
                  <c:v>2021</c:v>
                </c:pt>
                <c:pt idx="6">
                  <c:v>2022</c:v>
                </c:pt>
                <c:pt idx="7">
                  <c:v>2023</c:v>
                </c:pt>
              </c:strCache>
            </c:strRef>
          </c:cat>
          <c:val>
            <c:numRef>
              <c:f>'YOY Analysis'!$B$12:$B$20</c:f>
              <c:numCache>
                <c:formatCode>0.00%</c:formatCode>
                <c:ptCount val="8"/>
                <c:pt idx="1">
                  <c:v>3.3199931147258686E-2</c:v>
                </c:pt>
                <c:pt idx="2">
                  <c:v>3.9609321310314437E-2</c:v>
                </c:pt>
                <c:pt idx="3">
                  <c:v>3.9358550145593821E-2</c:v>
                </c:pt>
                <c:pt idx="4">
                  <c:v>6.2294128365782409E-2</c:v>
                </c:pt>
                <c:pt idx="5">
                  <c:v>5.4283537138502598E-2</c:v>
                </c:pt>
                <c:pt idx="6">
                  <c:v>6.6029943211151437E-2</c:v>
                </c:pt>
                <c:pt idx="7">
                  <c:v>3.195312121652364E-2</c:v>
                </c:pt>
              </c:numCache>
            </c:numRef>
          </c:val>
          <c:smooth val="0"/>
          <c:extLst>
            <c:ext xmlns:c16="http://schemas.microsoft.com/office/drawing/2014/chart" uri="{C3380CC4-5D6E-409C-BE32-E72D297353CC}">
              <c16:uniqueId val="{00000000-E2C3-4EFB-8A1B-73A81219CBE8}"/>
            </c:ext>
          </c:extLst>
        </c:ser>
        <c:dLbls>
          <c:showLegendKey val="0"/>
          <c:showVal val="0"/>
          <c:showCatName val="0"/>
          <c:showSerName val="0"/>
          <c:showPercent val="0"/>
          <c:showBubbleSize val="0"/>
        </c:dLbls>
        <c:smooth val="0"/>
        <c:axId val="591053871"/>
        <c:axId val="591054351"/>
      </c:lineChart>
      <c:catAx>
        <c:axId val="59105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54351"/>
        <c:crosses val="autoZero"/>
        <c:auto val="1"/>
        <c:lblAlgn val="ctr"/>
        <c:lblOffset val="100"/>
        <c:noMultiLvlLbl val="0"/>
      </c:catAx>
      <c:valAx>
        <c:axId val="591054351"/>
        <c:scaling>
          <c:orientation val="minMax"/>
        </c:scaling>
        <c:delete val="1"/>
        <c:axPos val="l"/>
        <c:numFmt formatCode="0.00%" sourceLinked="1"/>
        <c:majorTickMark val="none"/>
        <c:minorTickMark val="none"/>
        <c:tickLblPos val="nextTo"/>
        <c:crossAx val="591053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Inflation M-O-M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'Food Inflation Analysis'!$I$4</c:f>
              <c:strCache>
                <c:ptCount val="1"/>
                <c:pt idx="0">
                  <c:v>Jun-2022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Analysis'!$J$4</c:f>
              <c:numCache>
                <c:formatCode>General</c:formatCode>
                <c:ptCount val="1"/>
              </c:numCache>
            </c:numRef>
          </c:val>
          <c:extLst>
            <c:ext xmlns:c16="http://schemas.microsoft.com/office/drawing/2014/chart" uri="{C3380CC4-5D6E-409C-BE32-E72D297353CC}">
              <c16:uniqueId val="{00000000-4810-4ED8-9DB6-80FCE5F21AD5}"/>
            </c:ext>
          </c:extLst>
        </c:ser>
        <c:ser>
          <c:idx val="1"/>
          <c:order val="1"/>
          <c:tx>
            <c:strRef>
              <c:f>'Food Inflation Analysis'!$I$5</c:f>
              <c:strCache>
                <c:ptCount val="1"/>
                <c:pt idx="0">
                  <c:v>Jul-2022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Analysis'!$J$5</c:f>
              <c:numCache>
                <c:formatCode>0.00</c:formatCode>
                <c:ptCount val="1"/>
                <c:pt idx="0">
                  <c:v>0.19452672531942572</c:v>
                </c:pt>
              </c:numCache>
            </c:numRef>
          </c:val>
          <c:extLst>
            <c:ext xmlns:c16="http://schemas.microsoft.com/office/drawing/2014/chart" uri="{C3380CC4-5D6E-409C-BE32-E72D297353CC}">
              <c16:uniqueId val="{00000001-4810-4ED8-9DB6-80FCE5F21AD5}"/>
            </c:ext>
          </c:extLst>
        </c:ser>
        <c:ser>
          <c:idx val="2"/>
          <c:order val="2"/>
          <c:tx>
            <c:strRef>
              <c:f>'Food Inflation Analysis'!$I$6</c:f>
              <c:strCache>
                <c:ptCount val="1"/>
                <c:pt idx="0">
                  <c:v>Aug-2022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Analysis'!$J$6</c:f>
              <c:numCache>
                <c:formatCode>0.00</c:formatCode>
                <c:ptCount val="1"/>
                <c:pt idx="0">
                  <c:v>0.12796187618585758</c:v>
                </c:pt>
              </c:numCache>
            </c:numRef>
          </c:val>
          <c:extLst>
            <c:ext xmlns:c16="http://schemas.microsoft.com/office/drawing/2014/chart" uri="{C3380CC4-5D6E-409C-BE32-E72D297353CC}">
              <c16:uniqueId val="{00000002-4810-4ED8-9DB6-80FCE5F21AD5}"/>
            </c:ext>
          </c:extLst>
        </c:ser>
        <c:ser>
          <c:idx val="3"/>
          <c:order val="3"/>
          <c:tx>
            <c:strRef>
              <c:f>'Food Inflation Analysis'!$I$7</c:f>
              <c:strCache>
                <c:ptCount val="1"/>
                <c:pt idx="0">
                  <c:v>Sep-2022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Analysis'!$J$7</c:f>
              <c:numCache>
                <c:formatCode>0.00</c:formatCode>
                <c:ptCount val="1"/>
                <c:pt idx="0">
                  <c:v>0.51560021152828384</c:v>
                </c:pt>
              </c:numCache>
            </c:numRef>
          </c:val>
          <c:extLst>
            <c:ext xmlns:c16="http://schemas.microsoft.com/office/drawing/2014/chart" uri="{C3380CC4-5D6E-409C-BE32-E72D297353CC}">
              <c16:uniqueId val="{00000003-4810-4ED8-9DB6-80FCE5F21AD5}"/>
            </c:ext>
          </c:extLst>
        </c:ser>
        <c:ser>
          <c:idx val="4"/>
          <c:order val="4"/>
          <c:tx>
            <c:strRef>
              <c:f>'Food Inflation Analysis'!$I$8</c:f>
              <c:strCache>
                <c:ptCount val="1"/>
                <c:pt idx="0">
                  <c:v>Oct-2022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Analysis'!$J$8</c:f>
              <c:numCache>
                <c:formatCode>0.00</c:formatCode>
                <c:ptCount val="1"/>
                <c:pt idx="0">
                  <c:v>0.7190144241308295</c:v>
                </c:pt>
              </c:numCache>
            </c:numRef>
          </c:val>
          <c:extLst>
            <c:ext xmlns:c16="http://schemas.microsoft.com/office/drawing/2014/chart" uri="{C3380CC4-5D6E-409C-BE32-E72D297353CC}">
              <c16:uniqueId val="{00000004-4810-4ED8-9DB6-80FCE5F21AD5}"/>
            </c:ext>
          </c:extLst>
        </c:ser>
        <c:ser>
          <c:idx val="5"/>
          <c:order val="5"/>
          <c:tx>
            <c:strRef>
              <c:f>'Food Inflation Analysis'!$I$9</c:f>
              <c:strCache>
                <c:ptCount val="1"/>
                <c:pt idx="0">
                  <c:v>Nov-2022</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Analysis'!$J$9</c:f>
              <c:numCache>
                <c:formatCode>0.00</c:formatCode>
                <c:ptCount val="1"/>
                <c:pt idx="0">
                  <c:v>-2.1764680276846731E-2</c:v>
                </c:pt>
              </c:numCache>
            </c:numRef>
          </c:val>
          <c:extLst>
            <c:ext xmlns:c16="http://schemas.microsoft.com/office/drawing/2014/chart" uri="{C3380CC4-5D6E-409C-BE32-E72D297353CC}">
              <c16:uniqueId val="{00000005-4810-4ED8-9DB6-80FCE5F21AD5}"/>
            </c:ext>
          </c:extLst>
        </c:ser>
        <c:ser>
          <c:idx val="6"/>
          <c:order val="6"/>
          <c:tx>
            <c:strRef>
              <c:f>'Food Inflation Analysis'!$I$10</c:f>
              <c:strCache>
                <c:ptCount val="1"/>
                <c:pt idx="0">
                  <c:v>Dec-2022</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Analysis'!$J$10</c:f>
              <c:numCache>
                <c:formatCode>0.00</c:formatCode>
                <c:ptCount val="1"/>
                <c:pt idx="0">
                  <c:v>-0.58342041100662179</c:v>
                </c:pt>
              </c:numCache>
            </c:numRef>
          </c:val>
          <c:extLst>
            <c:ext xmlns:c16="http://schemas.microsoft.com/office/drawing/2014/chart" uri="{C3380CC4-5D6E-409C-BE32-E72D297353CC}">
              <c16:uniqueId val="{00000006-4810-4ED8-9DB6-80FCE5F21AD5}"/>
            </c:ext>
          </c:extLst>
        </c:ser>
        <c:ser>
          <c:idx val="7"/>
          <c:order val="7"/>
          <c:tx>
            <c:strRef>
              <c:f>'Food Inflation Analysis'!$I$11</c:f>
              <c:strCache>
                <c:ptCount val="1"/>
                <c:pt idx="0">
                  <c:v>Jan-2023</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Analysis'!$J$11</c:f>
              <c:numCache>
                <c:formatCode>0.00</c:formatCode>
                <c:ptCount val="1"/>
                <c:pt idx="0">
                  <c:v>0.40728737847068963</c:v>
                </c:pt>
              </c:numCache>
            </c:numRef>
          </c:val>
          <c:extLst>
            <c:ext xmlns:c16="http://schemas.microsoft.com/office/drawing/2014/chart" uri="{C3380CC4-5D6E-409C-BE32-E72D297353CC}">
              <c16:uniqueId val="{00000007-4810-4ED8-9DB6-80FCE5F21AD5}"/>
            </c:ext>
          </c:extLst>
        </c:ser>
        <c:ser>
          <c:idx val="8"/>
          <c:order val="8"/>
          <c:tx>
            <c:strRef>
              <c:f>'Food Inflation Analysis'!$I$12</c:f>
              <c:strCache>
                <c:ptCount val="1"/>
                <c:pt idx="0">
                  <c:v>Feb-2023</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Analysis'!$J$12</c:f>
              <c:numCache>
                <c:formatCode>0.00</c:formatCode>
                <c:ptCount val="1"/>
                <c:pt idx="0">
                  <c:v>-0.59318707201116194</c:v>
                </c:pt>
              </c:numCache>
            </c:numRef>
          </c:val>
          <c:extLst>
            <c:ext xmlns:c16="http://schemas.microsoft.com/office/drawing/2014/chart" uri="{C3380CC4-5D6E-409C-BE32-E72D297353CC}">
              <c16:uniqueId val="{00000008-4810-4ED8-9DB6-80FCE5F21AD5}"/>
            </c:ext>
          </c:extLst>
        </c:ser>
        <c:ser>
          <c:idx val="9"/>
          <c:order val="9"/>
          <c:tx>
            <c:strRef>
              <c:f>'Food Inflation Analysis'!$I$13</c:f>
              <c:strCache>
                <c:ptCount val="1"/>
                <c:pt idx="0">
                  <c:v>Mar-2023</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Analysis'!$J$13</c:f>
              <c:numCache>
                <c:formatCode>0.00</c:formatCode>
                <c:ptCount val="1"/>
                <c:pt idx="0">
                  <c:v>4.3876968978943031E-3</c:v>
                </c:pt>
              </c:numCache>
            </c:numRef>
          </c:val>
          <c:extLst>
            <c:ext xmlns:c16="http://schemas.microsoft.com/office/drawing/2014/chart" uri="{C3380CC4-5D6E-409C-BE32-E72D297353CC}">
              <c16:uniqueId val="{00000009-4810-4ED8-9DB6-80FCE5F21AD5}"/>
            </c:ext>
          </c:extLst>
        </c:ser>
        <c:ser>
          <c:idx val="10"/>
          <c:order val="10"/>
          <c:tx>
            <c:strRef>
              <c:f>'Food Inflation Analysis'!$I$14</c:f>
              <c:strCache>
                <c:ptCount val="1"/>
                <c:pt idx="0">
                  <c:v>Apr-2023</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Analysis'!$J$14</c:f>
              <c:numCache>
                <c:formatCode>0.00</c:formatCode>
                <c:ptCount val="1"/>
                <c:pt idx="0">
                  <c:v>0.45630045630048033</c:v>
                </c:pt>
              </c:numCache>
            </c:numRef>
          </c:val>
          <c:extLst>
            <c:ext xmlns:c16="http://schemas.microsoft.com/office/drawing/2014/chart" uri="{C3380CC4-5D6E-409C-BE32-E72D297353CC}">
              <c16:uniqueId val="{0000000A-4810-4ED8-9DB6-80FCE5F21AD5}"/>
            </c:ext>
          </c:extLst>
        </c:ser>
        <c:ser>
          <c:idx val="11"/>
          <c:order val="11"/>
          <c:tx>
            <c:strRef>
              <c:f>'Food Inflation Analysis'!$I$15</c:f>
              <c:strCache>
                <c:ptCount val="1"/>
                <c:pt idx="0">
                  <c:v>May-2023</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Analysis'!$J$3</c:f>
              <c:strCache>
                <c:ptCount val="1"/>
                <c:pt idx="0">
                  <c:v>inflation rate</c:v>
                </c:pt>
              </c:strCache>
            </c:strRef>
          </c:cat>
          <c:val>
            <c:numRef>
              <c:f>'Food Inflation Analysis'!$J$15</c:f>
              <c:numCache>
                <c:formatCode>0.00</c:formatCode>
                <c:ptCount val="1"/>
                <c:pt idx="0">
                  <c:v>0.75559049615652185</c:v>
                </c:pt>
              </c:numCache>
            </c:numRef>
          </c:val>
          <c:extLst>
            <c:ext xmlns:c16="http://schemas.microsoft.com/office/drawing/2014/chart" uri="{C3380CC4-5D6E-409C-BE32-E72D297353CC}">
              <c16:uniqueId val="{0000000B-4810-4ED8-9DB6-80FCE5F21AD5}"/>
            </c:ext>
          </c:extLst>
        </c:ser>
        <c:dLbls>
          <c:dLblPos val="outEnd"/>
          <c:showLegendKey val="0"/>
          <c:showVal val="1"/>
          <c:showCatName val="0"/>
          <c:showSerName val="0"/>
          <c:showPercent val="0"/>
          <c:showBubbleSize val="0"/>
        </c:dLbls>
        <c:gapWidth val="219"/>
        <c:overlap val="-27"/>
        <c:axId val="779390799"/>
        <c:axId val="779381199"/>
      </c:barChart>
      <c:catAx>
        <c:axId val="779390799"/>
        <c:scaling>
          <c:orientation val="minMax"/>
        </c:scaling>
        <c:delete val="1"/>
        <c:axPos val="b"/>
        <c:numFmt formatCode="General" sourceLinked="1"/>
        <c:majorTickMark val="none"/>
        <c:minorTickMark val="none"/>
        <c:tickLblPos val="nextTo"/>
        <c:crossAx val="779381199"/>
        <c:crosses val="autoZero"/>
        <c:auto val="1"/>
        <c:lblAlgn val="ctr"/>
        <c:lblOffset val="100"/>
        <c:noMultiLvlLbl val="0"/>
      </c:catAx>
      <c:valAx>
        <c:axId val="779381199"/>
        <c:scaling>
          <c:orientation val="minMax"/>
        </c:scaling>
        <c:delete val="1"/>
        <c:axPos val="l"/>
        <c:numFmt formatCode="General" sourceLinked="1"/>
        <c:majorTickMark val="none"/>
        <c:minorTickMark val="none"/>
        <c:tickLblPos val="nextTo"/>
        <c:crossAx val="779390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Individual</a:t>
            </a:r>
            <a:r>
              <a:rPr lang="en-IN" baseline="0"/>
              <a:t> Food category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'Food Inflation Analysis'!$R$4</c:f>
              <c:strCache>
                <c:ptCount val="1"/>
                <c:pt idx="0">
                  <c:v>Cereals and products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Analysis'!$S$4</c:f>
              <c:numCache>
                <c:formatCode>0.00</c:formatCode>
                <c:ptCount val="1"/>
                <c:pt idx="0">
                  <c:v>12.064516129032251</c:v>
                </c:pt>
              </c:numCache>
            </c:numRef>
          </c:val>
          <c:extLst>
            <c:ext xmlns:c16="http://schemas.microsoft.com/office/drawing/2014/chart" uri="{C3380CC4-5D6E-409C-BE32-E72D297353CC}">
              <c16:uniqueId val="{00000000-12AB-4D11-A6A3-CC56DCF8BC24}"/>
            </c:ext>
          </c:extLst>
        </c:ser>
        <c:ser>
          <c:idx val="1"/>
          <c:order val="1"/>
          <c:tx>
            <c:strRef>
              <c:f>'Food Inflation Analysis'!$R$5</c:f>
              <c:strCache>
                <c:ptCount val="1"/>
                <c:pt idx="0">
                  <c:v>Meat and fish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Analysis'!$S$5</c:f>
              <c:numCache>
                <c:formatCode>0.00</c:formatCode>
                <c:ptCount val="1"/>
                <c:pt idx="0">
                  <c:v>-2.3245214220601613</c:v>
                </c:pt>
              </c:numCache>
            </c:numRef>
          </c:val>
          <c:extLst>
            <c:ext xmlns:c16="http://schemas.microsoft.com/office/drawing/2014/chart" uri="{C3380CC4-5D6E-409C-BE32-E72D297353CC}">
              <c16:uniqueId val="{00000001-12AB-4D11-A6A3-CC56DCF8BC24}"/>
            </c:ext>
          </c:extLst>
        </c:ser>
        <c:ser>
          <c:idx val="2"/>
          <c:order val="2"/>
          <c:tx>
            <c:strRef>
              <c:f>'Food Inflation Analysis'!$R$6</c:f>
              <c:strCache>
                <c:ptCount val="1"/>
                <c:pt idx="0">
                  <c:v>Egg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Analysis'!$S$6</c:f>
              <c:numCache>
                <c:formatCode>0.00</c:formatCode>
                <c:ptCount val="1"/>
                <c:pt idx="0">
                  <c:v>1.4051522248243427</c:v>
                </c:pt>
              </c:numCache>
            </c:numRef>
          </c:val>
          <c:extLst>
            <c:ext xmlns:c16="http://schemas.microsoft.com/office/drawing/2014/chart" uri="{C3380CC4-5D6E-409C-BE32-E72D297353CC}">
              <c16:uniqueId val="{00000002-12AB-4D11-A6A3-CC56DCF8BC24}"/>
            </c:ext>
          </c:extLst>
        </c:ser>
        <c:ser>
          <c:idx val="3"/>
          <c:order val="3"/>
          <c:tx>
            <c:strRef>
              <c:f>'Food Inflation Analysis'!$R$7</c:f>
              <c:strCache>
                <c:ptCount val="1"/>
                <c:pt idx="0">
                  <c:v>Milk and products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Analysis'!$S$7</c:f>
              <c:numCache>
                <c:formatCode>0.00</c:formatCode>
                <c:ptCount val="1"/>
                <c:pt idx="0">
                  <c:v>8.2629674306393177</c:v>
                </c:pt>
              </c:numCache>
            </c:numRef>
          </c:val>
          <c:extLst>
            <c:ext xmlns:c16="http://schemas.microsoft.com/office/drawing/2014/chart" uri="{C3380CC4-5D6E-409C-BE32-E72D297353CC}">
              <c16:uniqueId val="{00000003-12AB-4D11-A6A3-CC56DCF8BC24}"/>
            </c:ext>
          </c:extLst>
        </c:ser>
        <c:ser>
          <c:idx val="4"/>
          <c:order val="4"/>
          <c:tx>
            <c:strRef>
              <c:f>'Food Inflation Analysis'!$R$8</c:f>
              <c:strCache>
                <c:ptCount val="1"/>
                <c:pt idx="0">
                  <c:v>Oils and fats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Analysis'!$S$8</c:f>
              <c:numCache>
                <c:formatCode>0.00</c:formatCode>
                <c:ptCount val="1"/>
                <c:pt idx="0">
                  <c:v>-15.380786460925835</c:v>
                </c:pt>
              </c:numCache>
            </c:numRef>
          </c:val>
          <c:extLst>
            <c:ext xmlns:c16="http://schemas.microsoft.com/office/drawing/2014/chart" uri="{C3380CC4-5D6E-409C-BE32-E72D297353CC}">
              <c16:uniqueId val="{00000004-12AB-4D11-A6A3-CC56DCF8BC24}"/>
            </c:ext>
          </c:extLst>
        </c:ser>
        <c:ser>
          <c:idx val="5"/>
          <c:order val="5"/>
          <c:tx>
            <c:strRef>
              <c:f>'Food Inflation Analysis'!$R$9</c:f>
              <c:strCache>
                <c:ptCount val="1"/>
                <c:pt idx="0">
                  <c:v>Fruits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Analysis'!$S$9</c:f>
              <c:numCache>
                <c:formatCode>0.00</c:formatCode>
                <c:ptCount val="1"/>
                <c:pt idx="0">
                  <c:v>1.4731879787860933</c:v>
                </c:pt>
              </c:numCache>
            </c:numRef>
          </c:val>
          <c:extLst>
            <c:ext xmlns:c16="http://schemas.microsoft.com/office/drawing/2014/chart" uri="{C3380CC4-5D6E-409C-BE32-E72D297353CC}">
              <c16:uniqueId val="{00000005-12AB-4D11-A6A3-CC56DCF8BC24}"/>
            </c:ext>
          </c:extLst>
        </c:ser>
        <c:ser>
          <c:idx val="6"/>
          <c:order val="6"/>
          <c:tx>
            <c:strRef>
              <c:f>'Food Inflation Analysis'!$R$10</c:f>
              <c:strCache>
                <c:ptCount val="1"/>
                <c:pt idx="0">
                  <c:v>Vegetables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Analysis'!$S$10</c:f>
              <c:numCache>
                <c:formatCode>0.00</c:formatCode>
                <c:ptCount val="1"/>
                <c:pt idx="0">
                  <c:v>-11.684037301151953</c:v>
                </c:pt>
              </c:numCache>
            </c:numRef>
          </c:val>
          <c:extLst>
            <c:ext xmlns:c16="http://schemas.microsoft.com/office/drawing/2014/chart" uri="{C3380CC4-5D6E-409C-BE32-E72D297353CC}">
              <c16:uniqueId val="{00000006-12AB-4D11-A6A3-CC56DCF8BC24}"/>
            </c:ext>
          </c:extLst>
        </c:ser>
        <c:ser>
          <c:idx val="7"/>
          <c:order val="7"/>
          <c:tx>
            <c:strRef>
              <c:f>'Food Inflation Analysis'!$R$11</c:f>
              <c:strCache>
                <c:ptCount val="1"/>
                <c:pt idx="0">
                  <c:v>Pulses and products</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Analysis'!$S$11</c:f>
              <c:numCache>
                <c:formatCode>0.00</c:formatCode>
                <c:ptCount val="1"/>
                <c:pt idx="0">
                  <c:v>6.8776628119293877</c:v>
                </c:pt>
              </c:numCache>
            </c:numRef>
          </c:val>
          <c:extLst>
            <c:ext xmlns:c16="http://schemas.microsoft.com/office/drawing/2014/chart" uri="{C3380CC4-5D6E-409C-BE32-E72D297353CC}">
              <c16:uniqueId val="{00000007-12AB-4D11-A6A3-CC56DCF8BC24}"/>
            </c:ext>
          </c:extLst>
        </c:ser>
        <c:ser>
          <c:idx val="8"/>
          <c:order val="8"/>
          <c:tx>
            <c:strRef>
              <c:f>'Food Inflation Analysis'!$R$12</c:f>
              <c:strCache>
                <c:ptCount val="1"/>
                <c:pt idx="0">
                  <c:v>Sugar and Confectionery</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Analysis'!$S$12</c:f>
              <c:numCache>
                <c:formatCode>0.00</c:formatCode>
                <c:ptCount val="1"/>
                <c:pt idx="0">
                  <c:v>2.3352793994995804</c:v>
                </c:pt>
              </c:numCache>
            </c:numRef>
          </c:val>
          <c:extLst>
            <c:ext xmlns:c16="http://schemas.microsoft.com/office/drawing/2014/chart" uri="{C3380CC4-5D6E-409C-BE32-E72D297353CC}">
              <c16:uniqueId val="{00000008-12AB-4D11-A6A3-CC56DCF8BC24}"/>
            </c:ext>
          </c:extLst>
        </c:ser>
        <c:ser>
          <c:idx val="9"/>
          <c:order val="9"/>
          <c:tx>
            <c:strRef>
              <c:f>'Food Inflation Analysis'!$R$13</c:f>
              <c:strCache>
                <c:ptCount val="1"/>
                <c:pt idx="0">
                  <c:v>Spices</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Analysis'!$S$13</c:f>
              <c:numCache>
                <c:formatCode>0.00</c:formatCode>
                <c:ptCount val="1"/>
                <c:pt idx="0">
                  <c:v>16.515232495991452</c:v>
                </c:pt>
              </c:numCache>
            </c:numRef>
          </c:val>
          <c:extLst>
            <c:ext xmlns:c16="http://schemas.microsoft.com/office/drawing/2014/chart" uri="{C3380CC4-5D6E-409C-BE32-E72D297353CC}">
              <c16:uniqueId val="{00000009-12AB-4D11-A6A3-CC56DCF8BC24}"/>
            </c:ext>
          </c:extLst>
        </c:ser>
        <c:ser>
          <c:idx val="10"/>
          <c:order val="10"/>
          <c:tx>
            <c:strRef>
              <c:f>'Food Inflation Analysis'!$R$14</c:f>
              <c:strCache>
                <c:ptCount val="1"/>
                <c:pt idx="0">
                  <c:v>Non-alcoholic beverages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Analysis'!$S$14</c:f>
              <c:numCache>
                <c:formatCode>0.00</c:formatCode>
                <c:ptCount val="1"/>
                <c:pt idx="0">
                  <c:v>3.2757593805836809</c:v>
                </c:pt>
              </c:numCache>
            </c:numRef>
          </c:val>
          <c:extLst>
            <c:ext xmlns:c16="http://schemas.microsoft.com/office/drawing/2014/chart" uri="{C3380CC4-5D6E-409C-BE32-E72D297353CC}">
              <c16:uniqueId val="{0000000A-12AB-4D11-A6A3-CC56DCF8BC24}"/>
            </c:ext>
          </c:extLst>
        </c:ser>
        <c:ser>
          <c:idx val="11"/>
          <c:order val="11"/>
          <c:tx>
            <c:strRef>
              <c:f>'Food Inflation Analysis'!$R$15</c:f>
              <c:strCache>
                <c:ptCount val="1"/>
                <c:pt idx="0">
                  <c:v>Prepared meals, scks, sweets etc.</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Analysis'!$S$15</c:f>
              <c:numCache>
                <c:formatCode>0.00</c:formatCode>
                <c:ptCount val="1"/>
                <c:pt idx="0">
                  <c:v>5.6008700380641558</c:v>
                </c:pt>
              </c:numCache>
            </c:numRef>
          </c:val>
          <c:extLst>
            <c:ext xmlns:c16="http://schemas.microsoft.com/office/drawing/2014/chart" uri="{C3380CC4-5D6E-409C-BE32-E72D297353CC}">
              <c16:uniqueId val="{0000000B-12AB-4D11-A6A3-CC56DCF8BC24}"/>
            </c:ext>
          </c:extLst>
        </c:ser>
        <c:ser>
          <c:idx val="12"/>
          <c:order val="12"/>
          <c:tx>
            <c:strRef>
              <c:f>'Food Inflation Analysis'!$R$16</c:f>
              <c:strCache>
                <c:ptCount val="1"/>
                <c:pt idx="0">
                  <c:v>Food and beverages</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'Food Inflation Analysis'!$S$3</c:f>
              <c:strCache>
                <c:ptCount val="1"/>
                <c:pt idx="0">
                  <c:v>Inflation</c:v>
                </c:pt>
              </c:strCache>
            </c:strRef>
          </c:cat>
          <c:val>
            <c:numRef>
              <c:f>'Food Inflation Analysis'!$S$16</c:f>
              <c:numCache>
                <c:formatCode>0.00</c:formatCode>
                <c:ptCount val="1"/>
                <c:pt idx="0">
                  <c:v>2.4013722126929609</c:v>
                </c:pt>
              </c:numCache>
            </c:numRef>
          </c:val>
          <c:extLst>
            <c:ext xmlns:c16="http://schemas.microsoft.com/office/drawing/2014/chart" uri="{C3380CC4-5D6E-409C-BE32-E72D297353CC}">
              <c16:uniqueId val="{0000000C-12AB-4D11-A6A3-CC56DCF8BC24}"/>
            </c:ext>
          </c:extLst>
        </c:ser>
        <c:dLbls>
          <c:dLblPos val="outEnd"/>
          <c:showLegendKey val="0"/>
          <c:showVal val="1"/>
          <c:showCatName val="0"/>
          <c:showSerName val="0"/>
          <c:showPercent val="0"/>
          <c:showBubbleSize val="0"/>
        </c:dLbls>
        <c:gapWidth val="219"/>
        <c:overlap val="-27"/>
        <c:axId val="1075728607"/>
        <c:axId val="1075720447"/>
      </c:barChart>
      <c:catAx>
        <c:axId val="1075728607"/>
        <c:scaling>
          <c:orientation val="minMax"/>
        </c:scaling>
        <c:delete val="1"/>
        <c:axPos val="b"/>
        <c:numFmt formatCode="General" sourceLinked="1"/>
        <c:majorTickMark val="none"/>
        <c:minorTickMark val="none"/>
        <c:tickLblPos val="nextTo"/>
        <c:crossAx val="1075720447"/>
        <c:crosses val="autoZero"/>
        <c:auto val="1"/>
        <c:lblAlgn val="ctr"/>
        <c:lblOffset val="100"/>
        <c:noMultiLvlLbl val="0"/>
      </c:catAx>
      <c:valAx>
        <c:axId val="1075720447"/>
        <c:scaling>
          <c:orientation val="minMax"/>
        </c:scaling>
        <c:delete val="1"/>
        <c:axPos val="l"/>
        <c:numFmt formatCode="0.00" sourceLinked="1"/>
        <c:majorTickMark val="none"/>
        <c:minorTickMark val="none"/>
        <c:tickLblPos val="nextTo"/>
        <c:crossAx val="1075728607"/>
        <c:crosses val="autoZero"/>
        <c:crossBetween val="between"/>
      </c:valAx>
      <c:spPr>
        <a:noFill/>
        <a:ln>
          <a:noFill/>
        </a:ln>
        <a:effectLst/>
      </c:spPr>
    </c:plotArea>
    <c:legend>
      <c:legendPos val="b"/>
      <c:layout>
        <c:manualLayout>
          <c:xMode val="edge"/>
          <c:yMode val="edge"/>
          <c:x val="2.4243657042869633E-2"/>
          <c:y val="0.5962767050294927"/>
          <c:w val="0.93206824146981626"/>
          <c:h val="0.269830114831337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Inflation</a:t>
            </a:r>
            <a:r>
              <a:rPr lang="en-IN" b="1" baseline="0"/>
              <a:t> Analysis After Covid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'Covid inflation Analysis'!$J$25:$J$27</c:f>
              <c:strCache>
                <c:ptCount val="3"/>
                <c:pt idx="0">
                  <c:v>Food</c:v>
                </c:pt>
                <c:pt idx="1">
                  <c:v>Health</c:v>
                </c:pt>
                <c:pt idx="2">
                  <c:v>Essential services</c:v>
                </c:pt>
              </c:strCache>
            </c:strRef>
          </c:cat>
          <c:val>
            <c:numRef>
              <c:f>'Covid inflation Analysis'!$K$25:$K$27</c:f>
              <c:numCache>
                <c:formatCode>0.00</c:formatCode>
                <c:ptCount val="3"/>
                <c:pt idx="0">
                  <c:v>7.6172844372763668</c:v>
                </c:pt>
                <c:pt idx="1">
                  <c:v>5.9093893630991463</c:v>
                </c:pt>
                <c:pt idx="2">
                  <c:v>5.7085500145746408</c:v>
                </c:pt>
              </c:numCache>
            </c:numRef>
          </c:val>
          <c:extLst>
            <c:ext xmlns:c16="http://schemas.microsoft.com/office/drawing/2014/chart" uri="{C3380CC4-5D6E-409C-BE32-E72D297353CC}">
              <c16:uniqueId val="{00000000-DFA4-4548-90F1-43D65B91DD31}"/>
            </c:ext>
          </c:extLst>
        </c:ser>
        <c:dLbls>
          <c:dLblPos val="outEnd"/>
          <c:showLegendKey val="0"/>
          <c:showVal val="1"/>
          <c:showCatName val="0"/>
          <c:showSerName val="0"/>
          <c:showPercent val="0"/>
          <c:showBubbleSize val="0"/>
        </c:dLbls>
        <c:gapWidth val="182"/>
        <c:axId val="1099305616"/>
        <c:axId val="1099306096"/>
      </c:barChart>
      <c:catAx>
        <c:axId val="1099305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99306096"/>
        <c:crosses val="autoZero"/>
        <c:auto val="1"/>
        <c:lblAlgn val="ctr"/>
        <c:lblOffset val="100"/>
        <c:noMultiLvlLbl val="0"/>
      </c:catAx>
      <c:valAx>
        <c:axId val="1099306096"/>
        <c:scaling>
          <c:orientation val="minMax"/>
        </c:scaling>
        <c:delete val="1"/>
        <c:axPos val="b"/>
        <c:numFmt formatCode="0.00" sourceLinked="1"/>
        <c:majorTickMark val="none"/>
        <c:minorTickMark val="none"/>
        <c:tickLblPos val="nextTo"/>
        <c:crossAx val="10993056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Inflation</a:t>
            </a:r>
            <a:r>
              <a:rPr lang="en-IN" b="1" baseline="0"/>
              <a:t> Analysis Before Covid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'Covid inflation Analysis'!$C$25:$C$27</c:f>
              <c:strCache>
                <c:ptCount val="3"/>
                <c:pt idx="0">
                  <c:v>Food</c:v>
                </c:pt>
                <c:pt idx="1">
                  <c:v>Health</c:v>
                </c:pt>
                <c:pt idx="2">
                  <c:v>Essential services</c:v>
                </c:pt>
              </c:strCache>
            </c:strRef>
          </c:cat>
          <c:val>
            <c:numRef>
              <c:f>'Covid inflation Analysis'!$D$25:$D$27</c:f>
              <c:numCache>
                <c:formatCode>0.00</c:formatCode>
                <c:ptCount val="3"/>
                <c:pt idx="0">
                  <c:v>8.525367399861759</c:v>
                </c:pt>
                <c:pt idx="1">
                  <c:v>3.7619699042407659</c:v>
                </c:pt>
                <c:pt idx="2">
                  <c:v>3.9171175682067934</c:v>
                </c:pt>
              </c:numCache>
            </c:numRef>
          </c:val>
          <c:extLst>
            <c:ext xmlns:c16="http://schemas.microsoft.com/office/drawing/2014/chart" uri="{C3380CC4-5D6E-409C-BE32-E72D297353CC}">
              <c16:uniqueId val="{00000000-F026-4708-B26B-16DE6A403DC0}"/>
            </c:ext>
          </c:extLst>
        </c:ser>
        <c:dLbls>
          <c:dLblPos val="outEnd"/>
          <c:showLegendKey val="0"/>
          <c:showVal val="1"/>
          <c:showCatName val="0"/>
          <c:showSerName val="0"/>
          <c:showPercent val="0"/>
          <c:showBubbleSize val="0"/>
        </c:dLbls>
        <c:gapWidth val="182"/>
        <c:axId val="1088989264"/>
        <c:axId val="1088978224"/>
      </c:barChart>
      <c:catAx>
        <c:axId val="108898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8978224"/>
        <c:crosses val="autoZero"/>
        <c:auto val="1"/>
        <c:lblAlgn val="ctr"/>
        <c:lblOffset val="100"/>
        <c:noMultiLvlLbl val="0"/>
      </c:catAx>
      <c:valAx>
        <c:axId val="1088978224"/>
        <c:scaling>
          <c:orientation val="minMax"/>
        </c:scaling>
        <c:delete val="1"/>
        <c:axPos val="b"/>
        <c:numFmt formatCode="0.00" sourceLinked="1"/>
        <c:majorTickMark val="none"/>
        <c:minorTickMark val="none"/>
        <c:tickLblPos val="nextTo"/>
        <c:crossAx val="1088989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114300</xdr:rowOff>
    </xdr:from>
    <xdr:to>
      <xdr:col>20</xdr:col>
      <xdr:colOff>266700</xdr:colOff>
      <xdr:row>20</xdr:row>
      <xdr:rowOff>57149</xdr:rowOff>
    </xdr:to>
    <xdr:sp macro="" textlink="">
      <xdr:nvSpPr>
        <xdr:cNvPr id="2" name="Rectangle: Rounded Corners 1">
          <a:extLst>
            <a:ext uri="{FF2B5EF4-FFF2-40B4-BE49-F238E27FC236}">
              <a16:creationId xmlns:a16="http://schemas.microsoft.com/office/drawing/2014/main" id="{5A34BF6D-752A-4B70-865B-FD1F8BE7F4F0}"/>
            </a:ext>
          </a:extLst>
        </xdr:cNvPr>
        <xdr:cNvSpPr/>
      </xdr:nvSpPr>
      <xdr:spPr>
        <a:xfrm>
          <a:off x="19050" y="114300"/>
          <a:ext cx="12439650" cy="3752849"/>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r>
            <a:rPr lang="en-IN" sz="1100">
              <a:solidFill>
                <a:schemeClr val="dk1"/>
              </a:solidFill>
              <a:effectLst/>
              <a:latin typeface="+mn-lt"/>
              <a:ea typeface="+mn-ea"/>
              <a:cs typeface="+mn-cs"/>
            </a:rPr>
            <a:t>Problem Statement: You are working with the National Statistical Office which is equipped to release inflation numbers in India. As an analyst, you are provided with CPI data and are equipped to find out insights from the data. Your senior wants you to find key trends and deep dive into the data to answer the following questions – </a:t>
          </a:r>
        </a:p>
        <a:p>
          <a:r>
            <a:rPr lang="en-IN" sz="1100">
              <a:solidFill>
                <a:schemeClr val="dk1"/>
              </a:solidFill>
              <a:effectLst/>
              <a:latin typeface="+mn-lt"/>
              <a:ea typeface="+mn-ea"/>
              <a:cs typeface="+mn-cs"/>
            </a:rPr>
            <a:t>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 </a:t>
          </a:r>
        </a:p>
        <a:p>
          <a:r>
            <a:rPr lang="en-IN" sz="1100">
              <a:solidFill>
                <a:schemeClr val="dk1"/>
              </a:solidFill>
              <a:effectLst/>
              <a:latin typeface="+mn-lt"/>
              <a:ea typeface="+mn-ea"/>
              <a:cs typeface="+mn-cs"/>
            </a:rPr>
            <a:t>Which broader category has the highest contribution towards CPI calculation.Contribution is calculated by evaluating the underlying index values for broader category and should add to 100% when contribution from different broader categories are added.</a:t>
          </a:r>
        </a:p>
        <a:p>
          <a:r>
            <a:rPr lang="en-IN" sz="1100">
              <a:solidFill>
                <a:schemeClr val="dk1"/>
              </a:solidFill>
              <a:effectLst/>
              <a:latin typeface="+mn-lt"/>
              <a:ea typeface="+mn-ea"/>
              <a:cs typeface="+mn-cs"/>
            </a:rPr>
            <a:t> 2. A trend of Y-o-Y increase in CPI (rural + urban) inflation starting 2017 for the entire basket of products combined.</a:t>
          </a:r>
        </a:p>
        <a:p>
          <a:r>
            <a:rPr lang="en-IN" sz="1100">
              <a:solidFill>
                <a:schemeClr val="dk1"/>
              </a:solidFill>
              <a:effectLst/>
              <a:latin typeface="+mn-lt"/>
              <a:ea typeface="+mn-ea"/>
              <a:cs typeface="+mn-cs"/>
            </a:rPr>
            <a:t> Create a graph depicting the growth rate Y-o-Y and identify the year with highest inflation rate </a:t>
          </a:r>
        </a:p>
        <a:p>
          <a:r>
            <a:rPr lang="en-IN" sz="1100">
              <a:solidFill>
                <a:schemeClr val="dk1"/>
              </a:solidFill>
              <a:effectLst/>
              <a:latin typeface="+mn-lt"/>
              <a:ea typeface="+mn-ea"/>
              <a:cs typeface="+mn-cs"/>
            </a:rPr>
            <a:t>Highlight the reason why the year has the highest inflation (based on research). </a:t>
          </a:r>
        </a:p>
        <a:p>
          <a:r>
            <a:rPr lang="en-IN" sz="1100">
              <a:solidFill>
                <a:schemeClr val="dk1"/>
              </a:solidFill>
              <a:effectLst/>
              <a:latin typeface="+mn-lt"/>
              <a:ea typeface="+mn-ea"/>
              <a:cs typeface="+mn-cs"/>
            </a:rPr>
            <a:t>3. With India's retail inflation reaching a 3-month high of 5.55% in November 2023, largely due to a sharp rise in food prices. Analyze the following for 12 months ending May'23 </a:t>
          </a:r>
        </a:p>
        <a:p>
          <a:r>
            <a:rPr lang="en-IN" sz="1100">
              <a:solidFill>
                <a:schemeClr val="dk1"/>
              </a:solidFill>
              <a:effectLst/>
              <a:latin typeface="+mn-lt"/>
              <a:ea typeface="+mn-ea"/>
              <a:cs typeface="+mn-cs"/>
            </a:rPr>
            <a:t>Investigate trends in the prices of broader food bucket category and evaluate month-on-month changes. Highlight month with highest and lowest food inflation </a:t>
          </a:r>
        </a:p>
        <a:p>
          <a:r>
            <a:rPr lang="en-IN" sz="1100">
              <a:solidFill>
                <a:schemeClr val="dk1"/>
              </a:solidFill>
              <a:effectLst/>
              <a:latin typeface="+mn-lt"/>
              <a:ea typeface="+mn-ea"/>
              <a:cs typeface="+mn-cs"/>
            </a:rPr>
            <a:t>Identify the absolute changes in inflation over the same 12 months period and identify the biggest individual category contributor (only within broader food category) towards inflation </a:t>
          </a:r>
        </a:p>
        <a:p>
          <a:r>
            <a:rPr lang="en-IN" sz="1100">
              <a:solidFill>
                <a:schemeClr val="dk1"/>
              </a:solidFill>
              <a:effectLst/>
              <a:latin typeface="+mn-lt"/>
              <a:ea typeface="+mn-ea"/>
              <a:cs typeface="+mn-cs"/>
            </a:rPr>
            <a:t>4. Investigate how the onset and progression of the COVID-19 pandemic affected inflation rates in India. Analyze the Impact of key pandemic milestone (first lockdown) on the CPI inflation %, specially focus on categories like healthcare, food, and essential services. </a:t>
          </a:r>
        </a:p>
        <a:p>
          <a:r>
            <a:rPr lang="en-IN" sz="1100">
              <a:solidFill>
                <a:schemeClr val="dk1"/>
              </a:solidFill>
              <a:effectLst/>
              <a:latin typeface="+mn-lt"/>
              <a:ea typeface="+mn-ea"/>
              <a:cs typeface="+mn-cs"/>
            </a:rPr>
            <a:t>Hint: You can consider Mar'20 as the onset of covid, and can compare the inflation trend before and after Mar'20 to see if there is a change in inflation % before and after. </a:t>
          </a:r>
        </a:p>
        <a:p>
          <a:r>
            <a:rPr lang="en-IN" sz="1100">
              <a:solidFill>
                <a:schemeClr val="dk1"/>
              </a:solidFill>
              <a:effectLst/>
              <a:latin typeface="+mn-lt"/>
              <a:ea typeface="+mn-ea"/>
              <a:cs typeface="+mn-cs"/>
            </a:rPr>
            <a:t>5. Investigate how major global economic events (like imported crude oil price fluctuations) have influenced India'inflation. This can include an analysis of imported goods and their price trends.</a:t>
          </a:r>
          <a:br>
            <a:rPr lang="en-IN" sz="1100">
              <a:solidFill>
                <a:schemeClr val="dk1"/>
              </a:solidFill>
              <a:effectLst/>
              <a:latin typeface="+mn-lt"/>
              <a:ea typeface="+mn-ea"/>
              <a:cs typeface="+mn-cs"/>
            </a:rPr>
          </a:br>
          <a:r>
            <a:rPr lang="en-IN" sz="1100">
              <a:solidFill>
                <a:schemeClr val="dk1"/>
              </a:solidFill>
              <a:effectLst/>
              <a:latin typeface="+mn-lt"/>
              <a:ea typeface="+mn-ea"/>
              <a:cs typeface="+mn-cs"/>
            </a:rPr>
            <a:t>For the purpose of this analysis, focus only on the imported oil price fluctuations for years 2021 to 2023 (Month-on-month) </a:t>
          </a:r>
        </a:p>
        <a:p>
          <a:r>
            <a:rPr lang="en-IN" sz="1100">
              <a:solidFill>
                <a:schemeClr val="dk1"/>
              </a:solidFill>
              <a:effectLst/>
              <a:latin typeface="+mn-lt"/>
              <a:ea typeface="+mn-ea"/>
              <a:cs typeface="+mn-cs"/>
            </a:rPr>
            <a:t>Identify trends in oil price change with change in inflation prices of all the categories and identify category whose inflation prices strongly changes with fluctuations in imported oil price (Hint: you can use correl function)</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xdr:colOff>
      <xdr:row>17</xdr:row>
      <xdr:rowOff>147637</xdr:rowOff>
    </xdr:from>
    <xdr:to>
      <xdr:col>10</xdr:col>
      <xdr:colOff>47625</xdr:colOff>
      <xdr:row>32</xdr:row>
      <xdr:rowOff>33337</xdr:rowOff>
    </xdr:to>
    <xdr:graphicFrame macro="">
      <xdr:nvGraphicFramePr>
        <xdr:cNvPr id="2" name="Chart 1">
          <a:extLst>
            <a:ext uri="{FF2B5EF4-FFF2-40B4-BE49-F238E27FC236}">
              <a16:creationId xmlns:a16="http://schemas.microsoft.com/office/drawing/2014/main" id="{6D9CC258-EDB6-9173-8E3C-DDE9CF77F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352425</xdr:colOff>
      <xdr:row>17</xdr:row>
      <xdr:rowOff>171449</xdr:rowOff>
    </xdr:from>
    <xdr:to>
      <xdr:col>11</xdr:col>
      <xdr:colOff>1162050</xdr:colOff>
      <xdr:row>25</xdr:row>
      <xdr:rowOff>66674</xdr:rowOff>
    </xdr:to>
    <xdr:sp macro="" textlink="">
      <xdr:nvSpPr>
        <xdr:cNvPr id="4" name="Callout: Left Arrow 3">
          <a:extLst>
            <a:ext uri="{FF2B5EF4-FFF2-40B4-BE49-F238E27FC236}">
              <a16:creationId xmlns:a16="http://schemas.microsoft.com/office/drawing/2014/main" id="{E343DAEE-EB77-F2EE-4C64-60F511DD7791}"/>
            </a:ext>
          </a:extLst>
        </xdr:cNvPr>
        <xdr:cNvSpPr/>
      </xdr:nvSpPr>
      <xdr:spPr>
        <a:xfrm>
          <a:off x="9534525" y="2838449"/>
          <a:ext cx="2000250" cy="1419225"/>
        </a:xfrm>
        <a:prstGeom prst="leftArrowCallout">
          <a:avLst>
            <a:gd name="adj1" fmla="val 22315"/>
            <a:gd name="adj2" fmla="val 31711"/>
            <a:gd name="adj3" fmla="val 25000"/>
            <a:gd name="adj4" fmla="val 64977"/>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300" b="1">
              <a:solidFill>
                <a:schemeClr val="dk1"/>
              </a:solidFill>
              <a:effectLst/>
              <a:latin typeface="+mn-lt"/>
              <a:ea typeface="+mn-ea"/>
              <a:cs typeface="+mn-cs"/>
            </a:rPr>
            <a:t>Notes: Food and beverages has the highest inflation with 50% for May 2023.</a:t>
          </a:r>
          <a:endParaRPr lang="en-IN" sz="1300">
            <a:effectLst/>
          </a:endParaRPr>
        </a:p>
        <a:p>
          <a:pPr algn="l"/>
          <a:endParaRPr lang="en-IN" sz="1100"/>
        </a:p>
      </xdr:txBody>
    </xdr:sp>
    <xdr:clientData/>
  </xdr:twoCellAnchor>
  <xdr:twoCellAnchor>
    <xdr:from>
      <xdr:col>7</xdr:col>
      <xdr:colOff>0</xdr:colOff>
      <xdr:row>0</xdr:row>
      <xdr:rowOff>0</xdr:rowOff>
    </xdr:from>
    <xdr:to>
      <xdr:col>12</xdr:col>
      <xdr:colOff>15128</xdr:colOff>
      <xdr:row>2</xdr:row>
      <xdr:rowOff>179294</xdr:rowOff>
    </xdr:to>
    <xdr:sp macro="" textlink="">
      <xdr:nvSpPr>
        <xdr:cNvPr id="5" name="Speech Bubble: Rectangle with Corners Rounded 4">
          <a:extLst>
            <a:ext uri="{FF2B5EF4-FFF2-40B4-BE49-F238E27FC236}">
              <a16:creationId xmlns:a16="http://schemas.microsoft.com/office/drawing/2014/main" id="{B3B5D064-EF69-418F-8434-5FF8EA23A080}"/>
            </a:ext>
          </a:extLst>
        </xdr:cNvPr>
        <xdr:cNvSpPr/>
      </xdr:nvSpPr>
      <xdr:spPr>
        <a:xfrm>
          <a:off x="5448300" y="0"/>
          <a:ext cx="6196853" cy="560294"/>
        </a:xfrm>
        <a:prstGeom prst="wedgeRoundRectCallou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500" b="1"/>
            <a:t>Highest contribution of different broader categories towards the CPI basket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266699</xdr:colOff>
      <xdr:row>1</xdr:row>
      <xdr:rowOff>28574</xdr:rowOff>
    </xdr:from>
    <xdr:to>
      <xdr:col>16</xdr:col>
      <xdr:colOff>390524</xdr:colOff>
      <xdr:row>16</xdr:row>
      <xdr:rowOff>190499</xdr:rowOff>
    </xdr:to>
    <xdr:graphicFrame macro="">
      <xdr:nvGraphicFramePr>
        <xdr:cNvPr id="5" name="Chart 4">
          <a:extLst>
            <a:ext uri="{FF2B5EF4-FFF2-40B4-BE49-F238E27FC236}">
              <a16:creationId xmlns:a16="http://schemas.microsoft.com/office/drawing/2014/main" id="{E9307573-01EA-447E-243F-8FD715573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314325</xdr:colOff>
      <xdr:row>0</xdr:row>
      <xdr:rowOff>180976</xdr:rowOff>
    </xdr:from>
    <xdr:to>
      <xdr:col>25</xdr:col>
      <xdr:colOff>152400</xdr:colOff>
      <xdr:row>16</xdr:row>
      <xdr:rowOff>180976</xdr:rowOff>
    </xdr:to>
    <xdr:sp macro="" textlink="">
      <xdr:nvSpPr>
        <xdr:cNvPr id="6" name="Callout: Left Arrow 5">
          <a:extLst>
            <a:ext uri="{FF2B5EF4-FFF2-40B4-BE49-F238E27FC236}">
              <a16:creationId xmlns:a16="http://schemas.microsoft.com/office/drawing/2014/main" id="{302AD747-396E-D47C-59B9-D4E21F63096B}"/>
            </a:ext>
          </a:extLst>
        </xdr:cNvPr>
        <xdr:cNvSpPr/>
      </xdr:nvSpPr>
      <xdr:spPr>
        <a:xfrm>
          <a:off x="9210675" y="180976"/>
          <a:ext cx="2905125" cy="3048000"/>
        </a:xfrm>
        <a:prstGeom prst="leftArrowCallou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mn-lt"/>
              <a:ea typeface="+mn-ea"/>
              <a:cs typeface="+mn-cs"/>
            </a:rPr>
            <a:t>Inflation was highest in 2022 because global oil prices increased sharply after the Russia–Ukraine war, which raised fuel and transport costs in India. At the same time, supply problems and a weak rupee made imported items more expensive. Heatwaves also damaged crops, causing food prices to rise. All these factors together pushed overall inflation to its peak in 2022</a:t>
          </a:r>
          <a:endParaRPr lang="en-IN" sz="1200">
            <a:effectLst/>
          </a:endParaRPr>
        </a:p>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257175</xdr:colOff>
      <xdr:row>0</xdr:row>
      <xdr:rowOff>95250</xdr:rowOff>
    </xdr:from>
    <xdr:to>
      <xdr:col>5</xdr:col>
      <xdr:colOff>428625</xdr:colOff>
      <xdr:row>1</xdr:row>
      <xdr:rowOff>152400</xdr:rowOff>
    </xdr:to>
    <xdr:sp macro="" textlink="">
      <xdr:nvSpPr>
        <xdr:cNvPr id="2" name="Rectangle: Rounded Corners 1">
          <a:extLst>
            <a:ext uri="{FF2B5EF4-FFF2-40B4-BE49-F238E27FC236}">
              <a16:creationId xmlns:a16="http://schemas.microsoft.com/office/drawing/2014/main" id="{A1F33AD7-A752-47AC-803D-5440E81D7B58}"/>
            </a:ext>
          </a:extLst>
        </xdr:cNvPr>
        <xdr:cNvSpPr/>
      </xdr:nvSpPr>
      <xdr:spPr>
        <a:xfrm>
          <a:off x="866775" y="95250"/>
          <a:ext cx="2809875" cy="24765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b="1"/>
            <a:t>M-O-M</a:t>
          </a:r>
          <a:r>
            <a:rPr lang="en-IN" sz="1100" b="1" baseline="0"/>
            <a:t> inflation rate of Food and Beverage</a:t>
          </a:r>
          <a:endParaRPr lang="en-IN" sz="1100" b="1"/>
        </a:p>
      </xdr:txBody>
    </xdr:sp>
    <xdr:clientData/>
  </xdr:twoCellAnchor>
  <xdr:twoCellAnchor>
    <xdr:from>
      <xdr:col>7</xdr:col>
      <xdr:colOff>314324</xdr:colOff>
      <xdr:row>18</xdr:row>
      <xdr:rowOff>0</xdr:rowOff>
    </xdr:from>
    <xdr:to>
      <xdr:col>9</xdr:col>
      <xdr:colOff>819149</xdr:colOff>
      <xdr:row>28</xdr:row>
      <xdr:rowOff>9525</xdr:rowOff>
    </xdr:to>
    <xdr:sp macro="" textlink="">
      <xdr:nvSpPr>
        <xdr:cNvPr id="3" name="Callout: Left Arrow 2">
          <a:extLst>
            <a:ext uri="{FF2B5EF4-FFF2-40B4-BE49-F238E27FC236}">
              <a16:creationId xmlns:a16="http://schemas.microsoft.com/office/drawing/2014/main" id="{C5E6B5D1-1FD0-4117-8AFA-F45C4396248A}"/>
            </a:ext>
          </a:extLst>
        </xdr:cNvPr>
        <xdr:cNvSpPr/>
      </xdr:nvSpPr>
      <xdr:spPr>
        <a:xfrm>
          <a:off x="4781549" y="3429000"/>
          <a:ext cx="1724025" cy="1914525"/>
        </a:xfrm>
        <a:prstGeom prst="leftArrowCallou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Highest month food inflation:</a:t>
          </a:r>
          <a:r>
            <a:rPr lang="en-IN" sz="1100" baseline="0"/>
            <a:t> May'2023.</a:t>
          </a:r>
        </a:p>
        <a:p>
          <a:pPr algn="l"/>
          <a:endParaRPr lang="en-IN" sz="1100" baseline="0"/>
        </a:p>
        <a:p>
          <a:pPr algn="l"/>
          <a:endParaRPr lang="en-IN" sz="1100" baseline="0"/>
        </a:p>
        <a:p>
          <a:pPr algn="l"/>
          <a:endParaRPr lang="en-IN" sz="1100" baseline="0"/>
        </a:p>
        <a:p>
          <a:pPr algn="l"/>
          <a:endParaRPr lang="en-IN" sz="1100" baseline="0"/>
        </a:p>
        <a:p>
          <a:pPr algn="l"/>
          <a:r>
            <a:rPr lang="en-IN" sz="1100" baseline="0"/>
            <a:t>Lowest Month food inflation: Feb'2023</a:t>
          </a:r>
        </a:p>
        <a:p>
          <a:pPr algn="l"/>
          <a:endParaRPr lang="en-IN" sz="1100"/>
        </a:p>
      </xdr:txBody>
    </xdr:sp>
    <xdr:clientData/>
  </xdr:twoCellAnchor>
  <xdr:twoCellAnchor>
    <xdr:from>
      <xdr:col>12</xdr:col>
      <xdr:colOff>123825</xdr:colOff>
      <xdr:row>0</xdr:row>
      <xdr:rowOff>114300</xdr:rowOff>
    </xdr:from>
    <xdr:to>
      <xdr:col>15</xdr:col>
      <xdr:colOff>561975</xdr:colOff>
      <xdr:row>1</xdr:row>
      <xdr:rowOff>152400</xdr:rowOff>
    </xdr:to>
    <xdr:sp macro="" textlink="">
      <xdr:nvSpPr>
        <xdr:cNvPr id="4" name="Rectangle: Rounded Corners 3">
          <a:extLst>
            <a:ext uri="{FF2B5EF4-FFF2-40B4-BE49-F238E27FC236}">
              <a16:creationId xmlns:a16="http://schemas.microsoft.com/office/drawing/2014/main" id="{CAC49486-D116-473E-A026-40C9D391955E}"/>
            </a:ext>
          </a:extLst>
        </xdr:cNvPr>
        <xdr:cNvSpPr/>
      </xdr:nvSpPr>
      <xdr:spPr>
        <a:xfrm>
          <a:off x="7877175" y="114300"/>
          <a:ext cx="3733800" cy="228600"/>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b="1"/>
            <a:t>Analysis</a:t>
          </a:r>
          <a:r>
            <a:rPr lang="en-IN" sz="1100" b="1" baseline="0"/>
            <a:t> on Food and Beverage Individual categories inflation</a:t>
          </a:r>
        </a:p>
        <a:p>
          <a:pPr algn="l"/>
          <a:endParaRPr lang="en-IN" sz="1100"/>
        </a:p>
      </xdr:txBody>
    </xdr:sp>
    <xdr:clientData/>
  </xdr:twoCellAnchor>
  <xdr:twoCellAnchor>
    <xdr:from>
      <xdr:col>8</xdr:col>
      <xdr:colOff>66675</xdr:colOff>
      <xdr:row>0</xdr:row>
      <xdr:rowOff>95250</xdr:rowOff>
    </xdr:from>
    <xdr:to>
      <xdr:col>9</xdr:col>
      <xdr:colOff>762000</xdr:colOff>
      <xdr:row>1</xdr:row>
      <xdr:rowOff>142875</xdr:rowOff>
    </xdr:to>
    <xdr:sp macro="" textlink="">
      <xdr:nvSpPr>
        <xdr:cNvPr id="5" name="Rectangle: Rounded Corners 4">
          <a:extLst>
            <a:ext uri="{FF2B5EF4-FFF2-40B4-BE49-F238E27FC236}">
              <a16:creationId xmlns:a16="http://schemas.microsoft.com/office/drawing/2014/main" id="{C9D260A8-6A59-4FC3-86E7-8E04B8675E61}"/>
            </a:ext>
          </a:extLst>
        </xdr:cNvPr>
        <xdr:cNvSpPr/>
      </xdr:nvSpPr>
      <xdr:spPr>
        <a:xfrm>
          <a:off x="5143500" y="95250"/>
          <a:ext cx="1304925" cy="23812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b="1"/>
            <a:t>Inflation M-O-M</a:t>
          </a:r>
        </a:p>
      </xdr:txBody>
    </xdr:sp>
    <xdr:clientData/>
  </xdr:twoCellAnchor>
  <xdr:twoCellAnchor>
    <xdr:from>
      <xdr:col>0</xdr:col>
      <xdr:colOff>0</xdr:colOff>
      <xdr:row>15</xdr:row>
      <xdr:rowOff>80962</xdr:rowOff>
    </xdr:from>
    <xdr:to>
      <xdr:col>7</xdr:col>
      <xdr:colOff>276225</xdr:colOff>
      <xdr:row>29</xdr:row>
      <xdr:rowOff>157162</xdr:rowOff>
    </xdr:to>
    <xdr:graphicFrame macro="">
      <xdr:nvGraphicFramePr>
        <xdr:cNvPr id="6" name="Chart 5">
          <a:extLst>
            <a:ext uri="{FF2B5EF4-FFF2-40B4-BE49-F238E27FC236}">
              <a16:creationId xmlns:a16="http://schemas.microsoft.com/office/drawing/2014/main" id="{DD1E6872-0689-4040-BE9F-114FDE8F6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17</xdr:col>
      <xdr:colOff>57150</xdr:colOff>
      <xdr:row>37</xdr:row>
      <xdr:rowOff>78921</xdr:rowOff>
    </xdr:to>
    <xdr:graphicFrame macro="">
      <xdr:nvGraphicFramePr>
        <xdr:cNvPr id="7" name="Chart 6">
          <a:extLst>
            <a:ext uri="{FF2B5EF4-FFF2-40B4-BE49-F238E27FC236}">
              <a16:creationId xmlns:a16="http://schemas.microsoft.com/office/drawing/2014/main" id="{4DE98CB4-3540-49BC-8030-42E297BE7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76200</xdr:colOff>
      <xdr:row>18</xdr:row>
      <xdr:rowOff>9525</xdr:rowOff>
    </xdr:from>
    <xdr:to>
      <xdr:col>17</xdr:col>
      <xdr:colOff>1914525</xdr:colOff>
      <xdr:row>27</xdr:row>
      <xdr:rowOff>47625</xdr:rowOff>
    </xdr:to>
    <xdr:sp macro="" textlink="">
      <xdr:nvSpPr>
        <xdr:cNvPr id="8" name="Callout: Left Arrow 7">
          <a:extLst>
            <a:ext uri="{FF2B5EF4-FFF2-40B4-BE49-F238E27FC236}">
              <a16:creationId xmlns:a16="http://schemas.microsoft.com/office/drawing/2014/main" id="{43C6029C-DD82-4EC3-9923-3CC02027EE29}"/>
            </a:ext>
          </a:extLst>
        </xdr:cNvPr>
        <xdr:cNvSpPr/>
      </xdr:nvSpPr>
      <xdr:spPr>
        <a:xfrm>
          <a:off x="12344400" y="3438525"/>
          <a:ext cx="1838325" cy="1752600"/>
        </a:xfrm>
        <a:prstGeom prst="leftArrowCallou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solidFill>
                <a:schemeClr val="dk1"/>
              </a:solidFill>
              <a:effectLst/>
              <a:latin typeface="+mn-lt"/>
              <a:ea typeface="+mn-ea"/>
              <a:cs typeface="+mn-cs"/>
            </a:rPr>
            <a:t>Biggest individual category contributor</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towards inflation are from Spices</a:t>
          </a:r>
          <a:r>
            <a:rPr lang="en-IN" sz="1100" baseline="0">
              <a:solidFill>
                <a:schemeClr val="dk1"/>
              </a:solidFill>
              <a:effectLst/>
              <a:latin typeface="+mn-lt"/>
              <a:ea typeface="+mn-ea"/>
              <a:cs typeface="+mn-cs"/>
            </a:rPr>
            <a:t> and cereals.</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16808</xdr:colOff>
      <xdr:row>29</xdr:row>
      <xdr:rowOff>101973</xdr:rowOff>
    </xdr:from>
    <xdr:to>
      <xdr:col>11</xdr:col>
      <xdr:colOff>582705</xdr:colOff>
      <xdr:row>43</xdr:row>
      <xdr:rowOff>178173</xdr:rowOff>
    </xdr:to>
    <xdr:graphicFrame macro="">
      <xdr:nvGraphicFramePr>
        <xdr:cNvPr id="2" name="Chart 1">
          <a:extLst>
            <a:ext uri="{FF2B5EF4-FFF2-40B4-BE49-F238E27FC236}">
              <a16:creationId xmlns:a16="http://schemas.microsoft.com/office/drawing/2014/main" id="{8D84C827-D8CB-465B-A68C-633F97BFB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5603</xdr:colOff>
      <xdr:row>29</xdr:row>
      <xdr:rowOff>79561</xdr:rowOff>
    </xdr:from>
    <xdr:to>
      <xdr:col>5</xdr:col>
      <xdr:colOff>0</xdr:colOff>
      <xdr:row>43</xdr:row>
      <xdr:rowOff>155761</xdr:rowOff>
    </xdr:to>
    <xdr:graphicFrame macro="">
      <xdr:nvGraphicFramePr>
        <xdr:cNvPr id="3" name="Chart 2">
          <a:extLst>
            <a:ext uri="{FF2B5EF4-FFF2-40B4-BE49-F238E27FC236}">
              <a16:creationId xmlns:a16="http://schemas.microsoft.com/office/drawing/2014/main" id="{2B72FF2D-2442-4C2B-8495-3F6CD5258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33616</xdr:colOff>
      <xdr:row>44</xdr:row>
      <xdr:rowOff>190499</xdr:rowOff>
    </xdr:from>
    <xdr:to>
      <xdr:col>2</xdr:col>
      <xdr:colOff>537882</xdr:colOff>
      <xdr:row>53</xdr:row>
      <xdr:rowOff>56029</xdr:rowOff>
    </xdr:to>
    <xdr:sp macro="" textlink="">
      <xdr:nvSpPr>
        <xdr:cNvPr id="4" name="Flowchart: Alternate Process 3">
          <a:extLst>
            <a:ext uri="{FF2B5EF4-FFF2-40B4-BE49-F238E27FC236}">
              <a16:creationId xmlns:a16="http://schemas.microsoft.com/office/drawing/2014/main" id="{5E25907C-5AAD-4A79-B6E1-FEC14358C82B}"/>
            </a:ext>
          </a:extLst>
        </xdr:cNvPr>
        <xdr:cNvSpPr/>
      </xdr:nvSpPr>
      <xdr:spPr>
        <a:xfrm>
          <a:off x="33616" y="8782049"/>
          <a:ext cx="3742766" cy="1580030"/>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a:t>Food inflation declined from 8.53% to 7.62% after Covid mainly due to reduced consumer demand caused by income loss and economic slowdown. Government interventions such as buffer stock releases, and import duty reduction on essentials improved supply conditions. This helped control food prices in the post-Covid period.</a:t>
          </a:r>
          <a:endParaRPr lang="en-IN" sz="1100"/>
        </a:p>
      </xdr:txBody>
    </xdr:sp>
    <xdr:clientData/>
  </xdr:twoCellAnchor>
  <xdr:twoCellAnchor>
    <xdr:from>
      <xdr:col>3</xdr:col>
      <xdr:colOff>123264</xdr:colOff>
      <xdr:row>44</xdr:row>
      <xdr:rowOff>168088</xdr:rowOff>
    </xdr:from>
    <xdr:to>
      <xdr:col>8</xdr:col>
      <xdr:colOff>123265</xdr:colOff>
      <xdr:row>53</xdr:row>
      <xdr:rowOff>33618</xdr:rowOff>
    </xdr:to>
    <xdr:sp macro="" textlink="">
      <xdr:nvSpPr>
        <xdr:cNvPr id="5" name="Flowchart: Alternate Process 4">
          <a:extLst>
            <a:ext uri="{FF2B5EF4-FFF2-40B4-BE49-F238E27FC236}">
              <a16:creationId xmlns:a16="http://schemas.microsoft.com/office/drawing/2014/main" id="{BFB5C4CB-AB6E-4C47-A313-3625E991638B}"/>
            </a:ext>
          </a:extLst>
        </xdr:cNvPr>
        <xdr:cNvSpPr/>
      </xdr:nvSpPr>
      <xdr:spPr>
        <a:xfrm>
          <a:off x="4057089" y="8759638"/>
          <a:ext cx="3686176" cy="1580030"/>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a:t>2. Health Inflation (3.76 → 5.91%) – Sharp rise after Covid</a:t>
          </a:r>
          <a:br>
            <a:rPr lang="en-IN"/>
          </a:br>
          <a:r>
            <a:rPr lang="en-IN"/>
            <a:t>Reasons: Health inflation saw a steep rise post-Covid as hospitals and clinics increased service charges, the cost of medicines and protective equipment surged, and households spent more on preventive healthcare and medical consultations</a:t>
          </a:r>
          <a:endParaRPr lang="en-IN" sz="1100"/>
        </a:p>
      </xdr:txBody>
    </xdr:sp>
    <xdr:clientData/>
  </xdr:twoCellAnchor>
  <xdr:twoCellAnchor>
    <xdr:from>
      <xdr:col>8</xdr:col>
      <xdr:colOff>369793</xdr:colOff>
      <xdr:row>44</xdr:row>
      <xdr:rowOff>156881</xdr:rowOff>
    </xdr:from>
    <xdr:to>
      <xdr:col>11</xdr:col>
      <xdr:colOff>593912</xdr:colOff>
      <xdr:row>53</xdr:row>
      <xdr:rowOff>22411</xdr:rowOff>
    </xdr:to>
    <xdr:sp macro="" textlink="">
      <xdr:nvSpPr>
        <xdr:cNvPr id="6" name="Flowchart: Alternate Process 5">
          <a:extLst>
            <a:ext uri="{FF2B5EF4-FFF2-40B4-BE49-F238E27FC236}">
              <a16:creationId xmlns:a16="http://schemas.microsoft.com/office/drawing/2014/main" id="{141193E4-6FFD-46D1-96AA-7C94924CDADE}"/>
            </a:ext>
          </a:extLst>
        </xdr:cNvPr>
        <xdr:cNvSpPr/>
      </xdr:nvSpPr>
      <xdr:spPr>
        <a:xfrm>
          <a:off x="7989793" y="8748431"/>
          <a:ext cx="3691219" cy="1580030"/>
        </a:xfrm>
        <a:prstGeom prst="flowChartAlternateProcess">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a:t>3. Essential Services Inflation (3.92 → 5.71%) – Strong upward movement</a:t>
          </a:r>
          <a:br>
            <a:rPr lang="en-IN"/>
          </a:br>
          <a:r>
            <a:rPr lang="en-IN"/>
            <a:t>Reasons:</a:t>
          </a:r>
          <a:r>
            <a:rPr lang="en-IN" baseline="0"/>
            <a:t> </a:t>
          </a:r>
          <a:r>
            <a:rPr lang="en-IN"/>
            <a:t>Essential services recorded higher inflation after Covid due to increased operational costs, heightened demand for utilities and home services during lockdowns, and disruptions in supply that pushed up delivery and service fees.</a:t>
          </a:r>
          <a:endParaRPr lang="en-IN" sz="1100"/>
        </a:p>
      </xdr:txBody>
    </xdr:sp>
    <xdr:clientData/>
  </xdr:twoCellAnchor>
  <xdr:twoCellAnchor>
    <xdr:from>
      <xdr:col>5</xdr:col>
      <xdr:colOff>95249</xdr:colOff>
      <xdr:row>35</xdr:row>
      <xdr:rowOff>40822</xdr:rowOff>
    </xdr:from>
    <xdr:to>
      <xdr:col>6</xdr:col>
      <xdr:colOff>530678</xdr:colOff>
      <xdr:row>38</xdr:row>
      <xdr:rowOff>40822</xdr:rowOff>
    </xdr:to>
    <xdr:sp macro="" textlink="">
      <xdr:nvSpPr>
        <xdr:cNvPr id="7" name="Arrow: Left-Right 6">
          <a:extLst>
            <a:ext uri="{FF2B5EF4-FFF2-40B4-BE49-F238E27FC236}">
              <a16:creationId xmlns:a16="http://schemas.microsoft.com/office/drawing/2014/main" id="{5EDEC14B-B088-D516-4D89-FDCE501EA17C}"/>
            </a:ext>
          </a:extLst>
        </xdr:cNvPr>
        <xdr:cNvSpPr/>
      </xdr:nvSpPr>
      <xdr:spPr>
        <a:xfrm>
          <a:off x="5333999" y="6926036"/>
          <a:ext cx="1047750" cy="571500"/>
        </a:xfrm>
        <a:prstGeom prst="leftRightArrow">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171450</xdr:colOff>
      <xdr:row>7</xdr:row>
      <xdr:rowOff>123825</xdr:rowOff>
    </xdr:from>
    <xdr:to>
      <xdr:col>24</xdr:col>
      <xdr:colOff>342900</xdr:colOff>
      <xdr:row>24</xdr:row>
      <xdr:rowOff>56028</xdr:rowOff>
    </xdr:to>
    <xdr:sp macro="" textlink="">
      <xdr:nvSpPr>
        <xdr:cNvPr id="2" name="Callout: Up Arrow 1">
          <a:extLst>
            <a:ext uri="{FF2B5EF4-FFF2-40B4-BE49-F238E27FC236}">
              <a16:creationId xmlns:a16="http://schemas.microsoft.com/office/drawing/2014/main" id="{D11D3EE8-C3CE-46C6-99FA-A2A2B423B47C}"/>
            </a:ext>
          </a:extLst>
        </xdr:cNvPr>
        <xdr:cNvSpPr/>
      </xdr:nvSpPr>
      <xdr:spPr>
        <a:xfrm>
          <a:off x="11753850" y="1457325"/>
          <a:ext cx="3267075" cy="3170703"/>
        </a:xfrm>
        <a:prstGeom prst="upArrowCallou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300"/>
            <a:t>1. Transport &amp; Communication shows the strongest correlation with crude oil prices (0.67), indicating that global fuel price fluctuations directly influence transportation costs in India. </a:t>
          </a:r>
          <a:br>
            <a:rPr lang="en-IN" sz="1300"/>
          </a:br>
          <a:r>
            <a:rPr lang="en-IN" sz="1300"/>
            <a:t>2. Recreation &amp; Amusement (0.59)</a:t>
          </a:r>
          <a:br>
            <a:rPr lang="en-IN" sz="1300"/>
          </a:br>
          <a:r>
            <a:rPr lang="en-IN" sz="1300"/>
            <a:t>3.</a:t>
          </a:r>
          <a:r>
            <a:rPr lang="en-IN" sz="1300" baseline="0"/>
            <a:t> </a:t>
          </a:r>
          <a:r>
            <a:rPr lang="en-IN" sz="1300"/>
            <a:t> Food &amp; Beverages (0.58) also display strong sensitivity to crude oil due to their dependence on logistics, travel, and energy inputs.</a:t>
          </a:r>
        </a:p>
      </xdr:txBody>
    </xdr:sp>
    <xdr:clientData/>
  </xdr:twoCellAnchor>
  <xdr:twoCellAnchor>
    <xdr:from>
      <xdr:col>14</xdr:col>
      <xdr:colOff>123824</xdr:colOff>
      <xdr:row>0</xdr:row>
      <xdr:rowOff>171450</xdr:rowOff>
    </xdr:from>
    <xdr:to>
      <xdr:col>15</xdr:col>
      <xdr:colOff>323849</xdr:colOff>
      <xdr:row>4</xdr:row>
      <xdr:rowOff>76200</xdr:rowOff>
    </xdr:to>
    <xdr:sp macro="" textlink="">
      <xdr:nvSpPr>
        <xdr:cNvPr id="3" name="Speech Bubble: Rectangle with Corners Rounded 2">
          <a:extLst>
            <a:ext uri="{FF2B5EF4-FFF2-40B4-BE49-F238E27FC236}">
              <a16:creationId xmlns:a16="http://schemas.microsoft.com/office/drawing/2014/main" id="{C2315172-B7B7-4DC5-A85E-42201E75190D}"/>
            </a:ext>
          </a:extLst>
        </xdr:cNvPr>
        <xdr:cNvSpPr/>
      </xdr:nvSpPr>
      <xdr:spPr>
        <a:xfrm>
          <a:off x="8658224" y="171450"/>
          <a:ext cx="809625" cy="666750"/>
        </a:xfrm>
        <a:prstGeom prst="wedgeRoundRectCallou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b="1"/>
            <a:t>Crude oil Data</a:t>
          </a:r>
        </a:p>
      </xdr:txBody>
    </xdr:sp>
    <xdr:clientData/>
  </xdr:twoCellAnchor>
  <xdr:twoCellAnchor>
    <xdr:from>
      <xdr:col>1</xdr:col>
      <xdr:colOff>190499</xdr:colOff>
      <xdr:row>0</xdr:row>
      <xdr:rowOff>119743</xdr:rowOff>
    </xdr:from>
    <xdr:to>
      <xdr:col>12</xdr:col>
      <xdr:colOff>542924</xdr:colOff>
      <xdr:row>3</xdr:row>
      <xdr:rowOff>160891</xdr:rowOff>
    </xdr:to>
    <xdr:sp macro="" textlink="">
      <xdr:nvSpPr>
        <xdr:cNvPr id="4" name="Speech Bubble: Rectangle with Corners Rounded 3">
          <a:extLst>
            <a:ext uri="{FF2B5EF4-FFF2-40B4-BE49-F238E27FC236}">
              <a16:creationId xmlns:a16="http://schemas.microsoft.com/office/drawing/2014/main" id="{89625184-0805-437A-9BAF-5507614AD89B}"/>
            </a:ext>
          </a:extLst>
        </xdr:cNvPr>
        <xdr:cNvSpPr/>
      </xdr:nvSpPr>
      <xdr:spPr>
        <a:xfrm>
          <a:off x="800099" y="119743"/>
          <a:ext cx="7058025" cy="612648"/>
        </a:xfrm>
        <a:prstGeom prst="wedgeRoundRectCallou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1500" b="1"/>
            <a:t>Index Data</a:t>
          </a:r>
        </a:p>
      </xdr:txBody>
    </xdr:sp>
    <xdr:clientData/>
  </xdr:twoCellAnchor>
  <xdr:twoCellAnchor>
    <xdr:from>
      <xdr:col>19</xdr:col>
      <xdr:colOff>466725</xdr:colOff>
      <xdr:row>0</xdr:row>
      <xdr:rowOff>171450</xdr:rowOff>
    </xdr:from>
    <xdr:to>
      <xdr:col>25</xdr:col>
      <xdr:colOff>228600</xdr:colOff>
      <xdr:row>4</xdr:row>
      <xdr:rowOff>22098</xdr:rowOff>
    </xdr:to>
    <xdr:sp macro="" textlink="">
      <xdr:nvSpPr>
        <xdr:cNvPr id="5" name="Speech Bubble: Rectangle with Corners Rounded 4">
          <a:extLst>
            <a:ext uri="{FF2B5EF4-FFF2-40B4-BE49-F238E27FC236}">
              <a16:creationId xmlns:a16="http://schemas.microsoft.com/office/drawing/2014/main" id="{9D861CFD-7F5D-4B45-A079-62B6F890AE31}"/>
            </a:ext>
          </a:extLst>
        </xdr:cNvPr>
        <xdr:cNvSpPr/>
      </xdr:nvSpPr>
      <xdr:spPr>
        <a:xfrm>
          <a:off x="12049125" y="171450"/>
          <a:ext cx="3467100" cy="612648"/>
        </a:xfrm>
        <a:prstGeom prst="wedgeRoundRectCallou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100" b="1"/>
            <a:t>Correlation between</a:t>
          </a:r>
          <a:r>
            <a:rPr lang="en-IN" sz="1100" b="1" baseline="0"/>
            <a:t> various broader categories vs Crude oil</a:t>
          </a:r>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3.734674768515" createdVersion="8" refreshedVersion="8" minRefreshableVersion="3" recordCount="2232" xr:uid="{8FE73B08-AFA7-474C-8338-6E08DD279A95}">
  <cacheSource type="worksheet">
    <worksheetSource name="Table7__2"/>
  </cacheSource>
  <cacheFields count="5">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Attribute" numFmtId="0">
      <sharedItems count="6">
        <s v="Food &amp; Beverages"/>
        <s v="Pan, Tobacco &amp; Intoxicants"/>
        <s v="Clothing &amp; Footwear"/>
        <s v="Housing"/>
        <s v="Fuel &amp; Light"/>
        <s v="Miscellaneous"/>
      </sharedItems>
    </cacheField>
    <cacheField name="Value" numFmtId="0">
      <sharedItems containsSemiMixedTypes="0" containsString="0" containsNumber="1" minValue="0" maxValue="2335.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3.748836689818" createdVersion="8" refreshedVersion="8" minRefreshableVersion="3" recordCount="372" xr:uid="{B7DF809C-167D-44D5-B783-3E53E79F6297}">
  <cacheSource type="worksheet">
    <worksheetSource ref="A1:J373" sheet="Clean data"/>
  </cacheSource>
  <cacheFields count="10">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Food &amp; Beverages" numFmtId="0">
      <sharedItems containsSemiMixedTypes="0" containsString="0" containsNumber="1" minValue="1371.6999999999998" maxValue="2335.1"/>
    </cacheField>
    <cacheField name="Pan, Tobacco &amp; Intoxicants" numFmtId="0">
      <sharedItems containsSemiMixedTypes="0" containsString="0" containsNumber="1" minValue="105.1" maxValue="204.2"/>
    </cacheField>
    <cacheField name="Clothing &amp; Footwear" numFmtId="0">
      <sharedItems containsSemiMixedTypes="0" containsString="0" containsNumber="1" minValue="316.7" maxValue="569.90000000000009"/>
    </cacheField>
    <cacheField name="Housing" numFmtId="0">
      <sharedItems containsSemiMixedTypes="0" containsString="0" containsNumber="1" minValue="0" maxValue="175.6"/>
    </cacheField>
    <cacheField name="Fuel &amp; Light" numFmtId="0">
      <sharedItems containsSemiMixedTypes="0" containsString="0" containsNumber="1" minValue="105.4" maxValue="183.4"/>
    </cacheField>
    <cacheField name="Miscellaneous" numFmtId="0">
      <sharedItems containsSemiMixedTypes="0" containsString="0" containsNumber="1" minValue="726.5" maxValue="1255.8"/>
    </cacheField>
    <cacheField name="General index" numFmtId="0">
      <sharedItems containsSemiMixedTypes="0" containsString="0" containsNumber="1" minValue="104" maxValue="179.8" count="285">
        <n v="105.1"/>
        <n v="104"/>
        <n v="104.6"/>
        <n v="105.8"/>
        <n v="104.7"/>
        <n v="105.3"/>
        <n v="106"/>
        <n v="105"/>
        <n v="105.5"/>
        <n v="106.4"/>
        <n v="105.7"/>
        <n v="106.1"/>
        <n v="107.2"/>
        <n v="106.6"/>
        <n v="106.9"/>
        <n v="108.9"/>
        <n v="109.7"/>
        <n v="109.3"/>
        <n v="110.7"/>
        <n v="111.4"/>
        <n v="111"/>
        <n v="112.1"/>
        <n v="112.7"/>
        <n v="112.4"/>
        <n v="114.2"/>
        <n v="113.2"/>
        <n v="113.7"/>
        <n v="115.5"/>
        <n v="114"/>
        <n v="114.8"/>
        <n v="117.4"/>
        <n v="115"/>
        <n v="116.3"/>
        <n v="113.3"/>
        <n v="114.5"/>
        <n v="112.9"/>
        <n v="113.6"/>
        <n v="113.1"/>
        <n v="114.6"/>
        <n v="115.4"/>
        <n v="114.7"/>
        <n v="115.1"/>
        <n v="116"/>
        <n v="115.6"/>
        <n v="115.8"/>
        <n v="117"/>
        <n v="116.4"/>
        <n v="116.7"/>
        <n v="119.5"/>
        <n v="118.9"/>
        <n v="119.2"/>
        <n v="120.7"/>
        <n v="119.9"/>
        <n v="120.3"/>
        <n v="120.9"/>
        <n v="120.1"/>
        <n v="121"/>
        <n v="119.1"/>
        <n v="121.1"/>
        <n v="119"/>
        <n v="118.4"/>
        <n v="119.4"/>
        <n v="118.5"/>
        <n v="120.6"/>
        <n v="118.7"/>
        <n v="119.7"/>
        <n v="120.2"/>
        <n v="121.5"/>
        <n v="122.4"/>
        <n v="121.6"/>
        <n v="124.1"/>
        <n v="121.7"/>
        <n v="123"/>
        <n v="124.7"/>
        <n v="123.6"/>
        <n v="126.1"/>
        <n v="123.2"/>
        <n v="124.8"/>
        <n v="127"/>
        <n v="123.5"/>
        <n v="125.4"/>
        <n v="127.7"/>
        <n v="124.2"/>
        <n v="128.30000000000001"/>
        <n v="124.6"/>
        <n v="126.6"/>
        <n v="127.9"/>
        <n v="124"/>
        <n v="128.1"/>
        <n v="126.3"/>
        <n v="123.8"/>
        <n v="126"/>
        <n v="128"/>
        <n v="129"/>
        <n v="125.3"/>
        <n v="127.3"/>
        <n v="130.30000000000001"/>
        <n v="128.6"/>
        <n v="131.9"/>
        <n v="130.1"/>
        <n v="133"/>
        <n v="131.1"/>
        <n v="133.5"/>
        <n v="128.4"/>
        <n v="133.4"/>
        <n v="130.9"/>
        <n v="133.80000000000001"/>
        <n v="131.4"/>
        <n v="133.6"/>
        <n v="128.5"/>
        <n v="131.19999999999999"/>
        <n v="132.80000000000001"/>
        <n v="127.6"/>
        <n v="130.4"/>
        <n v="132.4"/>
        <n v="127.8"/>
        <n v="132.6"/>
        <n v="128.19999999999999"/>
        <n v="130.6"/>
        <n v="128.69999999999999"/>
        <n v="132.9"/>
        <n v="129.1"/>
        <n v="133.30000000000001"/>
        <n v="129.30000000000001"/>
        <n v="133.9"/>
        <n v="129.9"/>
        <n v="132"/>
        <n v="136.19999999999999"/>
        <n v="131.80000000000001"/>
        <n v="134.19999999999999"/>
        <n v="137.80000000000001"/>
        <n v="132.69999999999999"/>
        <n v="135.4"/>
        <n v="137.6"/>
        <n v="135.19999999999999"/>
        <n v="138.30000000000001"/>
        <n v="136.1"/>
        <n v="140"/>
        <n v="134.80000000000001"/>
        <n v="139.80000000000001"/>
        <n v="134.1"/>
        <n v="137.19999999999999"/>
        <n v="139.30000000000001"/>
        <n v="136.9"/>
        <n v="138.5"/>
        <n v="134"/>
        <n v="136.4"/>
        <n v="138.69999999999999"/>
        <n v="136.5"/>
        <n v="139.1"/>
        <n v="137.1"/>
        <n v="140.5"/>
        <n v="141.80000000000001"/>
        <n v="137.5"/>
        <n v="142.5"/>
        <n v="138"/>
        <n v="140.4"/>
        <n v="142.1"/>
        <n v="138.1"/>
        <n v="140.19999999999999"/>
        <n v="142.19999999999999"/>
        <n v="138.9"/>
        <n v="140.80000000000001"/>
        <n v="142.4"/>
        <n v="139"/>
        <n v="141.9"/>
        <n v="140.1"/>
        <n v="141"/>
        <n v="139.6"/>
        <n v="138.6"/>
        <n v="139.9"/>
        <n v="141.19999999999999"/>
        <n v="139.5"/>
        <n v="141.5"/>
        <n v="142"/>
        <n v="143.6"/>
        <n v="142.9"/>
        <n v="144.9"/>
        <n v="143.30000000000001"/>
        <n v="144.19999999999999"/>
        <n v="145.69999999999999"/>
        <n v="145"/>
        <n v="146.69999999999999"/>
        <n v="144.69999999999999"/>
        <n v="145.80000000000001"/>
        <n v="148.30000000000001"/>
        <n v="146"/>
        <n v="147.19999999999999"/>
        <n v="149.9"/>
        <n v="147"/>
        <n v="148.6"/>
        <n v="152.30000000000001"/>
        <n v="150.4"/>
        <n v="151.9"/>
        <n v="148.19999999999999"/>
        <n v="150.19999999999999"/>
        <n v="147.69999999999999"/>
        <n v="149.1"/>
        <n v="149.80000000000001"/>
        <n v="147.30000000000001"/>
        <n v="152.69999999999999"/>
        <n v="151.80000000000001"/>
        <n v="152"/>
        <n v="150.80000000000001"/>
        <n v="154.69999999999999"/>
        <n v="152.9"/>
        <n v="153.9"/>
        <n v="155.4"/>
        <n v="154"/>
        <n v="157.5"/>
        <n v="155.19999999999999"/>
        <n v="156.4"/>
        <n v="159.80000000000001"/>
        <n v="156.69999999999999"/>
        <n v="158.4"/>
        <n v="160.69999999999999"/>
        <n v="156.9"/>
        <n v="158.9"/>
        <n v="158.5"/>
        <n v="156"/>
        <n v="157.30000000000001"/>
        <n v="156.5"/>
        <n v="156.6"/>
        <n v="156.80000000000001"/>
        <n v="157.6"/>
        <n v="158"/>
        <n v="157.80000000000001"/>
        <n v="161.1"/>
        <n v="159.5"/>
        <n v="160.4"/>
        <n v="162.1"/>
        <n v="161.30000000000001"/>
        <n v="163.19999999999999"/>
        <n v="161.80000000000001"/>
        <n v="162.5"/>
        <n v="163.6"/>
        <n v="162.30000000000001"/>
        <n v="164"/>
        <n v="166.3"/>
        <n v="164.6"/>
        <n v="165.5"/>
        <n v="167.6"/>
        <n v="165.6"/>
        <n v="166.7"/>
        <n v="167"/>
        <n v="165.2"/>
        <n v="166.2"/>
        <n v="166.4"/>
        <n v="165"/>
        <n v="165.7"/>
        <n v="166.1"/>
        <n v="168.7"/>
        <n v="166.5"/>
        <n v="167.7"/>
        <n v="170.8"/>
        <n v="169.2"/>
        <n v="170.1"/>
        <n v="172.5"/>
        <n v="171.7"/>
        <n v="173.6"/>
        <n v="171.4"/>
        <n v="172.6"/>
        <n v="174.3"/>
        <n v="172.3"/>
        <n v="173.4"/>
        <n v="175.3"/>
        <n v="173.1"/>
        <n v="176.4"/>
        <n v="174.1"/>
        <n v="177.9"/>
        <n v="176.7"/>
        <n v="177.8"/>
        <n v="176.5"/>
        <n v="177.1"/>
        <n v="175.7"/>
        <n v="174.9"/>
        <n v="178"/>
        <n v="176.3"/>
        <n v="177.2"/>
        <n v="178.8"/>
        <n v="177.4"/>
        <n v="178.1"/>
        <n v="179.8"/>
        <n v="178.2"/>
        <n v="179.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2">
  <r>
    <x v="0"/>
    <x v="0"/>
    <x v="0"/>
    <x v="0"/>
    <n v="1371.6999999999998"/>
  </r>
  <r>
    <x v="0"/>
    <x v="0"/>
    <x v="0"/>
    <x v="1"/>
    <n v="105.1"/>
  </r>
  <r>
    <x v="0"/>
    <x v="0"/>
    <x v="0"/>
    <x v="2"/>
    <n v="318.70000000000005"/>
  </r>
  <r>
    <x v="0"/>
    <x v="0"/>
    <x v="0"/>
    <x v="3"/>
    <n v="100.4"/>
  </r>
  <r>
    <x v="0"/>
    <x v="0"/>
    <x v="0"/>
    <x v="4"/>
    <n v="105.5"/>
  </r>
  <r>
    <x v="0"/>
    <x v="0"/>
    <x v="0"/>
    <x v="5"/>
    <n v="728"/>
  </r>
  <r>
    <x v="1"/>
    <x v="0"/>
    <x v="0"/>
    <x v="0"/>
    <n v="1376.4"/>
  </r>
  <r>
    <x v="1"/>
    <x v="0"/>
    <x v="0"/>
    <x v="1"/>
    <n v="105.2"/>
  </r>
  <r>
    <x v="1"/>
    <x v="0"/>
    <x v="0"/>
    <x v="2"/>
    <n v="316.7"/>
  </r>
  <r>
    <x v="1"/>
    <x v="0"/>
    <x v="0"/>
    <x v="3"/>
    <n v="100.3"/>
  </r>
  <r>
    <x v="1"/>
    <x v="0"/>
    <x v="0"/>
    <x v="4"/>
    <n v="105.4"/>
  </r>
  <r>
    <x v="1"/>
    <x v="0"/>
    <x v="0"/>
    <x v="5"/>
    <n v="726.5"/>
  </r>
  <r>
    <x v="2"/>
    <x v="0"/>
    <x v="0"/>
    <x v="0"/>
    <n v="1373.3000000000002"/>
  </r>
  <r>
    <x v="2"/>
    <x v="0"/>
    <x v="0"/>
    <x v="1"/>
    <n v="105.1"/>
  </r>
  <r>
    <x v="2"/>
    <x v="0"/>
    <x v="0"/>
    <x v="2"/>
    <n v="318"/>
  </r>
  <r>
    <x v="2"/>
    <x v="0"/>
    <x v="0"/>
    <x v="3"/>
    <n v="100.3"/>
  </r>
  <r>
    <x v="2"/>
    <x v="0"/>
    <x v="0"/>
    <x v="4"/>
    <n v="105.5"/>
  </r>
  <r>
    <x v="2"/>
    <x v="0"/>
    <x v="0"/>
    <x v="5"/>
    <n v="727.1"/>
  </r>
  <r>
    <x v="0"/>
    <x v="0"/>
    <x v="1"/>
    <x v="0"/>
    <n v="1380.3999999999999"/>
  </r>
  <r>
    <x v="0"/>
    <x v="0"/>
    <x v="1"/>
    <x v="1"/>
    <n v="105.6"/>
  </r>
  <r>
    <x v="0"/>
    <x v="0"/>
    <x v="1"/>
    <x v="2"/>
    <n v="320.39999999999998"/>
  </r>
  <r>
    <x v="0"/>
    <x v="0"/>
    <x v="1"/>
    <x v="3"/>
    <n v="100.4"/>
  </r>
  <r>
    <x v="0"/>
    <x v="0"/>
    <x v="1"/>
    <x v="4"/>
    <n v="106.2"/>
  </r>
  <r>
    <x v="0"/>
    <x v="0"/>
    <x v="1"/>
    <x v="5"/>
    <n v="730.6"/>
  </r>
  <r>
    <x v="1"/>
    <x v="0"/>
    <x v="1"/>
    <x v="0"/>
    <n v="1390.6000000000001"/>
  </r>
  <r>
    <x v="1"/>
    <x v="0"/>
    <x v="1"/>
    <x v="1"/>
    <n v="106"/>
  </r>
  <r>
    <x v="1"/>
    <x v="0"/>
    <x v="1"/>
    <x v="2"/>
    <n v="318.5"/>
  </r>
  <r>
    <x v="1"/>
    <x v="0"/>
    <x v="1"/>
    <x v="3"/>
    <n v="100.4"/>
  </r>
  <r>
    <x v="1"/>
    <x v="0"/>
    <x v="1"/>
    <x v="4"/>
    <n v="105.7"/>
  </r>
  <r>
    <x v="1"/>
    <x v="0"/>
    <x v="1"/>
    <x v="5"/>
    <n v="729.9"/>
  </r>
  <r>
    <x v="2"/>
    <x v="0"/>
    <x v="1"/>
    <x v="0"/>
    <n v="1384.2"/>
  </r>
  <r>
    <x v="2"/>
    <x v="0"/>
    <x v="1"/>
    <x v="1"/>
    <n v="105.7"/>
  </r>
  <r>
    <x v="2"/>
    <x v="0"/>
    <x v="1"/>
    <x v="2"/>
    <n v="319.7"/>
  </r>
  <r>
    <x v="2"/>
    <x v="0"/>
    <x v="1"/>
    <x v="3"/>
    <n v="100.4"/>
  </r>
  <r>
    <x v="2"/>
    <x v="0"/>
    <x v="1"/>
    <x v="4"/>
    <n v="106"/>
  </r>
  <r>
    <x v="2"/>
    <x v="0"/>
    <x v="1"/>
    <x v="5"/>
    <n v="730.3"/>
  </r>
  <r>
    <x v="0"/>
    <x v="0"/>
    <x v="2"/>
    <x v="0"/>
    <n v="1382.2"/>
  </r>
  <r>
    <x v="0"/>
    <x v="0"/>
    <x v="2"/>
    <x v="1"/>
    <n v="106.5"/>
  </r>
  <r>
    <x v="0"/>
    <x v="0"/>
    <x v="2"/>
    <x v="2"/>
    <n v="321.89999999999998"/>
  </r>
  <r>
    <x v="0"/>
    <x v="0"/>
    <x v="2"/>
    <x v="3"/>
    <n v="100.5"/>
  </r>
  <r>
    <x v="0"/>
    <x v="0"/>
    <x v="2"/>
    <x v="4"/>
    <n v="106.1"/>
  </r>
  <r>
    <x v="0"/>
    <x v="0"/>
    <x v="2"/>
    <x v="5"/>
    <n v="732.09999999999991"/>
  </r>
  <r>
    <x v="1"/>
    <x v="0"/>
    <x v="2"/>
    <x v="0"/>
    <n v="1386.8"/>
  </r>
  <r>
    <x v="1"/>
    <x v="0"/>
    <x v="2"/>
    <x v="1"/>
    <n v="106.8"/>
  </r>
  <r>
    <x v="1"/>
    <x v="0"/>
    <x v="2"/>
    <x v="2"/>
    <n v="320.2"/>
  </r>
  <r>
    <x v="1"/>
    <x v="0"/>
    <x v="2"/>
    <x v="3"/>
    <n v="100.4"/>
  </r>
  <r>
    <x v="1"/>
    <x v="0"/>
    <x v="2"/>
    <x v="4"/>
    <n v="106"/>
  </r>
  <r>
    <x v="1"/>
    <x v="0"/>
    <x v="2"/>
    <x v="5"/>
    <n v="732.8"/>
  </r>
  <r>
    <x v="2"/>
    <x v="0"/>
    <x v="2"/>
    <x v="0"/>
    <n v="1384.0000000000002"/>
  </r>
  <r>
    <x v="2"/>
    <x v="0"/>
    <x v="2"/>
    <x v="1"/>
    <n v="106.6"/>
  </r>
  <r>
    <x v="2"/>
    <x v="0"/>
    <x v="2"/>
    <x v="2"/>
    <n v="321.2"/>
  </r>
  <r>
    <x v="2"/>
    <x v="0"/>
    <x v="2"/>
    <x v="3"/>
    <n v="100.4"/>
  </r>
  <r>
    <x v="2"/>
    <x v="0"/>
    <x v="2"/>
    <x v="4"/>
    <n v="106.1"/>
  </r>
  <r>
    <x v="2"/>
    <x v="0"/>
    <x v="2"/>
    <x v="5"/>
    <n v="732.3"/>
  </r>
  <r>
    <x v="0"/>
    <x v="0"/>
    <x v="3"/>
    <x v="0"/>
    <n v="1385.8"/>
  </r>
  <r>
    <x v="0"/>
    <x v="0"/>
    <x v="3"/>
    <x v="1"/>
    <n v="107.1"/>
  </r>
  <r>
    <x v="0"/>
    <x v="0"/>
    <x v="3"/>
    <x v="2"/>
    <n v="323.5"/>
  </r>
  <r>
    <x v="0"/>
    <x v="0"/>
    <x v="3"/>
    <x v="3"/>
    <n v="100.5"/>
  </r>
  <r>
    <x v="0"/>
    <x v="0"/>
    <x v="3"/>
    <x v="4"/>
    <n v="106.5"/>
  </r>
  <r>
    <x v="0"/>
    <x v="0"/>
    <x v="3"/>
    <x v="5"/>
    <n v="732.2"/>
  </r>
  <r>
    <x v="1"/>
    <x v="0"/>
    <x v="3"/>
    <x v="0"/>
    <n v="1397.6999999999998"/>
  </r>
  <r>
    <x v="1"/>
    <x v="0"/>
    <x v="3"/>
    <x v="1"/>
    <n v="108.5"/>
  </r>
  <r>
    <x v="1"/>
    <x v="0"/>
    <x v="3"/>
    <x v="2"/>
    <n v="322"/>
  </r>
  <r>
    <x v="1"/>
    <x v="0"/>
    <x v="3"/>
    <x v="3"/>
    <n v="100.5"/>
  </r>
  <r>
    <x v="1"/>
    <x v="0"/>
    <x v="3"/>
    <x v="4"/>
    <n v="106.4"/>
  </r>
  <r>
    <x v="1"/>
    <x v="0"/>
    <x v="3"/>
    <x v="5"/>
    <n v="734.7"/>
  </r>
  <r>
    <x v="2"/>
    <x v="0"/>
    <x v="3"/>
    <x v="0"/>
    <n v="1390.2"/>
  </r>
  <r>
    <x v="2"/>
    <x v="0"/>
    <x v="3"/>
    <x v="1"/>
    <n v="107.5"/>
  </r>
  <r>
    <x v="2"/>
    <x v="0"/>
    <x v="3"/>
    <x v="2"/>
    <n v="322.89999999999998"/>
  </r>
  <r>
    <x v="2"/>
    <x v="0"/>
    <x v="3"/>
    <x v="3"/>
    <n v="100.5"/>
  </r>
  <r>
    <x v="2"/>
    <x v="0"/>
    <x v="3"/>
    <x v="4"/>
    <n v="106.5"/>
  </r>
  <r>
    <x v="2"/>
    <x v="0"/>
    <x v="3"/>
    <x v="5"/>
    <n v="733.19999999999993"/>
  </r>
  <r>
    <x v="0"/>
    <x v="0"/>
    <x v="4"/>
    <x v="0"/>
    <n v="1394"/>
  </r>
  <r>
    <x v="0"/>
    <x v="0"/>
    <x v="4"/>
    <x v="1"/>
    <n v="108.1"/>
  </r>
  <r>
    <x v="0"/>
    <x v="0"/>
    <x v="4"/>
    <x v="2"/>
    <n v="325.29999999999995"/>
  </r>
  <r>
    <x v="0"/>
    <x v="0"/>
    <x v="4"/>
    <x v="3"/>
    <n v="103.6"/>
  </r>
  <r>
    <x v="0"/>
    <x v="0"/>
    <x v="4"/>
    <x v="4"/>
    <n v="107.5"/>
  </r>
  <r>
    <x v="0"/>
    <x v="0"/>
    <x v="4"/>
    <x v="5"/>
    <n v="734"/>
  </r>
  <r>
    <x v="1"/>
    <x v="0"/>
    <x v="4"/>
    <x v="0"/>
    <n v="1417.1999999999998"/>
  </r>
  <r>
    <x v="1"/>
    <x v="0"/>
    <x v="4"/>
    <x v="1"/>
    <n v="109.8"/>
  </r>
  <r>
    <x v="1"/>
    <x v="0"/>
    <x v="4"/>
    <x v="2"/>
    <n v="323.5"/>
  </r>
  <r>
    <x v="1"/>
    <x v="0"/>
    <x v="4"/>
    <x v="3"/>
    <n v="100.5"/>
  </r>
  <r>
    <x v="1"/>
    <x v="0"/>
    <x v="4"/>
    <x v="4"/>
    <n v="107.2"/>
  </r>
  <r>
    <x v="1"/>
    <x v="0"/>
    <x v="4"/>
    <x v="5"/>
    <n v="735.00000000000011"/>
  </r>
  <r>
    <x v="2"/>
    <x v="0"/>
    <x v="4"/>
    <x v="0"/>
    <n v="1402.1999999999998"/>
  </r>
  <r>
    <x v="2"/>
    <x v="0"/>
    <x v="4"/>
    <x v="1"/>
    <n v="108.6"/>
  </r>
  <r>
    <x v="2"/>
    <x v="0"/>
    <x v="4"/>
    <x v="2"/>
    <n v="324.60000000000002"/>
  </r>
  <r>
    <x v="2"/>
    <x v="0"/>
    <x v="4"/>
    <x v="3"/>
    <n v="100.5"/>
  </r>
  <r>
    <x v="2"/>
    <x v="0"/>
    <x v="4"/>
    <x v="4"/>
    <n v="107.4"/>
  </r>
  <r>
    <x v="2"/>
    <x v="0"/>
    <x v="4"/>
    <x v="5"/>
    <n v="734.3"/>
  </r>
  <r>
    <x v="0"/>
    <x v="0"/>
    <x v="5"/>
    <x v="0"/>
    <n v="1420"/>
  </r>
  <r>
    <x v="0"/>
    <x v="0"/>
    <x v="5"/>
    <x v="1"/>
    <n v="109"/>
  </r>
  <r>
    <x v="0"/>
    <x v="0"/>
    <x v="5"/>
    <x v="2"/>
    <n v="328"/>
  </r>
  <r>
    <x v="0"/>
    <x v="0"/>
    <x v="5"/>
    <x v="3"/>
    <n v="107.2"/>
  </r>
  <r>
    <x v="0"/>
    <x v="0"/>
    <x v="5"/>
    <x v="4"/>
    <n v="108.5"/>
  </r>
  <r>
    <x v="0"/>
    <x v="0"/>
    <x v="5"/>
    <x v="5"/>
    <n v="738.9"/>
  </r>
  <r>
    <x v="1"/>
    <x v="0"/>
    <x v="5"/>
    <x v="0"/>
    <n v="1464.6000000000001"/>
  </r>
  <r>
    <x v="1"/>
    <x v="0"/>
    <x v="5"/>
    <x v="1"/>
    <n v="110.9"/>
  </r>
  <r>
    <x v="1"/>
    <x v="0"/>
    <x v="5"/>
    <x v="2"/>
    <n v="325.3"/>
  </r>
  <r>
    <x v="1"/>
    <x v="0"/>
    <x v="5"/>
    <x v="3"/>
    <n v="106.6"/>
  </r>
  <r>
    <x v="1"/>
    <x v="0"/>
    <x v="5"/>
    <x v="4"/>
    <n v="108"/>
  </r>
  <r>
    <x v="1"/>
    <x v="0"/>
    <x v="5"/>
    <x v="5"/>
    <n v="742.09999999999991"/>
  </r>
  <r>
    <x v="2"/>
    <x v="0"/>
    <x v="5"/>
    <x v="0"/>
    <n v="1436"/>
  </r>
  <r>
    <x v="2"/>
    <x v="0"/>
    <x v="5"/>
    <x v="1"/>
    <n v="109.5"/>
  </r>
  <r>
    <x v="2"/>
    <x v="0"/>
    <x v="5"/>
    <x v="2"/>
    <n v="326.89999999999998"/>
  </r>
  <r>
    <x v="2"/>
    <x v="0"/>
    <x v="5"/>
    <x v="3"/>
    <n v="106.6"/>
  </r>
  <r>
    <x v="2"/>
    <x v="0"/>
    <x v="5"/>
    <x v="4"/>
    <n v="108.3"/>
  </r>
  <r>
    <x v="2"/>
    <x v="0"/>
    <x v="5"/>
    <x v="5"/>
    <n v="740.49999999999989"/>
  </r>
  <r>
    <x v="0"/>
    <x v="0"/>
    <x v="6"/>
    <x v="0"/>
    <n v="1445.8999999999996"/>
  </r>
  <r>
    <x v="0"/>
    <x v="0"/>
    <x v="6"/>
    <x v="1"/>
    <n v="109.8"/>
  </r>
  <r>
    <x v="0"/>
    <x v="0"/>
    <x v="6"/>
    <x v="2"/>
    <n v="330.3"/>
  </r>
  <r>
    <x v="0"/>
    <x v="0"/>
    <x v="6"/>
    <x v="3"/>
    <n v="108.3"/>
  </r>
  <r>
    <x v="0"/>
    <x v="0"/>
    <x v="6"/>
    <x v="4"/>
    <n v="109.5"/>
  </r>
  <r>
    <x v="0"/>
    <x v="0"/>
    <x v="6"/>
    <x v="5"/>
    <n v="745.19999999999993"/>
  </r>
  <r>
    <x v="1"/>
    <x v="0"/>
    <x v="6"/>
    <x v="0"/>
    <n v="1489.4"/>
  </r>
  <r>
    <x v="1"/>
    <x v="0"/>
    <x v="6"/>
    <x v="1"/>
    <n v="111.7"/>
  </r>
  <r>
    <x v="1"/>
    <x v="0"/>
    <x v="6"/>
    <x v="2"/>
    <n v="327.10000000000002"/>
  </r>
  <r>
    <x v="1"/>
    <x v="0"/>
    <x v="6"/>
    <x v="3"/>
    <n v="107.7"/>
  </r>
  <r>
    <x v="1"/>
    <x v="0"/>
    <x v="6"/>
    <x v="4"/>
    <n v="108.6"/>
  </r>
  <r>
    <x v="1"/>
    <x v="0"/>
    <x v="6"/>
    <x v="5"/>
    <n v="749"/>
  </r>
  <r>
    <x v="2"/>
    <x v="0"/>
    <x v="6"/>
    <x v="0"/>
    <n v="1461.3999999999999"/>
  </r>
  <r>
    <x v="2"/>
    <x v="0"/>
    <x v="6"/>
    <x v="1"/>
    <n v="110.3"/>
  </r>
  <r>
    <x v="2"/>
    <x v="0"/>
    <x v="6"/>
    <x v="2"/>
    <n v="329"/>
  </r>
  <r>
    <x v="2"/>
    <x v="0"/>
    <x v="6"/>
    <x v="3"/>
    <n v="107.7"/>
  </r>
  <r>
    <x v="2"/>
    <x v="0"/>
    <x v="6"/>
    <x v="4"/>
    <n v="109.2"/>
  </r>
  <r>
    <x v="2"/>
    <x v="0"/>
    <x v="6"/>
    <x v="5"/>
    <n v="747.19999999999993"/>
  </r>
  <r>
    <x v="0"/>
    <x v="0"/>
    <x v="7"/>
    <x v="0"/>
    <n v="1462.5"/>
  </r>
  <r>
    <x v="0"/>
    <x v="0"/>
    <x v="7"/>
    <x v="1"/>
    <n v="110.7"/>
  </r>
  <r>
    <x v="0"/>
    <x v="0"/>
    <x v="7"/>
    <x v="2"/>
    <n v="332.6"/>
  </r>
  <r>
    <x v="0"/>
    <x v="0"/>
    <x v="7"/>
    <x v="3"/>
    <n v="109.3"/>
  </r>
  <r>
    <x v="0"/>
    <x v="0"/>
    <x v="7"/>
    <x v="4"/>
    <n v="109.9"/>
  </r>
  <r>
    <x v="0"/>
    <x v="0"/>
    <x v="7"/>
    <x v="5"/>
    <n v="752"/>
  </r>
  <r>
    <x v="1"/>
    <x v="0"/>
    <x v="7"/>
    <x v="0"/>
    <n v="1506.1000000000001"/>
  </r>
  <r>
    <x v="1"/>
    <x v="0"/>
    <x v="7"/>
    <x v="1"/>
    <n v="112.4"/>
  </r>
  <r>
    <x v="1"/>
    <x v="0"/>
    <x v="7"/>
    <x v="2"/>
    <n v="329.09999999999997"/>
  </r>
  <r>
    <x v="1"/>
    <x v="0"/>
    <x v="7"/>
    <x v="3"/>
    <n v="108.9"/>
  </r>
  <r>
    <x v="1"/>
    <x v="0"/>
    <x v="7"/>
    <x v="4"/>
    <n v="109.3"/>
  </r>
  <r>
    <x v="1"/>
    <x v="0"/>
    <x v="7"/>
    <x v="5"/>
    <n v="755.99999999999989"/>
  </r>
  <r>
    <x v="2"/>
    <x v="0"/>
    <x v="7"/>
    <x v="0"/>
    <n v="1477.4"/>
  </r>
  <r>
    <x v="2"/>
    <x v="0"/>
    <x v="7"/>
    <x v="1"/>
    <n v="111.2"/>
  </r>
  <r>
    <x v="2"/>
    <x v="0"/>
    <x v="7"/>
    <x v="2"/>
    <n v="331.1"/>
  </r>
  <r>
    <x v="2"/>
    <x v="0"/>
    <x v="7"/>
    <x v="3"/>
    <n v="108.9"/>
  </r>
  <r>
    <x v="2"/>
    <x v="0"/>
    <x v="7"/>
    <x v="4"/>
    <n v="109.7"/>
  </r>
  <r>
    <x v="2"/>
    <x v="0"/>
    <x v="7"/>
    <x v="5"/>
    <n v="753.99999999999989"/>
  </r>
  <r>
    <x v="0"/>
    <x v="0"/>
    <x v="8"/>
    <x v="0"/>
    <n v="1488.5000000000002"/>
  </r>
  <r>
    <x v="0"/>
    <x v="0"/>
    <x v="8"/>
    <x v="1"/>
    <n v="111.7"/>
  </r>
  <r>
    <x v="0"/>
    <x v="0"/>
    <x v="8"/>
    <x v="2"/>
    <n v="336.6"/>
  </r>
  <r>
    <x v="0"/>
    <x v="0"/>
    <x v="8"/>
    <x v="3"/>
    <n v="110.1"/>
  </r>
  <r>
    <x v="0"/>
    <x v="0"/>
    <x v="8"/>
    <x v="4"/>
    <n v="111.1"/>
  </r>
  <r>
    <x v="0"/>
    <x v="0"/>
    <x v="8"/>
    <x v="5"/>
    <n v="760.1"/>
  </r>
  <r>
    <x v="1"/>
    <x v="0"/>
    <x v="8"/>
    <x v="0"/>
    <n v="1500.4"/>
  </r>
  <r>
    <x v="1"/>
    <x v="0"/>
    <x v="8"/>
    <x v="1"/>
    <n v="112.9"/>
  </r>
  <r>
    <x v="1"/>
    <x v="0"/>
    <x v="8"/>
    <x v="2"/>
    <n v="331.5"/>
  </r>
  <r>
    <x v="1"/>
    <x v="0"/>
    <x v="8"/>
    <x v="3"/>
    <n v="109.7"/>
  </r>
  <r>
    <x v="1"/>
    <x v="0"/>
    <x v="8"/>
    <x v="4"/>
    <n v="109.5"/>
  </r>
  <r>
    <x v="1"/>
    <x v="0"/>
    <x v="8"/>
    <x v="5"/>
    <n v="762.8"/>
  </r>
  <r>
    <x v="2"/>
    <x v="0"/>
    <x v="8"/>
    <x v="0"/>
    <n v="1491.6999999999998"/>
  </r>
  <r>
    <x v="2"/>
    <x v="0"/>
    <x v="8"/>
    <x v="1"/>
    <n v="112"/>
  </r>
  <r>
    <x v="2"/>
    <x v="0"/>
    <x v="8"/>
    <x v="2"/>
    <n v="334.5"/>
  </r>
  <r>
    <x v="2"/>
    <x v="0"/>
    <x v="8"/>
    <x v="3"/>
    <n v="109.7"/>
  </r>
  <r>
    <x v="2"/>
    <x v="0"/>
    <x v="8"/>
    <x v="4"/>
    <n v="110.5"/>
  </r>
  <r>
    <x v="2"/>
    <x v="0"/>
    <x v="8"/>
    <x v="5"/>
    <n v="761.5"/>
  </r>
  <r>
    <x v="0"/>
    <x v="0"/>
    <x v="9"/>
    <x v="0"/>
    <n v="1508"/>
  </r>
  <r>
    <x v="0"/>
    <x v="0"/>
    <x v="9"/>
    <x v="1"/>
    <n v="112.2"/>
  </r>
  <r>
    <x v="0"/>
    <x v="0"/>
    <x v="9"/>
    <x v="2"/>
    <n v="339.29999999999995"/>
  </r>
  <r>
    <x v="0"/>
    <x v="0"/>
    <x v="9"/>
    <x v="3"/>
    <n v="110.8"/>
  </r>
  <r>
    <x v="0"/>
    <x v="0"/>
    <x v="9"/>
    <x v="4"/>
    <n v="111.6"/>
  </r>
  <r>
    <x v="0"/>
    <x v="0"/>
    <x v="9"/>
    <x v="5"/>
    <n v="763.7"/>
  </r>
  <r>
    <x v="1"/>
    <x v="0"/>
    <x v="9"/>
    <x v="0"/>
    <n v="1517.1999999999998"/>
  </r>
  <r>
    <x v="1"/>
    <x v="0"/>
    <x v="9"/>
    <x v="1"/>
    <n v="113.5"/>
  </r>
  <r>
    <x v="1"/>
    <x v="0"/>
    <x v="9"/>
    <x v="2"/>
    <n v="334.2"/>
  </r>
  <r>
    <x v="1"/>
    <x v="0"/>
    <x v="9"/>
    <x v="3"/>
    <n v="110.5"/>
  </r>
  <r>
    <x v="1"/>
    <x v="0"/>
    <x v="9"/>
    <x v="4"/>
    <n v="109.7"/>
  </r>
  <r>
    <x v="1"/>
    <x v="0"/>
    <x v="9"/>
    <x v="5"/>
    <n v="764.09999999999991"/>
  </r>
  <r>
    <x v="2"/>
    <x v="0"/>
    <x v="9"/>
    <x v="0"/>
    <n v="1510.2000000000003"/>
  </r>
  <r>
    <x v="2"/>
    <x v="0"/>
    <x v="9"/>
    <x v="1"/>
    <n v="112.5"/>
  </r>
  <r>
    <x v="2"/>
    <x v="0"/>
    <x v="9"/>
    <x v="2"/>
    <n v="337.2"/>
  </r>
  <r>
    <x v="2"/>
    <x v="0"/>
    <x v="9"/>
    <x v="3"/>
    <n v="110.5"/>
  </r>
  <r>
    <x v="2"/>
    <x v="0"/>
    <x v="9"/>
    <x v="4"/>
    <n v="110.9"/>
  </r>
  <r>
    <x v="2"/>
    <x v="0"/>
    <x v="9"/>
    <x v="5"/>
    <n v="763.9"/>
  </r>
  <r>
    <x v="0"/>
    <x v="0"/>
    <x v="10"/>
    <x v="0"/>
    <n v="1536.8"/>
  </r>
  <r>
    <x v="0"/>
    <x v="0"/>
    <x v="10"/>
    <x v="1"/>
    <n v="112.8"/>
  </r>
  <r>
    <x v="0"/>
    <x v="0"/>
    <x v="10"/>
    <x v="2"/>
    <n v="342.1"/>
  </r>
  <r>
    <x v="0"/>
    <x v="0"/>
    <x v="10"/>
    <x v="3"/>
    <n v="110.9"/>
  </r>
  <r>
    <x v="0"/>
    <x v="0"/>
    <x v="10"/>
    <x v="4"/>
    <n v="112.6"/>
  </r>
  <r>
    <x v="0"/>
    <x v="0"/>
    <x v="10"/>
    <x v="5"/>
    <n v="768.3"/>
  </r>
  <r>
    <x v="1"/>
    <x v="0"/>
    <x v="11"/>
    <x v="0"/>
    <n v="1544.6"/>
  </r>
  <r>
    <x v="1"/>
    <x v="0"/>
    <x v="11"/>
    <x v="1"/>
    <n v="114.1"/>
  </r>
  <r>
    <x v="1"/>
    <x v="0"/>
    <x v="11"/>
    <x v="2"/>
    <n v="336.8"/>
  </r>
  <r>
    <x v="1"/>
    <x v="0"/>
    <x v="11"/>
    <x v="3"/>
    <n v="111.1"/>
  </r>
  <r>
    <x v="1"/>
    <x v="0"/>
    <x v="11"/>
    <x v="4"/>
    <n v="110"/>
  </r>
  <r>
    <x v="1"/>
    <x v="0"/>
    <x v="11"/>
    <x v="5"/>
    <n v="766.3"/>
  </r>
  <r>
    <x v="2"/>
    <x v="0"/>
    <x v="11"/>
    <x v="0"/>
    <n v="1538.8"/>
  </r>
  <r>
    <x v="2"/>
    <x v="0"/>
    <x v="11"/>
    <x v="1"/>
    <n v="113.1"/>
  </r>
  <r>
    <x v="2"/>
    <x v="0"/>
    <x v="11"/>
    <x v="2"/>
    <n v="339.90000000000003"/>
  </r>
  <r>
    <x v="2"/>
    <x v="0"/>
    <x v="11"/>
    <x v="3"/>
    <n v="111.1"/>
  </r>
  <r>
    <x v="2"/>
    <x v="0"/>
    <x v="11"/>
    <x v="4"/>
    <n v="111.6"/>
  </r>
  <r>
    <x v="2"/>
    <x v="0"/>
    <x v="11"/>
    <x v="5"/>
    <n v="767.50000000000011"/>
  </r>
  <r>
    <x v="0"/>
    <x v="0"/>
    <x v="12"/>
    <x v="0"/>
    <n v="1509"/>
  </r>
  <r>
    <x v="0"/>
    <x v="0"/>
    <x v="12"/>
    <x v="1"/>
    <n v="113.6"/>
  </r>
  <r>
    <x v="0"/>
    <x v="0"/>
    <x v="12"/>
    <x v="2"/>
    <n v="345.3"/>
  </r>
  <r>
    <x v="0"/>
    <x v="0"/>
    <x v="12"/>
    <x v="3"/>
    <n v="111.2"/>
  </r>
  <r>
    <x v="0"/>
    <x v="0"/>
    <x v="12"/>
    <x v="4"/>
    <n v="112.8"/>
  </r>
  <r>
    <x v="0"/>
    <x v="0"/>
    <x v="12"/>
    <x v="5"/>
    <n v="771.1"/>
  </r>
  <r>
    <x v="1"/>
    <x v="0"/>
    <x v="12"/>
    <x v="0"/>
    <n v="1504.4"/>
  </r>
  <r>
    <x v="1"/>
    <x v="0"/>
    <x v="12"/>
    <x v="1"/>
    <n v="115"/>
  </r>
  <r>
    <x v="1"/>
    <x v="0"/>
    <x v="12"/>
    <x v="2"/>
    <n v="338.8"/>
  </r>
  <r>
    <x v="1"/>
    <x v="0"/>
    <x v="12"/>
    <x v="3"/>
    <n v="110.7"/>
  </r>
  <r>
    <x v="1"/>
    <x v="0"/>
    <x v="12"/>
    <x v="4"/>
    <n v="110.4"/>
  </r>
  <r>
    <x v="1"/>
    <x v="0"/>
    <x v="12"/>
    <x v="5"/>
    <n v="767.8"/>
  </r>
  <r>
    <x v="2"/>
    <x v="0"/>
    <x v="12"/>
    <x v="0"/>
    <n v="1507.3000000000002"/>
  </r>
  <r>
    <x v="2"/>
    <x v="0"/>
    <x v="12"/>
    <x v="1"/>
    <n v="114"/>
  </r>
  <r>
    <x v="2"/>
    <x v="0"/>
    <x v="12"/>
    <x v="2"/>
    <n v="342.7"/>
  </r>
  <r>
    <x v="2"/>
    <x v="0"/>
    <x v="12"/>
    <x v="3"/>
    <n v="110.7"/>
  </r>
  <r>
    <x v="2"/>
    <x v="0"/>
    <x v="12"/>
    <x v="4"/>
    <n v="111.9"/>
  </r>
  <r>
    <x v="2"/>
    <x v="0"/>
    <x v="12"/>
    <x v="5"/>
    <n v="769.6"/>
  </r>
  <r>
    <x v="0"/>
    <x v="1"/>
    <x v="0"/>
    <x v="0"/>
    <n v="1486.6000000000001"/>
  </r>
  <r>
    <x v="0"/>
    <x v="1"/>
    <x v="0"/>
    <x v="1"/>
    <n v="114"/>
  </r>
  <r>
    <x v="0"/>
    <x v="1"/>
    <x v="0"/>
    <x v="2"/>
    <n v="347.2"/>
  </r>
  <r>
    <x v="0"/>
    <x v="1"/>
    <x v="0"/>
    <x v="3"/>
    <n v="112.1"/>
  </r>
  <r>
    <x v="0"/>
    <x v="1"/>
    <x v="0"/>
    <x v="4"/>
    <n v="113"/>
  </r>
  <r>
    <x v="0"/>
    <x v="1"/>
    <x v="0"/>
    <x v="5"/>
    <n v="773.99999999999989"/>
  </r>
  <r>
    <x v="1"/>
    <x v="1"/>
    <x v="0"/>
    <x v="0"/>
    <n v="1484.3"/>
  </r>
  <r>
    <x v="1"/>
    <x v="1"/>
    <x v="0"/>
    <x v="1"/>
    <n v="115.7"/>
  </r>
  <r>
    <x v="1"/>
    <x v="1"/>
    <x v="0"/>
    <x v="2"/>
    <n v="340.4"/>
  </r>
  <r>
    <x v="1"/>
    <x v="1"/>
    <x v="0"/>
    <x v="3"/>
    <n v="111.6"/>
  </r>
  <r>
    <x v="1"/>
    <x v="1"/>
    <x v="0"/>
    <x v="4"/>
    <n v="111"/>
  </r>
  <r>
    <x v="1"/>
    <x v="1"/>
    <x v="0"/>
    <x v="5"/>
    <n v="772.2"/>
  </r>
  <r>
    <x v="2"/>
    <x v="1"/>
    <x v="0"/>
    <x v="0"/>
    <n v="1485.7999999999997"/>
  </r>
  <r>
    <x v="2"/>
    <x v="1"/>
    <x v="0"/>
    <x v="1"/>
    <n v="114.5"/>
  </r>
  <r>
    <x v="2"/>
    <x v="1"/>
    <x v="0"/>
    <x v="2"/>
    <n v="344.4"/>
  </r>
  <r>
    <x v="2"/>
    <x v="1"/>
    <x v="0"/>
    <x v="3"/>
    <n v="111.6"/>
  </r>
  <r>
    <x v="2"/>
    <x v="1"/>
    <x v="0"/>
    <x v="4"/>
    <n v="112.2"/>
  </r>
  <r>
    <x v="2"/>
    <x v="1"/>
    <x v="0"/>
    <x v="5"/>
    <n v="773.40000000000009"/>
  </r>
  <r>
    <x v="0"/>
    <x v="1"/>
    <x v="1"/>
    <x v="0"/>
    <n v="1482.2"/>
  </r>
  <r>
    <x v="0"/>
    <x v="1"/>
    <x v="1"/>
    <x v="1"/>
    <n v="114.2"/>
  </r>
  <r>
    <x v="0"/>
    <x v="1"/>
    <x v="1"/>
    <x v="2"/>
    <n v="348.3"/>
  </r>
  <r>
    <x v="0"/>
    <x v="1"/>
    <x v="1"/>
    <x v="3"/>
    <n v="112.9"/>
  </r>
  <r>
    <x v="0"/>
    <x v="1"/>
    <x v="1"/>
    <x v="4"/>
    <n v="113.2"/>
  </r>
  <r>
    <x v="0"/>
    <x v="1"/>
    <x v="1"/>
    <x v="5"/>
    <n v="776.1"/>
  </r>
  <r>
    <x v="1"/>
    <x v="1"/>
    <x v="1"/>
    <x v="0"/>
    <n v="1476"/>
  </r>
  <r>
    <x v="1"/>
    <x v="1"/>
    <x v="1"/>
    <x v="1"/>
    <n v="116.2"/>
  </r>
  <r>
    <x v="1"/>
    <x v="1"/>
    <x v="1"/>
    <x v="2"/>
    <n v="341.7"/>
  </r>
  <r>
    <x v="1"/>
    <x v="1"/>
    <x v="1"/>
    <x v="3"/>
    <n v="112.5"/>
  </r>
  <r>
    <x v="1"/>
    <x v="1"/>
    <x v="1"/>
    <x v="4"/>
    <n v="111.1"/>
  </r>
  <r>
    <x v="1"/>
    <x v="1"/>
    <x v="1"/>
    <x v="5"/>
    <n v="775.90000000000009"/>
  </r>
  <r>
    <x v="2"/>
    <x v="1"/>
    <x v="1"/>
    <x v="0"/>
    <n v="1480.1"/>
  </r>
  <r>
    <x v="2"/>
    <x v="1"/>
    <x v="1"/>
    <x v="1"/>
    <n v="114.7"/>
  </r>
  <r>
    <x v="2"/>
    <x v="1"/>
    <x v="1"/>
    <x v="2"/>
    <n v="345.6"/>
  </r>
  <r>
    <x v="2"/>
    <x v="1"/>
    <x v="1"/>
    <x v="3"/>
    <n v="112.5"/>
  </r>
  <r>
    <x v="2"/>
    <x v="1"/>
    <x v="1"/>
    <x v="4"/>
    <n v="112.4"/>
  </r>
  <r>
    <x v="2"/>
    <x v="1"/>
    <x v="1"/>
    <x v="5"/>
    <n v="776.1"/>
  </r>
  <r>
    <x v="0"/>
    <x v="1"/>
    <x v="2"/>
    <x v="0"/>
    <n v="1491.4"/>
  </r>
  <r>
    <x v="0"/>
    <x v="1"/>
    <x v="2"/>
    <x v="1"/>
    <n v="114.6"/>
  </r>
  <r>
    <x v="0"/>
    <x v="1"/>
    <x v="2"/>
    <x v="2"/>
    <n v="349.6"/>
  </r>
  <r>
    <x v="0"/>
    <x v="1"/>
    <x v="2"/>
    <x v="3"/>
    <n v="113.6"/>
  </r>
  <r>
    <x v="0"/>
    <x v="1"/>
    <x v="2"/>
    <x v="4"/>
    <n v="113.4"/>
  </r>
  <r>
    <x v="0"/>
    <x v="1"/>
    <x v="2"/>
    <x v="5"/>
    <n v="778.8"/>
  </r>
  <r>
    <x v="1"/>
    <x v="1"/>
    <x v="2"/>
    <x v="0"/>
    <n v="1483"/>
  </r>
  <r>
    <x v="1"/>
    <x v="1"/>
    <x v="2"/>
    <x v="1"/>
    <n v="116.7"/>
  </r>
  <r>
    <x v="1"/>
    <x v="1"/>
    <x v="2"/>
    <x v="2"/>
    <n v="343.09999999999997"/>
  </r>
  <r>
    <x v="1"/>
    <x v="1"/>
    <x v="2"/>
    <x v="3"/>
    <n v="113.2"/>
  </r>
  <r>
    <x v="1"/>
    <x v="1"/>
    <x v="2"/>
    <x v="4"/>
    <n v="110.9"/>
  </r>
  <r>
    <x v="1"/>
    <x v="1"/>
    <x v="2"/>
    <x v="5"/>
    <n v="778.69999999999993"/>
  </r>
  <r>
    <x v="2"/>
    <x v="1"/>
    <x v="13"/>
    <x v="0"/>
    <n v="1488.2999999999997"/>
  </r>
  <r>
    <x v="2"/>
    <x v="1"/>
    <x v="13"/>
    <x v="1"/>
    <n v="115.2"/>
  </r>
  <r>
    <x v="2"/>
    <x v="1"/>
    <x v="13"/>
    <x v="2"/>
    <n v="346.9"/>
  </r>
  <r>
    <x v="2"/>
    <x v="1"/>
    <x v="13"/>
    <x v="3"/>
    <n v="113.2"/>
  </r>
  <r>
    <x v="2"/>
    <x v="1"/>
    <x v="13"/>
    <x v="4"/>
    <n v="112.5"/>
  </r>
  <r>
    <x v="2"/>
    <x v="1"/>
    <x v="13"/>
    <x v="5"/>
    <n v="778.69999999999993"/>
  </r>
  <r>
    <x v="0"/>
    <x v="1"/>
    <x v="3"/>
    <x v="0"/>
    <n v="1504.1000000000001"/>
  </r>
  <r>
    <x v="0"/>
    <x v="1"/>
    <x v="3"/>
    <x v="1"/>
    <n v="115.4"/>
  </r>
  <r>
    <x v="0"/>
    <x v="1"/>
    <x v="3"/>
    <x v="2"/>
    <n v="352"/>
  </r>
  <r>
    <x v="0"/>
    <x v="1"/>
    <x v="3"/>
    <x v="3"/>
    <n v="114.1"/>
  </r>
  <r>
    <x v="0"/>
    <x v="1"/>
    <x v="3"/>
    <x v="4"/>
    <n v="113.4"/>
  </r>
  <r>
    <x v="0"/>
    <x v="1"/>
    <x v="3"/>
    <x v="5"/>
    <n v="780.6"/>
  </r>
  <r>
    <x v="1"/>
    <x v="1"/>
    <x v="3"/>
    <x v="0"/>
    <n v="1504.0000000000002"/>
  </r>
  <r>
    <x v="1"/>
    <x v="1"/>
    <x v="3"/>
    <x v="1"/>
    <n v="117.6"/>
  </r>
  <r>
    <x v="1"/>
    <x v="1"/>
    <x v="3"/>
    <x v="2"/>
    <n v="344.5"/>
  </r>
  <r>
    <x v="1"/>
    <x v="1"/>
    <x v="3"/>
    <x v="3"/>
    <n v="113.9"/>
  </r>
  <r>
    <x v="1"/>
    <x v="1"/>
    <x v="3"/>
    <x v="4"/>
    <n v="110.9"/>
  </r>
  <r>
    <x v="1"/>
    <x v="1"/>
    <x v="3"/>
    <x v="5"/>
    <n v="779.8"/>
  </r>
  <r>
    <x v="2"/>
    <x v="1"/>
    <x v="3"/>
    <x v="0"/>
    <n v="1504.1"/>
  </r>
  <r>
    <x v="2"/>
    <x v="1"/>
    <x v="3"/>
    <x v="1"/>
    <n v="116"/>
  </r>
  <r>
    <x v="2"/>
    <x v="1"/>
    <x v="3"/>
    <x v="2"/>
    <n v="349"/>
  </r>
  <r>
    <x v="2"/>
    <x v="1"/>
    <x v="3"/>
    <x v="3"/>
    <n v="113.9"/>
  </r>
  <r>
    <x v="2"/>
    <x v="1"/>
    <x v="3"/>
    <x v="4"/>
    <n v="112.5"/>
  </r>
  <r>
    <x v="2"/>
    <x v="1"/>
    <x v="3"/>
    <x v="5"/>
    <n v="780.40000000000009"/>
  </r>
  <r>
    <x v="0"/>
    <x v="1"/>
    <x v="4"/>
    <x v="0"/>
    <n v="1513.8999999999999"/>
  </r>
  <r>
    <x v="0"/>
    <x v="1"/>
    <x v="4"/>
    <x v="1"/>
    <n v="116.3"/>
  </r>
  <r>
    <x v="0"/>
    <x v="1"/>
    <x v="4"/>
    <x v="2"/>
    <n v="354"/>
  </r>
  <r>
    <x v="0"/>
    <x v="1"/>
    <x v="4"/>
    <x v="3"/>
    <n v="114.1"/>
  </r>
  <r>
    <x v="0"/>
    <x v="1"/>
    <x v="4"/>
    <x v="4"/>
    <n v="113.4"/>
  </r>
  <r>
    <x v="0"/>
    <x v="1"/>
    <x v="4"/>
    <x v="5"/>
    <n v="782.3"/>
  </r>
  <r>
    <x v="1"/>
    <x v="1"/>
    <x v="4"/>
    <x v="0"/>
    <n v="1525.3000000000002"/>
  </r>
  <r>
    <x v="1"/>
    <x v="1"/>
    <x v="4"/>
    <x v="1"/>
    <n v="118.3"/>
  </r>
  <r>
    <x v="1"/>
    <x v="1"/>
    <x v="4"/>
    <x v="2"/>
    <n v="345.9"/>
  </r>
  <r>
    <x v="1"/>
    <x v="1"/>
    <x v="4"/>
    <x v="3"/>
    <n v="114.3"/>
  </r>
  <r>
    <x v="1"/>
    <x v="1"/>
    <x v="4"/>
    <x v="4"/>
    <n v="111.1"/>
  </r>
  <r>
    <x v="1"/>
    <x v="1"/>
    <x v="4"/>
    <x v="5"/>
    <n v="782"/>
  </r>
  <r>
    <x v="2"/>
    <x v="1"/>
    <x v="4"/>
    <x v="0"/>
    <n v="1518.5000000000005"/>
  </r>
  <r>
    <x v="2"/>
    <x v="1"/>
    <x v="4"/>
    <x v="1"/>
    <n v="116.8"/>
  </r>
  <r>
    <x v="2"/>
    <x v="1"/>
    <x v="4"/>
    <x v="2"/>
    <n v="350.79999999999995"/>
  </r>
  <r>
    <x v="2"/>
    <x v="1"/>
    <x v="4"/>
    <x v="3"/>
    <n v="114.3"/>
  </r>
  <r>
    <x v="2"/>
    <x v="1"/>
    <x v="4"/>
    <x v="4"/>
    <n v="112.5"/>
  </r>
  <r>
    <x v="2"/>
    <x v="1"/>
    <x v="4"/>
    <x v="5"/>
    <n v="782.3"/>
  </r>
  <r>
    <x v="0"/>
    <x v="1"/>
    <x v="5"/>
    <x v="0"/>
    <n v="1525.6999999999998"/>
  </r>
  <r>
    <x v="0"/>
    <x v="1"/>
    <x v="5"/>
    <x v="1"/>
    <n v="117.3"/>
  </r>
  <r>
    <x v="0"/>
    <x v="1"/>
    <x v="5"/>
    <x v="2"/>
    <n v="356.3"/>
  </r>
  <r>
    <x v="0"/>
    <x v="1"/>
    <x v="5"/>
    <x v="3"/>
    <n v="114.4"/>
  </r>
  <r>
    <x v="0"/>
    <x v="1"/>
    <x v="5"/>
    <x v="4"/>
    <n v="114.4"/>
  </r>
  <r>
    <x v="0"/>
    <x v="1"/>
    <x v="5"/>
    <x v="5"/>
    <n v="785.89999999999986"/>
  </r>
  <r>
    <x v="1"/>
    <x v="1"/>
    <x v="5"/>
    <x v="0"/>
    <n v="1547"/>
  </r>
  <r>
    <x v="1"/>
    <x v="1"/>
    <x v="5"/>
    <x v="1"/>
    <n v="119"/>
  </r>
  <r>
    <x v="1"/>
    <x v="1"/>
    <x v="5"/>
    <x v="2"/>
    <n v="347.3"/>
  </r>
  <r>
    <x v="1"/>
    <x v="1"/>
    <x v="5"/>
    <x v="3"/>
    <n v="113.9"/>
  </r>
  <r>
    <x v="1"/>
    <x v="1"/>
    <x v="5"/>
    <x v="4"/>
    <n v="111.2"/>
  </r>
  <r>
    <x v="1"/>
    <x v="1"/>
    <x v="5"/>
    <x v="5"/>
    <n v="785.00000000000011"/>
  </r>
  <r>
    <x v="2"/>
    <x v="1"/>
    <x v="5"/>
    <x v="0"/>
    <n v="1533.7000000000003"/>
  </r>
  <r>
    <x v="2"/>
    <x v="1"/>
    <x v="5"/>
    <x v="1"/>
    <n v="117.8"/>
  </r>
  <r>
    <x v="2"/>
    <x v="1"/>
    <x v="5"/>
    <x v="2"/>
    <n v="352.7"/>
  </r>
  <r>
    <x v="2"/>
    <x v="1"/>
    <x v="5"/>
    <x v="3"/>
    <n v="113.9"/>
  </r>
  <r>
    <x v="2"/>
    <x v="1"/>
    <x v="5"/>
    <x v="4"/>
    <n v="113.2"/>
  </r>
  <r>
    <x v="2"/>
    <x v="1"/>
    <x v="5"/>
    <x v="5"/>
    <n v="785.69999999999982"/>
  </r>
  <r>
    <x v="0"/>
    <x v="1"/>
    <x v="6"/>
    <x v="0"/>
    <n v="1563.2"/>
  </r>
  <r>
    <x v="0"/>
    <x v="1"/>
    <x v="6"/>
    <x v="1"/>
    <n v="118"/>
  </r>
  <r>
    <x v="0"/>
    <x v="1"/>
    <x v="6"/>
    <x v="2"/>
    <n v="359.3"/>
  </r>
  <r>
    <x v="0"/>
    <x v="1"/>
    <x v="6"/>
    <x v="3"/>
    <n v="115.2"/>
  </r>
  <r>
    <x v="0"/>
    <x v="1"/>
    <x v="6"/>
    <x v="4"/>
    <n v="115.3"/>
  </r>
  <r>
    <x v="0"/>
    <x v="1"/>
    <x v="6"/>
    <x v="5"/>
    <n v="791.19999999999993"/>
  </r>
  <r>
    <x v="1"/>
    <x v="1"/>
    <x v="6"/>
    <x v="0"/>
    <n v="1599.5"/>
  </r>
  <r>
    <x v="1"/>
    <x v="1"/>
    <x v="6"/>
    <x v="1"/>
    <n v="121"/>
  </r>
  <r>
    <x v="1"/>
    <x v="1"/>
    <x v="6"/>
    <x v="2"/>
    <n v="349"/>
  </r>
  <r>
    <x v="1"/>
    <x v="1"/>
    <x v="6"/>
    <x v="3"/>
    <n v="114.8"/>
  </r>
  <r>
    <x v="1"/>
    <x v="1"/>
    <x v="6"/>
    <x v="4"/>
    <n v="111.6"/>
  </r>
  <r>
    <x v="1"/>
    <x v="1"/>
    <x v="6"/>
    <x v="5"/>
    <n v="792.8"/>
  </r>
  <r>
    <x v="2"/>
    <x v="1"/>
    <x v="6"/>
    <x v="0"/>
    <n v="1576.3"/>
  </r>
  <r>
    <x v="2"/>
    <x v="1"/>
    <x v="6"/>
    <x v="1"/>
    <n v="118.8"/>
  </r>
  <r>
    <x v="2"/>
    <x v="1"/>
    <x v="6"/>
    <x v="2"/>
    <n v="355"/>
  </r>
  <r>
    <x v="2"/>
    <x v="1"/>
    <x v="6"/>
    <x v="3"/>
    <n v="114.8"/>
  </r>
  <r>
    <x v="2"/>
    <x v="1"/>
    <x v="6"/>
    <x v="4"/>
    <n v="113.9"/>
  </r>
  <r>
    <x v="2"/>
    <x v="1"/>
    <x v="6"/>
    <x v="5"/>
    <n v="792.4"/>
  </r>
  <r>
    <x v="0"/>
    <x v="1"/>
    <x v="7"/>
    <x v="0"/>
    <n v="1582.2999999999997"/>
  </r>
  <r>
    <x v="0"/>
    <x v="1"/>
    <x v="7"/>
    <x v="1"/>
    <n v="118.8"/>
  </r>
  <r>
    <x v="0"/>
    <x v="1"/>
    <x v="7"/>
    <x v="2"/>
    <n v="360.4"/>
  </r>
  <r>
    <x v="0"/>
    <x v="1"/>
    <x v="7"/>
    <x v="3"/>
    <n v="115.8"/>
  </r>
  <r>
    <x v="0"/>
    <x v="1"/>
    <x v="7"/>
    <x v="4"/>
    <n v="115.4"/>
  </r>
  <r>
    <x v="0"/>
    <x v="1"/>
    <x v="7"/>
    <x v="5"/>
    <n v="794.4"/>
  </r>
  <r>
    <x v="1"/>
    <x v="1"/>
    <x v="7"/>
    <x v="0"/>
    <n v="1617"/>
  </r>
  <r>
    <x v="1"/>
    <x v="1"/>
    <x v="7"/>
    <x v="1"/>
    <n v="123"/>
  </r>
  <r>
    <x v="1"/>
    <x v="1"/>
    <x v="7"/>
    <x v="2"/>
    <n v="350.6"/>
  </r>
  <r>
    <x v="1"/>
    <x v="1"/>
    <x v="7"/>
    <x v="3"/>
    <n v="115.5"/>
  </r>
  <r>
    <x v="1"/>
    <x v="1"/>
    <x v="7"/>
    <x v="4"/>
    <n v="111.8"/>
  </r>
  <r>
    <x v="1"/>
    <x v="1"/>
    <x v="7"/>
    <x v="5"/>
    <n v="796.5"/>
  </r>
  <r>
    <x v="2"/>
    <x v="1"/>
    <x v="7"/>
    <x v="0"/>
    <n v="1594.4999999999998"/>
  </r>
  <r>
    <x v="2"/>
    <x v="1"/>
    <x v="7"/>
    <x v="1"/>
    <n v="119.9"/>
  </r>
  <r>
    <x v="2"/>
    <x v="1"/>
    <x v="7"/>
    <x v="2"/>
    <n v="356.4"/>
  </r>
  <r>
    <x v="2"/>
    <x v="1"/>
    <x v="7"/>
    <x v="3"/>
    <n v="115.5"/>
  </r>
  <r>
    <x v="2"/>
    <x v="1"/>
    <x v="7"/>
    <x v="4"/>
    <n v="114"/>
  </r>
  <r>
    <x v="2"/>
    <x v="1"/>
    <x v="7"/>
    <x v="5"/>
    <n v="795.9"/>
  </r>
  <r>
    <x v="0"/>
    <x v="1"/>
    <x v="8"/>
    <x v="0"/>
    <n v="1583.2"/>
  </r>
  <r>
    <x v="0"/>
    <x v="1"/>
    <x v="8"/>
    <x v="1"/>
    <n v="119.5"/>
  </r>
  <r>
    <x v="0"/>
    <x v="1"/>
    <x v="8"/>
    <x v="2"/>
    <n v="362.2"/>
  </r>
  <r>
    <x v="0"/>
    <x v="1"/>
    <x v="8"/>
    <x v="3"/>
    <n v="116.4"/>
  </r>
  <r>
    <x v="0"/>
    <x v="1"/>
    <x v="8"/>
    <x v="4"/>
    <n v="115.8"/>
  </r>
  <r>
    <x v="0"/>
    <x v="1"/>
    <x v="8"/>
    <x v="5"/>
    <n v="796.00000000000011"/>
  </r>
  <r>
    <x v="1"/>
    <x v="1"/>
    <x v="8"/>
    <x v="0"/>
    <n v="1593.7000000000003"/>
  </r>
  <r>
    <x v="1"/>
    <x v="1"/>
    <x v="8"/>
    <x v="1"/>
    <n v="124.3"/>
  </r>
  <r>
    <x v="1"/>
    <x v="1"/>
    <x v="8"/>
    <x v="2"/>
    <n v="352.1"/>
  </r>
  <r>
    <x v="1"/>
    <x v="1"/>
    <x v="8"/>
    <x v="3"/>
    <n v="116.1"/>
  </r>
  <r>
    <x v="1"/>
    <x v="1"/>
    <x v="8"/>
    <x v="4"/>
    <n v="111.8"/>
  </r>
  <r>
    <x v="1"/>
    <x v="1"/>
    <x v="8"/>
    <x v="5"/>
    <n v="796"/>
  </r>
  <r>
    <x v="2"/>
    <x v="1"/>
    <x v="8"/>
    <x v="0"/>
    <n v="1586.0999999999997"/>
  </r>
  <r>
    <x v="2"/>
    <x v="1"/>
    <x v="8"/>
    <x v="1"/>
    <n v="120.8"/>
  </r>
  <r>
    <x v="2"/>
    <x v="1"/>
    <x v="8"/>
    <x v="2"/>
    <n v="358"/>
  </r>
  <r>
    <x v="2"/>
    <x v="1"/>
    <x v="8"/>
    <x v="3"/>
    <n v="116.1"/>
  </r>
  <r>
    <x v="2"/>
    <x v="1"/>
    <x v="8"/>
    <x v="4"/>
    <n v="114.3"/>
  </r>
  <r>
    <x v="2"/>
    <x v="1"/>
    <x v="8"/>
    <x v="5"/>
    <n v="796.7"/>
  </r>
  <r>
    <x v="0"/>
    <x v="1"/>
    <x v="9"/>
    <x v="0"/>
    <n v="1581.1999999999998"/>
  </r>
  <r>
    <x v="0"/>
    <x v="1"/>
    <x v="9"/>
    <x v="1"/>
    <n v="120"/>
  </r>
  <r>
    <x v="0"/>
    <x v="1"/>
    <x v="9"/>
    <x v="2"/>
    <n v="365.3"/>
  </r>
  <r>
    <x v="0"/>
    <x v="1"/>
    <x v="9"/>
    <x v="3"/>
    <n v="116.9"/>
  </r>
  <r>
    <x v="0"/>
    <x v="1"/>
    <x v="9"/>
    <x v="4"/>
    <n v="116.4"/>
  </r>
  <r>
    <x v="0"/>
    <x v="1"/>
    <x v="9"/>
    <x v="5"/>
    <n v="798.59999999999991"/>
  </r>
  <r>
    <x v="1"/>
    <x v="1"/>
    <x v="9"/>
    <x v="0"/>
    <n v="1587.5"/>
  </r>
  <r>
    <x v="1"/>
    <x v="1"/>
    <x v="9"/>
    <x v="1"/>
    <n v="124.3"/>
  </r>
  <r>
    <x v="1"/>
    <x v="1"/>
    <x v="9"/>
    <x v="2"/>
    <n v="353.4"/>
  </r>
  <r>
    <x v="1"/>
    <x v="1"/>
    <x v="9"/>
    <x v="3"/>
    <n v="116.7"/>
  </r>
  <r>
    <x v="1"/>
    <x v="1"/>
    <x v="9"/>
    <x v="4"/>
    <n v="112"/>
  </r>
  <r>
    <x v="1"/>
    <x v="1"/>
    <x v="9"/>
    <x v="5"/>
    <n v="797.00000000000011"/>
  </r>
  <r>
    <x v="2"/>
    <x v="1"/>
    <x v="9"/>
    <x v="0"/>
    <n v="1582.7"/>
  </r>
  <r>
    <x v="2"/>
    <x v="1"/>
    <x v="9"/>
    <x v="1"/>
    <n v="121.1"/>
  </r>
  <r>
    <x v="2"/>
    <x v="1"/>
    <x v="9"/>
    <x v="2"/>
    <n v="360.6"/>
  </r>
  <r>
    <x v="2"/>
    <x v="1"/>
    <x v="9"/>
    <x v="3"/>
    <n v="116.7"/>
  </r>
  <r>
    <x v="2"/>
    <x v="1"/>
    <x v="9"/>
    <x v="4"/>
    <n v="114.7"/>
  </r>
  <r>
    <x v="2"/>
    <x v="1"/>
    <x v="9"/>
    <x v="5"/>
    <n v="798.4"/>
  </r>
  <r>
    <x v="0"/>
    <x v="1"/>
    <x v="11"/>
    <x v="0"/>
    <n v="1582"/>
  </r>
  <r>
    <x v="0"/>
    <x v="1"/>
    <x v="11"/>
    <x v="1"/>
    <n v="120.8"/>
  </r>
  <r>
    <x v="0"/>
    <x v="1"/>
    <x v="11"/>
    <x v="2"/>
    <n v="366.70000000000005"/>
  </r>
  <r>
    <x v="0"/>
    <x v="1"/>
    <x v="11"/>
    <x v="3"/>
    <n v="116.8"/>
  </r>
  <r>
    <x v="0"/>
    <x v="1"/>
    <x v="11"/>
    <x v="4"/>
    <n v="117.3"/>
  </r>
  <r>
    <x v="0"/>
    <x v="1"/>
    <x v="11"/>
    <x v="5"/>
    <n v="799.4"/>
  </r>
  <r>
    <x v="1"/>
    <x v="1"/>
    <x v="11"/>
    <x v="0"/>
    <n v="1587.8"/>
  </r>
  <r>
    <x v="1"/>
    <x v="1"/>
    <x v="11"/>
    <x v="1"/>
    <n v="125.8"/>
  </r>
  <r>
    <x v="1"/>
    <x v="1"/>
    <x v="11"/>
    <x v="2"/>
    <n v="355.2"/>
  </r>
  <r>
    <x v="1"/>
    <x v="1"/>
    <x v="11"/>
    <x v="3"/>
    <n v="117.1"/>
  </r>
  <r>
    <x v="1"/>
    <x v="1"/>
    <x v="11"/>
    <x v="4"/>
    <n v="112.6"/>
  </r>
  <r>
    <x v="1"/>
    <x v="1"/>
    <x v="11"/>
    <x v="5"/>
    <n v="796.4"/>
  </r>
  <r>
    <x v="2"/>
    <x v="1"/>
    <x v="11"/>
    <x v="0"/>
    <n v="1583.2"/>
  </r>
  <r>
    <x v="2"/>
    <x v="1"/>
    <x v="11"/>
    <x v="1"/>
    <n v="122.1"/>
  </r>
  <r>
    <x v="2"/>
    <x v="1"/>
    <x v="11"/>
    <x v="2"/>
    <n v="362.1"/>
  </r>
  <r>
    <x v="2"/>
    <x v="1"/>
    <x v="11"/>
    <x v="3"/>
    <n v="117.1"/>
  </r>
  <r>
    <x v="2"/>
    <x v="1"/>
    <x v="11"/>
    <x v="4"/>
    <n v="115.5"/>
  </r>
  <r>
    <x v="2"/>
    <x v="1"/>
    <x v="11"/>
    <x v="5"/>
    <n v="798.49999999999989"/>
  </r>
  <r>
    <x v="0"/>
    <x v="1"/>
    <x v="12"/>
    <x v="0"/>
    <n v="1569.6"/>
  </r>
  <r>
    <x v="0"/>
    <x v="1"/>
    <x v="12"/>
    <x v="1"/>
    <n v="121.7"/>
  </r>
  <r>
    <x v="0"/>
    <x v="1"/>
    <x v="12"/>
    <x v="2"/>
    <n v="367.7"/>
  </r>
  <r>
    <x v="0"/>
    <x v="1"/>
    <x v="12"/>
    <x v="3"/>
    <n v="116.9"/>
  </r>
  <r>
    <x v="0"/>
    <x v="1"/>
    <x v="12"/>
    <x v="4"/>
    <n v="117.4"/>
  </r>
  <r>
    <x v="0"/>
    <x v="1"/>
    <x v="12"/>
    <x v="5"/>
    <n v="800.5"/>
  </r>
  <r>
    <x v="1"/>
    <x v="1"/>
    <x v="12"/>
    <x v="0"/>
    <n v="1577.1999999999998"/>
  </r>
  <r>
    <x v="1"/>
    <x v="1"/>
    <x v="12"/>
    <x v="1"/>
    <n v="126.4"/>
  </r>
  <r>
    <x v="1"/>
    <x v="1"/>
    <x v="12"/>
    <x v="2"/>
    <n v="356.5"/>
  </r>
  <r>
    <x v="1"/>
    <x v="1"/>
    <x v="12"/>
    <x v="3"/>
    <n v="116.5"/>
  </r>
  <r>
    <x v="1"/>
    <x v="1"/>
    <x v="12"/>
    <x v="4"/>
    <n v="113"/>
  </r>
  <r>
    <x v="1"/>
    <x v="1"/>
    <x v="12"/>
    <x v="5"/>
    <n v="797.6"/>
  </r>
  <r>
    <x v="2"/>
    <x v="1"/>
    <x v="12"/>
    <x v="0"/>
    <n v="1571.6999999999998"/>
  </r>
  <r>
    <x v="2"/>
    <x v="1"/>
    <x v="12"/>
    <x v="1"/>
    <n v="123"/>
  </r>
  <r>
    <x v="2"/>
    <x v="1"/>
    <x v="12"/>
    <x v="2"/>
    <n v="363.2"/>
  </r>
  <r>
    <x v="2"/>
    <x v="1"/>
    <x v="12"/>
    <x v="3"/>
    <n v="116.5"/>
  </r>
  <r>
    <x v="2"/>
    <x v="1"/>
    <x v="12"/>
    <x v="4"/>
    <n v="115.7"/>
  </r>
  <r>
    <x v="2"/>
    <x v="1"/>
    <x v="12"/>
    <x v="5"/>
    <n v="799.69999999999993"/>
  </r>
  <r>
    <x v="0"/>
    <x v="2"/>
    <x v="0"/>
    <x v="0"/>
    <n v="1568.1"/>
  </r>
  <r>
    <x v="0"/>
    <x v="2"/>
    <x v="0"/>
    <x v="1"/>
    <n v="122.7"/>
  </r>
  <r>
    <x v="0"/>
    <x v="2"/>
    <x v="0"/>
    <x v="2"/>
    <n v="370"/>
  </r>
  <r>
    <x v="0"/>
    <x v="2"/>
    <x v="0"/>
    <x v="3"/>
    <n v="117.7"/>
  </r>
  <r>
    <x v="0"/>
    <x v="2"/>
    <x v="0"/>
    <x v="4"/>
    <n v="118.4"/>
  </r>
  <r>
    <x v="0"/>
    <x v="2"/>
    <x v="0"/>
    <x v="5"/>
    <n v="803.40000000000009"/>
  </r>
  <r>
    <x v="1"/>
    <x v="2"/>
    <x v="0"/>
    <x v="0"/>
    <n v="1574.8999999999999"/>
  </r>
  <r>
    <x v="1"/>
    <x v="2"/>
    <x v="0"/>
    <x v="1"/>
    <n v="127.4"/>
  </r>
  <r>
    <x v="1"/>
    <x v="2"/>
    <x v="0"/>
    <x v="2"/>
    <n v="357.3"/>
  </r>
  <r>
    <x v="1"/>
    <x v="2"/>
    <x v="0"/>
    <x v="3"/>
    <n v="117.3"/>
  </r>
  <r>
    <x v="1"/>
    <x v="2"/>
    <x v="0"/>
    <x v="4"/>
    <n v="113.4"/>
  </r>
  <r>
    <x v="1"/>
    <x v="2"/>
    <x v="0"/>
    <x v="5"/>
    <n v="798.99999999999989"/>
  </r>
  <r>
    <x v="2"/>
    <x v="2"/>
    <x v="0"/>
    <x v="0"/>
    <n v="1569.3"/>
  </r>
  <r>
    <x v="2"/>
    <x v="2"/>
    <x v="0"/>
    <x v="1"/>
    <n v="124"/>
  </r>
  <r>
    <x v="2"/>
    <x v="2"/>
    <x v="0"/>
    <x v="2"/>
    <n v="364.9"/>
  </r>
  <r>
    <x v="2"/>
    <x v="2"/>
    <x v="0"/>
    <x v="3"/>
    <n v="117.3"/>
  </r>
  <r>
    <x v="2"/>
    <x v="2"/>
    <x v="0"/>
    <x v="4"/>
    <n v="116.5"/>
  </r>
  <r>
    <x v="2"/>
    <x v="2"/>
    <x v="0"/>
    <x v="5"/>
    <n v="801.7"/>
  </r>
  <r>
    <x v="0"/>
    <x v="2"/>
    <x v="1"/>
    <x v="0"/>
    <n v="1570.5999999999997"/>
  </r>
  <r>
    <x v="0"/>
    <x v="2"/>
    <x v="1"/>
    <x v="1"/>
    <n v="124.2"/>
  </r>
  <r>
    <x v="0"/>
    <x v="2"/>
    <x v="1"/>
    <x v="2"/>
    <n v="373.1"/>
  </r>
  <r>
    <x v="0"/>
    <x v="2"/>
    <x v="1"/>
    <x v="3"/>
    <n v="118.4"/>
  </r>
  <r>
    <x v="0"/>
    <x v="2"/>
    <x v="1"/>
    <x v="4"/>
    <n v="120"/>
  </r>
  <r>
    <x v="0"/>
    <x v="2"/>
    <x v="1"/>
    <x v="5"/>
    <n v="807.5"/>
  </r>
  <r>
    <x v="1"/>
    <x v="2"/>
    <x v="1"/>
    <x v="0"/>
    <n v="1571.1000000000001"/>
  </r>
  <r>
    <x v="1"/>
    <x v="2"/>
    <x v="1"/>
    <x v="1"/>
    <n v="128.1"/>
  </r>
  <r>
    <x v="1"/>
    <x v="2"/>
    <x v="1"/>
    <x v="2"/>
    <n v="358.4"/>
  </r>
  <r>
    <x v="1"/>
    <x v="2"/>
    <x v="1"/>
    <x v="3"/>
    <n v="118.1"/>
  </r>
  <r>
    <x v="1"/>
    <x v="2"/>
    <x v="1"/>
    <x v="4"/>
    <n v="114"/>
  </r>
  <r>
    <x v="1"/>
    <x v="2"/>
    <x v="1"/>
    <x v="5"/>
    <n v="798.80000000000007"/>
  </r>
  <r>
    <x v="2"/>
    <x v="2"/>
    <x v="1"/>
    <x v="0"/>
    <n v="1569.3999999999996"/>
  </r>
  <r>
    <x v="2"/>
    <x v="2"/>
    <x v="1"/>
    <x v="1"/>
    <n v="125.2"/>
  </r>
  <r>
    <x v="2"/>
    <x v="2"/>
    <x v="1"/>
    <x v="2"/>
    <n v="367.2"/>
  </r>
  <r>
    <x v="2"/>
    <x v="2"/>
    <x v="1"/>
    <x v="3"/>
    <n v="118.1"/>
  </r>
  <r>
    <x v="2"/>
    <x v="2"/>
    <x v="1"/>
    <x v="4"/>
    <n v="117.7"/>
  </r>
  <r>
    <x v="2"/>
    <x v="2"/>
    <x v="1"/>
    <x v="5"/>
    <n v="803.60000000000014"/>
  </r>
  <r>
    <x v="0"/>
    <x v="2"/>
    <x v="2"/>
    <x v="0"/>
    <n v="1571.5"/>
  </r>
  <r>
    <x v="0"/>
    <x v="2"/>
    <x v="2"/>
    <x v="1"/>
    <n v="124.7"/>
  </r>
  <r>
    <x v="0"/>
    <x v="2"/>
    <x v="2"/>
    <x v="2"/>
    <n v="374.4"/>
  </r>
  <r>
    <x v="0"/>
    <x v="2"/>
    <x v="2"/>
    <x v="3"/>
    <n v="118.9"/>
  </r>
  <r>
    <x v="0"/>
    <x v="2"/>
    <x v="2"/>
    <x v="4"/>
    <n v="120.6"/>
  </r>
  <r>
    <x v="0"/>
    <x v="2"/>
    <x v="2"/>
    <x v="5"/>
    <n v="811.19999999999993"/>
  </r>
  <r>
    <x v="1"/>
    <x v="2"/>
    <x v="2"/>
    <x v="0"/>
    <n v="1568.0000000000002"/>
  </r>
  <r>
    <x v="1"/>
    <x v="2"/>
    <x v="2"/>
    <x v="1"/>
    <n v="128.80000000000001"/>
  </r>
  <r>
    <x v="1"/>
    <x v="2"/>
    <x v="2"/>
    <x v="2"/>
    <n v="359.5"/>
  </r>
  <r>
    <x v="1"/>
    <x v="2"/>
    <x v="2"/>
    <x v="3"/>
    <n v="118.6"/>
  </r>
  <r>
    <x v="1"/>
    <x v="2"/>
    <x v="2"/>
    <x v="4"/>
    <n v="114.4"/>
  </r>
  <r>
    <x v="1"/>
    <x v="2"/>
    <x v="2"/>
    <x v="5"/>
    <n v="801.8"/>
  </r>
  <r>
    <x v="2"/>
    <x v="2"/>
    <x v="2"/>
    <x v="0"/>
    <n v="1569.1"/>
  </r>
  <r>
    <x v="2"/>
    <x v="2"/>
    <x v="2"/>
    <x v="1"/>
    <n v="125.8"/>
  </r>
  <r>
    <x v="2"/>
    <x v="2"/>
    <x v="2"/>
    <x v="2"/>
    <n v="368.4"/>
  </r>
  <r>
    <x v="2"/>
    <x v="2"/>
    <x v="2"/>
    <x v="3"/>
    <n v="118.6"/>
  </r>
  <r>
    <x v="2"/>
    <x v="2"/>
    <x v="2"/>
    <x v="4"/>
    <n v="118.3"/>
  </r>
  <r>
    <x v="2"/>
    <x v="2"/>
    <x v="2"/>
    <x v="5"/>
    <n v="807.00000000000011"/>
  </r>
  <r>
    <x v="0"/>
    <x v="2"/>
    <x v="3"/>
    <x v="0"/>
    <n v="1577.2"/>
  </r>
  <r>
    <x v="0"/>
    <x v="2"/>
    <x v="3"/>
    <x v="1"/>
    <n v="125.7"/>
  </r>
  <r>
    <x v="0"/>
    <x v="2"/>
    <x v="3"/>
    <x v="2"/>
    <n v="375.7"/>
  </r>
  <r>
    <x v="0"/>
    <x v="2"/>
    <x v="3"/>
    <x v="3"/>
    <n v="119.4"/>
  </r>
  <r>
    <x v="0"/>
    <x v="2"/>
    <x v="3"/>
    <x v="4"/>
    <n v="121.2"/>
  </r>
  <r>
    <x v="0"/>
    <x v="2"/>
    <x v="3"/>
    <x v="5"/>
    <n v="815.1"/>
  </r>
  <r>
    <x v="1"/>
    <x v="2"/>
    <x v="3"/>
    <x v="0"/>
    <n v="1576.1"/>
  </r>
  <r>
    <x v="1"/>
    <x v="2"/>
    <x v="3"/>
    <x v="1"/>
    <n v="130.1"/>
  </r>
  <r>
    <x v="1"/>
    <x v="2"/>
    <x v="3"/>
    <x v="2"/>
    <n v="360.6"/>
  </r>
  <r>
    <x v="1"/>
    <x v="2"/>
    <x v="3"/>
    <x v="3"/>
    <n v="119.2"/>
  </r>
  <r>
    <x v="1"/>
    <x v="2"/>
    <x v="3"/>
    <x v="4"/>
    <n v="114.7"/>
  </r>
  <r>
    <x v="1"/>
    <x v="2"/>
    <x v="3"/>
    <x v="5"/>
    <n v="804.7"/>
  </r>
  <r>
    <x v="2"/>
    <x v="2"/>
    <x v="3"/>
    <x v="0"/>
    <n v="1575.7"/>
  </r>
  <r>
    <x v="2"/>
    <x v="2"/>
    <x v="3"/>
    <x v="1"/>
    <n v="126.9"/>
  </r>
  <r>
    <x v="2"/>
    <x v="2"/>
    <x v="3"/>
    <x v="2"/>
    <n v="369.6"/>
  </r>
  <r>
    <x v="2"/>
    <x v="2"/>
    <x v="3"/>
    <x v="3"/>
    <n v="119.2"/>
  </r>
  <r>
    <x v="2"/>
    <x v="2"/>
    <x v="3"/>
    <x v="4"/>
    <n v="118.7"/>
  </r>
  <r>
    <x v="2"/>
    <x v="2"/>
    <x v="3"/>
    <x v="5"/>
    <n v="810.6"/>
  </r>
  <r>
    <x v="0"/>
    <x v="2"/>
    <x v="4"/>
    <x v="0"/>
    <n v="1587.7"/>
  </r>
  <r>
    <x v="0"/>
    <x v="2"/>
    <x v="4"/>
    <x v="1"/>
    <n v="126.7"/>
  </r>
  <r>
    <x v="0"/>
    <x v="2"/>
    <x v="4"/>
    <x v="2"/>
    <n v="378.2"/>
  </r>
  <r>
    <x v="0"/>
    <x v="2"/>
    <x v="4"/>
    <x v="3"/>
    <n v="119.3"/>
  </r>
  <r>
    <x v="0"/>
    <x v="2"/>
    <x v="4"/>
    <x v="4"/>
    <n v="121.9"/>
  </r>
  <r>
    <x v="0"/>
    <x v="2"/>
    <x v="4"/>
    <x v="5"/>
    <n v="820.59999999999991"/>
  </r>
  <r>
    <x v="1"/>
    <x v="2"/>
    <x v="4"/>
    <x v="0"/>
    <n v="1598.9"/>
  </r>
  <r>
    <x v="1"/>
    <x v="2"/>
    <x v="4"/>
    <x v="1"/>
    <n v="131.30000000000001"/>
  </r>
  <r>
    <x v="1"/>
    <x v="2"/>
    <x v="4"/>
    <x v="2"/>
    <n v="361.4"/>
  </r>
  <r>
    <x v="1"/>
    <x v="2"/>
    <x v="4"/>
    <x v="3"/>
    <n v="119.6"/>
  </r>
  <r>
    <x v="1"/>
    <x v="2"/>
    <x v="4"/>
    <x v="4"/>
    <n v="114.9"/>
  </r>
  <r>
    <x v="1"/>
    <x v="2"/>
    <x v="4"/>
    <x v="5"/>
    <n v="810.00000000000011"/>
  </r>
  <r>
    <x v="2"/>
    <x v="2"/>
    <x v="4"/>
    <x v="0"/>
    <n v="1590.4"/>
  </r>
  <r>
    <x v="2"/>
    <x v="2"/>
    <x v="4"/>
    <x v="1"/>
    <n v="127.9"/>
  </r>
  <r>
    <x v="2"/>
    <x v="2"/>
    <x v="4"/>
    <x v="2"/>
    <n v="371.4"/>
  </r>
  <r>
    <x v="2"/>
    <x v="2"/>
    <x v="4"/>
    <x v="3"/>
    <n v="119.6"/>
  </r>
  <r>
    <x v="2"/>
    <x v="2"/>
    <x v="4"/>
    <x v="4"/>
    <n v="119.2"/>
  </r>
  <r>
    <x v="2"/>
    <x v="2"/>
    <x v="4"/>
    <x v="5"/>
    <n v="816"/>
  </r>
  <r>
    <x v="0"/>
    <x v="2"/>
    <x v="5"/>
    <x v="0"/>
    <n v="1617.8999999999999"/>
  </r>
  <r>
    <x v="0"/>
    <x v="2"/>
    <x v="5"/>
    <x v="1"/>
    <n v="128.19999999999999"/>
  </r>
  <r>
    <x v="0"/>
    <x v="2"/>
    <x v="5"/>
    <x v="2"/>
    <n v="381.5"/>
  </r>
  <r>
    <x v="0"/>
    <x v="2"/>
    <x v="5"/>
    <x v="3"/>
    <n v="119.5"/>
  </r>
  <r>
    <x v="0"/>
    <x v="2"/>
    <x v="5"/>
    <x v="4"/>
    <n v="122.6"/>
  </r>
  <r>
    <x v="0"/>
    <x v="2"/>
    <x v="5"/>
    <x v="5"/>
    <n v="828.19999999999993"/>
  </r>
  <r>
    <x v="1"/>
    <x v="2"/>
    <x v="5"/>
    <x v="0"/>
    <n v="1636.6"/>
  </r>
  <r>
    <x v="1"/>
    <x v="2"/>
    <x v="5"/>
    <x v="1"/>
    <n v="132.1"/>
  </r>
  <r>
    <x v="1"/>
    <x v="2"/>
    <x v="5"/>
    <x v="2"/>
    <n v="363.1"/>
  </r>
  <r>
    <x v="1"/>
    <x v="2"/>
    <x v="5"/>
    <x v="3"/>
    <n v="119"/>
  </r>
  <r>
    <x v="1"/>
    <x v="2"/>
    <x v="5"/>
    <x v="4"/>
    <n v="115.1"/>
  </r>
  <r>
    <x v="1"/>
    <x v="2"/>
    <x v="5"/>
    <x v="5"/>
    <n v="814.8"/>
  </r>
  <r>
    <x v="2"/>
    <x v="2"/>
    <x v="5"/>
    <x v="0"/>
    <n v="1623.5"/>
  </r>
  <r>
    <x v="2"/>
    <x v="2"/>
    <x v="5"/>
    <x v="1"/>
    <n v="129.19999999999999"/>
  </r>
  <r>
    <x v="2"/>
    <x v="2"/>
    <x v="5"/>
    <x v="2"/>
    <n v="374.1"/>
  </r>
  <r>
    <x v="2"/>
    <x v="2"/>
    <x v="5"/>
    <x v="3"/>
    <n v="119"/>
  </r>
  <r>
    <x v="2"/>
    <x v="2"/>
    <x v="5"/>
    <x v="4"/>
    <n v="119.8"/>
  </r>
  <r>
    <x v="2"/>
    <x v="2"/>
    <x v="5"/>
    <x v="5"/>
    <n v="822.3"/>
  </r>
  <r>
    <x v="0"/>
    <x v="2"/>
    <x v="6"/>
    <x v="0"/>
    <n v="1625.3"/>
  </r>
  <r>
    <x v="0"/>
    <x v="2"/>
    <x v="6"/>
    <x v="1"/>
    <n v="129.4"/>
  </r>
  <r>
    <x v="0"/>
    <x v="2"/>
    <x v="6"/>
    <x v="2"/>
    <n v="382.6"/>
  </r>
  <r>
    <x v="0"/>
    <x v="2"/>
    <x v="6"/>
    <x v="3"/>
    <n v="120.4"/>
  </r>
  <r>
    <x v="0"/>
    <x v="2"/>
    <x v="6"/>
    <x v="4"/>
    <n v="123"/>
  </r>
  <r>
    <x v="0"/>
    <x v="2"/>
    <x v="6"/>
    <x v="5"/>
    <n v="829.6"/>
  </r>
  <r>
    <x v="1"/>
    <x v="2"/>
    <x v="6"/>
    <x v="0"/>
    <n v="1642.8999999999999"/>
  </r>
  <r>
    <x v="1"/>
    <x v="2"/>
    <x v="6"/>
    <x v="1"/>
    <n v="133.1"/>
  </r>
  <r>
    <x v="1"/>
    <x v="2"/>
    <x v="6"/>
    <x v="2"/>
    <n v="364.1"/>
  </r>
  <r>
    <x v="1"/>
    <x v="2"/>
    <x v="6"/>
    <x v="3"/>
    <n v="119.9"/>
  </r>
  <r>
    <x v="1"/>
    <x v="2"/>
    <x v="6"/>
    <x v="4"/>
    <n v="115.3"/>
  </r>
  <r>
    <x v="1"/>
    <x v="2"/>
    <x v="6"/>
    <x v="5"/>
    <n v="817"/>
  </r>
  <r>
    <x v="2"/>
    <x v="2"/>
    <x v="6"/>
    <x v="0"/>
    <n v="1630.6000000000001"/>
  </r>
  <r>
    <x v="2"/>
    <x v="2"/>
    <x v="6"/>
    <x v="1"/>
    <n v="130.4"/>
  </r>
  <r>
    <x v="2"/>
    <x v="2"/>
    <x v="6"/>
    <x v="2"/>
    <n v="375.1"/>
  </r>
  <r>
    <x v="2"/>
    <x v="2"/>
    <x v="6"/>
    <x v="3"/>
    <n v="119.9"/>
  </r>
  <r>
    <x v="2"/>
    <x v="2"/>
    <x v="6"/>
    <x v="4"/>
    <n v="120.1"/>
  </r>
  <r>
    <x v="2"/>
    <x v="2"/>
    <x v="6"/>
    <x v="5"/>
    <n v="824.1"/>
  </r>
  <r>
    <x v="0"/>
    <x v="2"/>
    <x v="7"/>
    <x v="0"/>
    <n v="1646.6"/>
  </r>
  <r>
    <x v="0"/>
    <x v="2"/>
    <x v="7"/>
    <x v="1"/>
    <n v="130.1"/>
  </r>
  <r>
    <x v="0"/>
    <x v="2"/>
    <x v="7"/>
    <x v="2"/>
    <n v="384.8"/>
  </r>
  <r>
    <x v="0"/>
    <x v="2"/>
    <x v="7"/>
    <x v="3"/>
    <n v="121.3"/>
  </r>
  <r>
    <x v="0"/>
    <x v="2"/>
    <x v="7"/>
    <x v="4"/>
    <n v="123.8"/>
  </r>
  <r>
    <x v="0"/>
    <x v="2"/>
    <x v="7"/>
    <x v="5"/>
    <n v="831.2"/>
  </r>
  <r>
    <x v="1"/>
    <x v="2"/>
    <x v="7"/>
    <x v="0"/>
    <n v="1658.8999999999999"/>
  </r>
  <r>
    <x v="1"/>
    <x v="2"/>
    <x v="7"/>
    <x v="1"/>
    <n v="134.19999999999999"/>
  </r>
  <r>
    <x v="1"/>
    <x v="2"/>
    <x v="7"/>
    <x v="2"/>
    <n v="364.8"/>
  </r>
  <r>
    <x v="1"/>
    <x v="2"/>
    <x v="7"/>
    <x v="3"/>
    <n v="120.9"/>
  </r>
  <r>
    <x v="1"/>
    <x v="2"/>
    <x v="7"/>
    <x v="4"/>
    <n v="115.3"/>
  </r>
  <r>
    <x v="1"/>
    <x v="2"/>
    <x v="7"/>
    <x v="5"/>
    <n v="818.1"/>
  </r>
  <r>
    <x v="2"/>
    <x v="2"/>
    <x v="7"/>
    <x v="0"/>
    <n v="1649.6"/>
  </r>
  <r>
    <x v="2"/>
    <x v="2"/>
    <x v="7"/>
    <x v="1"/>
    <n v="131.19999999999999"/>
  </r>
  <r>
    <x v="2"/>
    <x v="2"/>
    <x v="7"/>
    <x v="2"/>
    <n v="376.70000000000005"/>
  </r>
  <r>
    <x v="2"/>
    <x v="2"/>
    <x v="7"/>
    <x v="3"/>
    <n v="120.9"/>
  </r>
  <r>
    <x v="2"/>
    <x v="2"/>
    <x v="7"/>
    <x v="4"/>
    <n v="120.6"/>
  </r>
  <r>
    <x v="2"/>
    <x v="2"/>
    <x v="7"/>
    <x v="5"/>
    <n v="825.5"/>
  </r>
  <r>
    <x v="0"/>
    <x v="2"/>
    <x v="8"/>
    <x v="0"/>
    <n v="1657.6000000000001"/>
  </r>
  <r>
    <x v="0"/>
    <x v="2"/>
    <x v="8"/>
    <x v="1"/>
    <n v="131"/>
  </r>
  <r>
    <x v="0"/>
    <x v="2"/>
    <x v="8"/>
    <x v="2"/>
    <n v="387.1"/>
  </r>
  <r>
    <x v="0"/>
    <x v="2"/>
    <x v="8"/>
    <x v="3"/>
    <n v="122"/>
  </r>
  <r>
    <x v="0"/>
    <x v="2"/>
    <x v="8"/>
    <x v="4"/>
    <n v="123.7"/>
  </r>
  <r>
    <x v="0"/>
    <x v="2"/>
    <x v="8"/>
    <x v="5"/>
    <n v="836.3"/>
  </r>
  <r>
    <x v="1"/>
    <x v="2"/>
    <x v="8"/>
    <x v="0"/>
    <n v="1664.8"/>
  </r>
  <r>
    <x v="1"/>
    <x v="2"/>
    <x v="8"/>
    <x v="1"/>
    <n v="134.69999999999999"/>
  </r>
  <r>
    <x v="1"/>
    <x v="2"/>
    <x v="8"/>
    <x v="2"/>
    <n v="365.8"/>
  </r>
  <r>
    <x v="1"/>
    <x v="2"/>
    <x v="8"/>
    <x v="3"/>
    <n v="121.6"/>
  </r>
  <r>
    <x v="1"/>
    <x v="2"/>
    <x v="8"/>
    <x v="4"/>
    <n v="115.1"/>
  </r>
  <r>
    <x v="1"/>
    <x v="2"/>
    <x v="8"/>
    <x v="5"/>
    <n v="819.50000000000011"/>
  </r>
  <r>
    <x v="2"/>
    <x v="2"/>
    <x v="8"/>
    <x v="0"/>
    <n v="1658.3000000000002"/>
  </r>
  <r>
    <x v="2"/>
    <x v="2"/>
    <x v="8"/>
    <x v="1"/>
    <n v="132"/>
  </r>
  <r>
    <x v="2"/>
    <x v="2"/>
    <x v="8"/>
    <x v="2"/>
    <n v="378.5"/>
  </r>
  <r>
    <x v="2"/>
    <x v="2"/>
    <x v="8"/>
    <x v="3"/>
    <n v="121.6"/>
  </r>
  <r>
    <x v="2"/>
    <x v="2"/>
    <x v="8"/>
    <x v="4"/>
    <n v="120.4"/>
  </r>
  <r>
    <x v="2"/>
    <x v="2"/>
    <x v="8"/>
    <x v="5"/>
    <n v="828.6"/>
  </r>
  <r>
    <x v="0"/>
    <x v="2"/>
    <x v="9"/>
    <x v="0"/>
    <n v="1674.6"/>
  </r>
  <r>
    <x v="0"/>
    <x v="2"/>
    <x v="9"/>
    <x v="1"/>
    <n v="131.5"/>
  </r>
  <r>
    <x v="0"/>
    <x v="2"/>
    <x v="9"/>
    <x v="2"/>
    <n v="389"/>
  </r>
  <r>
    <x v="0"/>
    <x v="2"/>
    <x v="9"/>
    <x v="3"/>
    <n v="122.7"/>
  </r>
  <r>
    <x v="0"/>
    <x v="2"/>
    <x v="9"/>
    <x v="4"/>
    <n v="124.4"/>
  </r>
  <r>
    <x v="0"/>
    <x v="2"/>
    <x v="9"/>
    <x v="5"/>
    <n v="839.50000000000011"/>
  </r>
  <r>
    <x v="1"/>
    <x v="2"/>
    <x v="9"/>
    <x v="0"/>
    <n v="1692.8000000000002"/>
  </r>
  <r>
    <x v="1"/>
    <x v="2"/>
    <x v="9"/>
    <x v="1"/>
    <n v="135.30000000000001"/>
  </r>
  <r>
    <x v="1"/>
    <x v="2"/>
    <x v="9"/>
    <x v="2"/>
    <n v="366.79999999999995"/>
  </r>
  <r>
    <x v="1"/>
    <x v="2"/>
    <x v="9"/>
    <x v="3"/>
    <n v="122.4"/>
  </r>
  <r>
    <x v="1"/>
    <x v="2"/>
    <x v="9"/>
    <x v="4"/>
    <n v="114.9"/>
  </r>
  <r>
    <x v="1"/>
    <x v="2"/>
    <x v="9"/>
    <x v="5"/>
    <n v="821.9"/>
  </r>
  <r>
    <x v="2"/>
    <x v="2"/>
    <x v="9"/>
    <x v="0"/>
    <n v="1678.9999999999998"/>
  </r>
  <r>
    <x v="2"/>
    <x v="2"/>
    <x v="9"/>
    <x v="1"/>
    <n v="132.5"/>
  </r>
  <r>
    <x v="2"/>
    <x v="2"/>
    <x v="9"/>
    <x v="2"/>
    <n v="380.1"/>
  </r>
  <r>
    <x v="2"/>
    <x v="2"/>
    <x v="9"/>
    <x v="3"/>
    <n v="122.4"/>
  </r>
  <r>
    <x v="2"/>
    <x v="2"/>
    <x v="9"/>
    <x v="4"/>
    <n v="120.8"/>
  </r>
  <r>
    <x v="2"/>
    <x v="2"/>
    <x v="9"/>
    <x v="5"/>
    <n v="831.19999999999993"/>
  </r>
  <r>
    <x v="0"/>
    <x v="2"/>
    <x v="11"/>
    <x v="0"/>
    <n v="1686.3"/>
  </r>
  <r>
    <x v="0"/>
    <x v="2"/>
    <x v="11"/>
    <x v="1"/>
    <n v="132.19999999999999"/>
  </r>
  <r>
    <x v="0"/>
    <x v="2"/>
    <x v="11"/>
    <x v="2"/>
    <n v="391.79999999999995"/>
  </r>
  <r>
    <x v="0"/>
    <x v="2"/>
    <x v="11"/>
    <x v="3"/>
    <n v="122.7"/>
  </r>
  <r>
    <x v="0"/>
    <x v="2"/>
    <x v="11"/>
    <x v="4"/>
    <n v="125.6"/>
  </r>
  <r>
    <x v="0"/>
    <x v="2"/>
    <x v="11"/>
    <x v="5"/>
    <n v="842.7"/>
  </r>
  <r>
    <x v="1"/>
    <x v="2"/>
    <x v="11"/>
    <x v="0"/>
    <n v="1708.4999999999998"/>
  </r>
  <r>
    <x v="1"/>
    <x v="2"/>
    <x v="11"/>
    <x v="1"/>
    <n v="137.6"/>
  </r>
  <r>
    <x v="1"/>
    <x v="2"/>
    <x v="11"/>
    <x v="2"/>
    <n v="368.5"/>
  </r>
  <r>
    <x v="1"/>
    <x v="2"/>
    <x v="11"/>
    <x v="3"/>
    <n v="122.9"/>
  </r>
  <r>
    <x v="1"/>
    <x v="2"/>
    <x v="11"/>
    <x v="4"/>
    <n v="115.1"/>
  </r>
  <r>
    <x v="1"/>
    <x v="2"/>
    <x v="11"/>
    <x v="5"/>
    <n v="822.8"/>
  </r>
  <r>
    <x v="2"/>
    <x v="2"/>
    <x v="11"/>
    <x v="0"/>
    <n v="1692.1"/>
  </r>
  <r>
    <x v="2"/>
    <x v="2"/>
    <x v="11"/>
    <x v="1"/>
    <n v="133.6"/>
  </r>
  <r>
    <x v="2"/>
    <x v="2"/>
    <x v="11"/>
    <x v="2"/>
    <n v="382.4"/>
  </r>
  <r>
    <x v="2"/>
    <x v="2"/>
    <x v="11"/>
    <x v="3"/>
    <n v="122.9"/>
  </r>
  <r>
    <x v="2"/>
    <x v="2"/>
    <x v="11"/>
    <x v="4"/>
    <n v="121.6"/>
  </r>
  <r>
    <x v="2"/>
    <x v="2"/>
    <x v="11"/>
    <x v="5"/>
    <n v="833.19999999999993"/>
  </r>
  <r>
    <x v="0"/>
    <x v="2"/>
    <x v="12"/>
    <x v="0"/>
    <n v="1682.3000000000002"/>
  </r>
  <r>
    <x v="0"/>
    <x v="2"/>
    <x v="12"/>
    <x v="1"/>
    <n v="133.1"/>
  </r>
  <r>
    <x v="0"/>
    <x v="2"/>
    <x v="12"/>
    <x v="2"/>
    <n v="392.9"/>
  </r>
  <r>
    <x v="0"/>
    <x v="2"/>
    <x v="12"/>
    <x v="3"/>
    <n v="122.9"/>
  </r>
  <r>
    <x v="0"/>
    <x v="2"/>
    <x v="12"/>
    <x v="4"/>
    <n v="125.7"/>
  </r>
  <r>
    <x v="0"/>
    <x v="2"/>
    <x v="12"/>
    <x v="5"/>
    <n v="844.2"/>
  </r>
  <r>
    <x v="1"/>
    <x v="2"/>
    <x v="12"/>
    <x v="0"/>
    <n v="1698.8"/>
  </r>
  <r>
    <x v="1"/>
    <x v="2"/>
    <x v="12"/>
    <x v="1"/>
    <n v="138.19999999999999"/>
  </r>
  <r>
    <x v="1"/>
    <x v="2"/>
    <x v="12"/>
    <x v="2"/>
    <n v="369.4"/>
  </r>
  <r>
    <x v="1"/>
    <x v="2"/>
    <x v="12"/>
    <x v="3"/>
    <n v="122.4"/>
  </r>
  <r>
    <x v="1"/>
    <x v="2"/>
    <x v="12"/>
    <x v="4"/>
    <n v="116"/>
  </r>
  <r>
    <x v="1"/>
    <x v="2"/>
    <x v="12"/>
    <x v="5"/>
    <n v="823.50000000000011"/>
  </r>
  <r>
    <x v="2"/>
    <x v="2"/>
    <x v="12"/>
    <x v="0"/>
    <n v="1686.1000000000001"/>
  </r>
  <r>
    <x v="2"/>
    <x v="2"/>
    <x v="12"/>
    <x v="1"/>
    <n v="134.5"/>
  </r>
  <r>
    <x v="2"/>
    <x v="2"/>
    <x v="12"/>
    <x v="2"/>
    <n v="383.5"/>
  </r>
  <r>
    <x v="2"/>
    <x v="2"/>
    <x v="12"/>
    <x v="3"/>
    <n v="122.4"/>
  </r>
  <r>
    <x v="2"/>
    <x v="2"/>
    <x v="12"/>
    <x v="4"/>
    <n v="122"/>
  </r>
  <r>
    <x v="2"/>
    <x v="2"/>
    <x v="12"/>
    <x v="5"/>
    <n v="834.30000000000007"/>
  </r>
  <r>
    <x v="0"/>
    <x v="3"/>
    <x v="0"/>
    <x v="0"/>
    <n v="1690.1000000000001"/>
  </r>
  <r>
    <x v="0"/>
    <x v="3"/>
    <x v="0"/>
    <x v="1"/>
    <n v="133.6"/>
  </r>
  <r>
    <x v="0"/>
    <x v="3"/>
    <x v="0"/>
    <x v="2"/>
    <n v="394.70000000000005"/>
  </r>
  <r>
    <x v="0"/>
    <x v="3"/>
    <x v="0"/>
    <x v="3"/>
    <n v="123.9"/>
  </r>
  <r>
    <x v="0"/>
    <x v="3"/>
    <x v="0"/>
    <x v="4"/>
    <n v="126.2"/>
  </r>
  <r>
    <x v="0"/>
    <x v="3"/>
    <x v="0"/>
    <x v="5"/>
    <n v="846.5"/>
  </r>
  <r>
    <x v="1"/>
    <x v="3"/>
    <x v="0"/>
    <x v="0"/>
    <n v="1701.4"/>
  </r>
  <r>
    <x v="1"/>
    <x v="3"/>
    <x v="0"/>
    <x v="1"/>
    <n v="139.5"/>
  </r>
  <r>
    <x v="1"/>
    <x v="3"/>
    <x v="0"/>
    <x v="2"/>
    <n v="370.5"/>
  </r>
  <r>
    <x v="1"/>
    <x v="3"/>
    <x v="0"/>
    <x v="3"/>
    <n v="123.4"/>
  </r>
  <r>
    <x v="1"/>
    <x v="3"/>
    <x v="0"/>
    <x v="4"/>
    <n v="116.9"/>
  </r>
  <r>
    <x v="1"/>
    <x v="3"/>
    <x v="0"/>
    <x v="5"/>
    <n v="825.3"/>
  </r>
  <r>
    <x v="2"/>
    <x v="3"/>
    <x v="0"/>
    <x v="0"/>
    <n v="1691.7"/>
  </r>
  <r>
    <x v="2"/>
    <x v="3"/>
    <x v="0"/>
    <x v="1"/>
    <n v="135.19999999999999"/>
  </r>
  <r>
    <x v="2"/>
    <x v="3"/>
    <x v="0"/>
    <x v="2"/>
    <n v="384.9"/>
  </r>
  <r>
    <x v="2"/>
    <x v="3"/>
    <x v="0"/>
    <x v="3"/>
    <n v="123.4"/>
  </r>
  <r>
    <x v="2"/>
    <x v="3"/>
    <x v="0"/>
    <x v="4"/>
    <n v="122.7"/>
  </r>
  <r>
    <x v="2"/>
    <x v="3"/>
    <x v="0"/>
    <x v="5"/>
    <n v="836.4"/>
  </r>
  <r>
    <x v="0"/>
    <x v="3"/>
    <x v="1"/>
    <x v="0"/>
    <n v="1682.6"/>
  </r>
  <r>
    <x v="0"/>
    <x v="3"/>
    <x v="1"/>
    <x v="1"/>
    <n v="134.4"/>
  </r>
  <r>
    <x v="0"/>
    <x v="3"/>
    <x v="1"/>
    <x v="2"/>
    <n v="397.1"/>
  </r>
  <r>
    <x v="0"/>
    <x v="3"/>
    <x v="1"/>
    <x v="3"/>
    <n v="124.7"/>
  </r>
  <r>
    <x v="0"/>
    <x v="3"/>
    <x v="1"/>
    <x v="4"/>
    <n v="127.5"/>
  </r>
  <r>
    <x v="0"/>
    <x v="3"/>
    <x v="1"/>
    <x v="5"/>
    <n v="852.39999999999986"/>
  </r>
  <r>
    <x v="1"/>
    <x v="3"/>
    <x v="1"/>
    <x v="0"/>
    <n v="1676.1"/>
  </r>
  <r>
    <x v="1"/>
    <x v="3"/>
    <x v="1"/>
    <x v="1"/>
    <n v="140"/>
  </r>
  <r>
    <x v="1"/>
    <x v="3"/>
    <x v="1"/>
    <x v="2"/>
    <n v="371.6"/>
  </r>
  <r>
    <x v="1"/>
    <x v="3"/>
    <x v="1"/>
    <x v="3"/>
    <n v="124.4"/>
  </r>
  <r>
    <x v="1"/>
    <x v="3"/>
    <x v="1"/>
    <x v="4"/>
    <n v="116"/>
  </r>
  <r>
    <x v="1"/>
    <x v="3"/>
    <x v="1"/>
    <x v="5"/>
    <n v="828.90000000000009"/>
  </r>
  <r>
    <x v="2"/>
    <x v="3"/>
    <x v="1"/>
    <x v="0"/>
    <n v="1678.1"/>
  </r>
  <r>
    <x v="2"/>
    <x v="3"/>
    <x v="1"/>
    <x v="1"/>
    <n v="135.9"/>
  </r>
  <r>
    <x v="2"/>
    <x v="3"/>
    <x v="1"/>
    <x v="2"/>
    <n v="386.9"/>
  </r>
  <r>
    <x v="2"/>
    <x v="3"/>
    <x v="1"/>
    <x v="3"/>
    <n v="124.4"/>
  </r>
  <r>
    <x v="2"/>
    <x v="3"/>
    <x v="1"/>
    <x v="4"/>
    <n v="123.1"/>
  </r>
  <r>
    <x v="2"/>
    <x v="3"/>
    <x v="1"/>
    <x v="5"/>
    <n v="841.1"/>
  </r>
  <r>
    <x v="0"/>
    <x v="3"/>
    <x v="2"/>
    <x v="0"/>
    <n v="1682.7000000000003"/>
  </r>
  <r>
    <x v="0"/>
    <x v="3"/>
    <x v="2"/>
    <x v="1"/>
    <n v="135"/>
  </r>
  <r>
    <x v="0"/>
    <x v="3"/>
    <x v="2"/>
    <x v="2"/>
    <n v="398.40000000000003"/>
  </r>
  <r>
    <x v="0"/>
    <x v="3"/>
    <x v="2"/>
    <x v="3"/>
    <n v="125.3"/>
  </r>
  <r>
    <x v="0"/>
    <x v="3"/>
    <x v="2"/>
    <x v="4"/>
    <n v="127"/>
  </r>
  <r>
    <x v="0"/>
    <x v="3"/>
    <x v="2"/>
    <x v="5"/>
    <n v="854.6"/>
  </r>
  <r>
    <x v="1"/>
    <x v="3"/>
    <x v="2"/>
    <x v="0"/>
    <n v="1667.6000000000001"/>
  </r>
  <r>
    <x v="1"/>
    <x v="3"/>
    <x v="2"/>
    <x v="1"/>
    <n v="140.6"/>
  </r>
  <r>
    <x v="1"/>
    <x v="3"/>
    <x v="2"/>
    <x v="2"/>
    <n v="372.2"/>
  </r>
  <r>
    <x v="1"/>
    <x v="3"/>
    <x v="2"/>
    <x v="3"/>
    <n v="124.9"/>
  </r>
  <r>
    <x v="1"/>
    <x v="3"/>
    <x v="2"/>
    <x v="4"/>
    <n v="114.8"/>
  </r>
  <r>
    <x v="1"/>
    <x v="3"/>
    <x v="2"/>
    <x v="5"/>
    <n v="830.4"/>
  </r>
  <r>
    <x v="2"/>
    <x v="3"/>
    <x v="2"/>
    <x v="0"/>
    <n v="1675.2"/>
  </r>
  <r>
    <x v="2"/>
    <x v="3"/>
    <x v="2"/>
    <x v="1"/>
    <n v="136.5"/>
  </r>
  <r>
    <x v="2"/>
    <x v="3"/>
    <x v="2"/>
    <x v="2"/>
    <n v="387.9"/>
  </r>
  <r>
    <x v="2"/>
    <x v="3"/>
    <x v="2"/>
    <x v="3"/>
    <n v="124.9"/>
  </r>
  <r>
    <x v="2"/>
    <x v="3"/>
    <x v="2"/>
    <x v="4"/>
    <n v="122.4"/>
  </r>
  <r>
    <x v="2"/>
    <x v="3"/>
    <x v="2"/>
    <x v="5"/>
    <n v="842.99999999999989"/>
  </r>
  <r>
    <x v="0"/>
    <x v="3"/>
    <x v="3"/>
    <x v="0"/>
    <n v="1701.6000000000004"/>
  </r>
  <r>
    <x v="0"/>
    <x v="3"/>
    <x v="3"/>
    <x v="1"/>
    <n v="135.5"/>
  </r>
  <r>
    <x v="0"/>
    <x v="3"/>
    <x v="3"/>
    <x v="2"/>
    <n v="400"/>
  </r>
  <r>
    <x v="0"/>
    <x v="3"/>
    <x v="3"/>
    <x v="3"/>
    <n v="125.8"/>
  </r>
  <r>
    <x v="0"/>
    <x v="3"/>
    <x v="3"/>
    <x v="4"/>
    <n v="127"/>
  </r>
  <r>
    <x v="0"/>
    <x v="3"/>
    <x v="3"/>
    <x v="5"/>
    <n v="858.80000000000007"/>
  </r>
  <r>
    <x v="1"/>
    <x v="3"/>
    <x v="3"/>
    <x v="0"/>
    <n v="1706.3"/>
  </r>
  <r>
    <x v="1"/>
    <x v="3"/>
    <x v="3"/>
    <x v="1"/>
    <n v="141.5"/>
  </r>
  <r>
    <x v="1"/>
    <x v="3"/>
    <x v="3"/>
    <x v="2"/>
    <n v="373.1"/>
  </r>
  <r>
    <x v="1"/>
    <x v="3"/>
    <x v="3"/>
    <x v="3"/>
    <n v="125.6"/>
  </r>
  <r>
    <x v="1"/>
    <x v="3"/>
    <x v="3"/>
    <x v="4"/>
    <n v="114.6"/>
  </r>
  <r>
    <x v="1"/>
    <x v="3"/>
    <x v="3"/>
    <x v="5"/>
    <n v="835.7"/>
  </r>
  <r>
    <x v="2"/>
    <x v="3"/>
    <x v="3"/>
    <x v="0"/>
    <n v="1701.3"/>
  </r>
  <r>
    <x v="2"/>
    <x v="3"/>
    <x v="3"/>
    <x v="1"/>
    <n v="137.1"/>
  </r>
  <r>
    <x v="2"/>
    <x v="3"/>
    <x v="3"/>
    <x v="2"/>
    <n v="389.20000000000005"/>
  </r>
  <r>
    <x v="2"/>
    <x v="3"/>
    <x v="3"/>
    <x v="3"/>
    <n v="125.6"/>
  </r>
  <r>
    <x v="2"/>
    <x v="3"/>
    <x v="3"/>
    <x v="4"/>
    <n v="122.3"/>
  </r>
  <r>
    <x v="2"/>
    <x v="3"/>
    <x v="3"/>
    <x v="5"/>
    <n v="847.7"/>
  </r>
  <r>
    <x v="0"/>
    <x v="3"/>
    <x v="4"/>
    <x v="0"/>
    <n v="1723.6999999999998"/>
  </r>
  <r>
    <x v="0"/>
    <x v="3"/>
    <x v="4"/>
    <x v="1"/>
    <n v="136"/>
  </r>
  <r>
    <x v="0"/>
    <x v="3"/>
    <x v="4"/>
    <x v="2"/>
    <n v="401.3"/>
  </r>
  <r>
    <x v="0"/>
    <x v="3"/>
    <x v="4"/>
    <x v="3"/>
    <n v="125.8"/>
  </r>
  <r>
    <x v="0"/>
    <x v="3"/>
    <x v="4"/>
    <x v="4"/>
    <n v="127.4"/>
  </r>
  <r>
    <x v="0"/>
    <x v="3"/>
    <x v="4"/>
    <x v="5"/>
    <n v="864.30000000000007"/>
  </r>
  <r>
    <x v="1"/>
    <x v="3"/>
    <x v="4"/>
    <x v="0"/>
    <n v="1746.7999999999997"/>
  </r>
  <r>
    <x v="1"/>
    <x v="3"/>
    <x v="4"/>
    <x v="1"/>
    <n v="142.19999999999999"/>
  </r>
  <r>
    <x v="1"/>
    <x v="3"/>
    <x v="4"/>
    <x v="2"/>
    <n v="374.1"/>
  </r>
  <r>
    <x v="1"/>
    <x v="3"/>
    <x v="4"/>
    <x v="3"/>
    <n v="126"/>
  </r>
  <r>
    <x v="1"/>
    <x v="3"/>
    <x v="4"/>
    <x v="4"/>
    <n v="115"/>
  </r>
  <r>
    <x v="1"/>
    <x v="3"/>
    <x v="4"/>
    <x v="5"/>
    <n v="839.2"/>
  </r>
  <r>
    <x v="2"/>
    <x v="3"/>
    <x v="4"/>
    <x v="0"/>
    <n v="1730.4"/>
  </r>
  <r>
    <x v="2"/>
    <x v="3"/>
    <x v="4"/>
    <x v="1"/>
    <n v="137.69999999999999"/>
  </r>
  <r>
    <x v="2"/>
    <x v="3"/>
    <x v="4"/>
    <x v="2"/>
    <n v="390.4"/>
  </r>
  <r>
    <x v="2"/>
    <x v="3"/>
    <x v="4"/>
    <x v="3"/>
    <n v="126"/>
  </r>
  <r>
    <x v="2"/>
    <x v="3"/>
    <x v="4"/>
    <x v="4"/>
    <n v="122.7"/>
  </r>
  <r>
    <x v="2"/>
    <x v="3"/>
    <x v="4"/>
    <x v="5"/>
    <n v="852.40000000000009"/>
  </r>
  <r>
    <x v="0"/>
    <x v="3"/>
    <x v="5"/>
    <x v="0"/>
    <n v="1748.6"/>
  </r>
  <r>
    <x v="0"/>
    <x v="3"/>
    <x v="5"/>
    <x v="1"/>
    <n v="137.19999999999999"/>
  </r>
  <r>
    <x v="0"/>
    <x v="3"/>
    <x v="5"/>
    <x v="2"/>
    <n v="403.5"/>
  </r>
  <r>
    <x v="0"/>
    <x v="3"/>
    <x v="5"/>
    <x v="3"/>
    <n v="126"/>
  </r>
  <r>
    <x v="0"/>
    <x v="3"/>
    <x v="5"/>
    <x v="4"/>
    <n v="128"/>
  </r>
  <r>
    <x v="0"/>
    <x v="3"/>
    <x v="5"/>
    <x v="5"/>
    <n v="869.29999999999984"/>
  </r>
  <r>
    <x v="1"/>
    <x v="3"/>
    <x v="5"/>
    <x v="0"/>
    <n v="1787.0000000000002"/>
  </r>
  <r>
    <x v="1"/>
    <x v="3"/>
    <x v="5"/>
    <x v="1"/>
    <n v="142.69999999999999"/>
  </r>
  <r>
    <x v="1"/>
    <x v="3"/>
    <x v="5"/>
    <x v="2"/>
    <n v="375.29999999999995"/>
  </r>
  <r>
    <x v="1"/>
    <x v="3"/>
    <x v="5"/>
    <x v="3"/>
    <n v="125.5"/>
  </r>
  <r>
    <x v="1"/>
    <x v="3"/>
    <x v="5"/>
    <x v="4"/>
    <n v="115.5"/>
  </r>
  <r>
    <x v="1"/>
    <x v="3"/>
    <x v="5"/>
    <x v="5"/>
    <n v="843.69999999999993"/>
  </r>
  <r>
    <x v="2"/>
    <x v="3"/>
    <x v="5"/>
    <x v="0"/>
    <n v="1760.6"/>
  </r>
  <r>
    <x v="2"/>
    <x v="3"/>
    <x v="5"/>
    <x v="1"/>
    <n v="138.69999999999999"/>
  </r>
  <r>
    <x v="2"/>
    <x v="3"/>
    <x v="5"/>
    <x v="2"/>
    <n v="392.1"/>
  </r>
  <r>
    <x v="2"/>
    <x v="3"/>
    <x v="5"/>
    <x v="3"/>
    <n v="125.5"/>
  </r>
  <r>
    <x v="2"/>
    <x v="3"/>
    <x v="5"/>
    <x v="4"/>
    <n v="123.3"/>
  </r>
  <r>
    <x v="2"/>
    <x v="3"/>
    <x v="5"/>
    <x v="5"/>
    <n v="856.99999999999989"/>
  </r>
  <r>
    <x v="0"/>
    <x v="3"/>
    <x v="6"/>
    <x v="0"/>
    <n v="1770.2999999999997"/>
  </r>
  <r>
    <x v="0"/>
    <x v="3"/>
    <x v="6"/>
    <x v="1"/>
    <n v="138"/>
  </r>
  <r>
    <x v="0"/>
    <x v="3"/>
    <x v="6"/>
    <x v="2"/>
    <n v="405.9"/>
  </r>
  <r>
    <x v="0"/>
    <x v="3"/>
    <x v="6"/>
    <x v="3"/>
    <n v="126.9"/>
  </r>
  <r>
    <x v="0"/>
    <x v="3"/>
    <x v="6"/>
    <x v="4"/>
    <n v="128.19999999999999"/>
  </r>
  <r>
    <x v="0"/>
    <x v="3"/>
    <x v="6"/>
    <x v="5"/>
    <n v="873.8"/>
  </r>
  <r>
    <x v="1"/>
    <x v="3"/>
    <x v="6"/>
    <x v="0"/>
    <n v="1811.5000000000002"/>
  </r>
  <r>
    <x v="1"/>
    <x v="3"/>
    <x v="6"/>
    <x v="1"/>
    <n v="142.9"/>
  </r>
  <r>
    <x v="1"/>
    <x v="3"/>
    <x v="6"/>
    <x v="2"/>
    <n v="375.9"/>
  </r>
  <r>
    <x v="1"/>
    <x v="3"/>
    <x v="6"/>
    <x v="3"/>
    <n v="126.4"/>
  </r>
  <r>
    <x v="1"/>
    <x v="3"/>
    <x v="6"/>
    <x v="4"/>
    <n v="115.5"/>
  </r>
  <r>
    <x v="1"/>
    <x v="3"/>
    <x v="6"/>
    <x v="5"/>
    <n v="847.1"/>
  </r>
  <r>
    <x v="2"/>
    <x v="3"/>
    <x v="6"/>
    <x v="0"/>
    <n v="1783.5"/>
  </r>
  <r>
    <x v="2"/>
    <x v="3"/>
    <x v="6"/>
    <x v="1"/>
    <n v="139.30000000000001"/>
  </r>
  <r>
    <x v="2"/>
    <x v="3"/>
    <x v="6"/>
    <x v="2"/>
    <n v="393.8"/>
  </r>
  <r>
    <x v="2"/>
    <x v="3"/>
    <x v="6"/>
    <x v="3"/>
    <n v="126.4"/>
  </r>
  <r>
    <x v="2"/>
    <x v="3"/>
    <x v="6"/>
    <x v="4"/>
    <n v="123.4"/>
  </r>
  <r>
    <x v="2"/>
    <x v="3"/>
    <x v="6"/>
    <x v="5"/>
    <n v="860.9"/>
  </r>
  <r>
    <x v="0"/>
    <x v="3"/>
    <x v="7"/>
    <x v="0"/>
    <n v="1777.4999999999998"/>
  </r>
  <r>
    <x v="0"/>
    <x v="3"/>
    <x v="7"/>
    <x v="1"/>
    <n v="138.9"/>
  </r>
  <r>
    <x v="0"/>
    <x v="3"/>
    <x v="7"/>
    <x v="2"/>
    <n v="407.9"/>
  </r>
  <r>
    <x v="0"/>
    <x v="3"/>
    <x v="7"/>
    <x v="3"/>
    <n v="127.6"/>
  </r>
  <r>
    <x v="0"/>
    <x v="3"/>
    <x v="7"/>
    <x v="4"/>
    <n v="129.1"/>
  </r>
  <r>
    <x v="0"/>
    <x v="3"/>
    <x v="7"/>
    <x v="5"/>
    <n v="877.2"/>
  </r>
  <r>
    <x v="1"/>
    <x v="3"/>
    <x v="7"/>
    <x v="0"/>
    <n v="1783.9999999999995"/>
  </r>
  <r>
    <x v="1"/>
    <x v="3"/>
    <x v="7"/>
    <x v="1"/>
    <n v="143.6"/>
  </r>
  <r>
    <x v="1"/>
    <x v="3"/>
    <x v="7"/>
    <x v="2"/>
    <n v="377"/>
  </r>
  <r>
    <x v="1"/>
    <x v="3"/>
    <x v="7"/>
    <x v="3"/>
    <n v="127.3"/>
  </r>
  <r>
    <x v="1"/>
    <x v="3"/>
    <x v="7"/>
    <x v="4"/>
    <n v="114.7"/>
  </r>
  <r>
    <x v="1"/>
    <x v="3"/>
    <x v="7"/>
    <x v="5"/>
    <n v="848.4"/>
  </r>
  <r>
    <x v="2"/>
    <x v="3"/>
    <x v="7"/>
    <x v="0"/>
    <n v="1777.9"/>
  </r>
  <r>
    <x v="2"/>
    <x v="3"/>
    <x v="7"/>
    <x v="1"/>
    <n v="140.19999999999999"/>
  </r>
  <r>
    <x v="2"/>
    <x v="3"/>
    <x v="7"/>
    <x v="2"/>
    <n v="395.49999999999994"/>
  </r>
  <r>
    <x v="2"/>
    <x v="3"/>
    <x v="7"/>
    <x v="3"/>
    <n v="127.3"/>
  </r>
  <r>
    <x v="2"/>
    <x v="3"/>
    <x v="7"/>
    <x v="4"/>
    <n v="123.6"/>
  </r>
  <r>
    <x v="2"/>
    <x v="3"/>
    <x v="7"/>
    <x v="5"/>
    <n v="863.3"/>
  </r>
  <r>
    <x v="0"/>
    <x v="3"/>
    <x v="8"/>
    <x v="0"/>
    <n v="1770.7"/>
  </r>
  <r>
    <x v="0"/>
    <x v="3"/>
    <x v="8"/>
    <x v="1"/>
    <n v="139.9"/>
  </r>
  <r>
    <x v="0"/>
    <x v="3"/>
    <x v="8"/>
    <x v="2"/>
    <n v="409.8"/>
  </r>
  <r>
    <x v="0"/>
    <x v="3"/>
    <x v="8"/>
    <x v="3"/>
    <n v="128.30000000000001"/>
  </r>
  <r>
    <x v="0"/>
    <x v="3"/>
    <x v="8"/>
    <x v="4"/>
    <n v="129.69999999999999"/>
  </r>
  <r>
    <x v="0"/>
    <x v="3"/>
    <x v="8"/>
    <x v="5"/>
    <n v="881.49999999999989"/>
  </r>
  <r>
    <x v="1"/>
    <x v="3"/>
    <x v="8"/>
    <x v="0"/>
    <n v="1756.3999999999996"/>
  </r>
  <r>
    <x v="1"/>
    <x v="3"/>
    <x v="8"/>
    <x v="1"/>
    <n v="143.9"/>
  </r>
  <r>
    <x v="1"/>
    <x v="3"/>
    <x v="8"/>
    <x v="2"/>
    <n v="378"/>
  </r>
  <r>
    <x v="1"/>
    <x v="3"/>
    <x v="8"/>
    <x v="3"/>
    <n v="127.9"/>
  </r>
  <r>
    <x v="1"/>
    <x v="3"/>
    <x v="8"/>
    <x v="4"/>
    <n v="114.8"/>
  </r>
  <r>
    <x v="1"/>
    <x v="3"/>
    <x v="8"/>
    <x v="5"/>
    <n v="851.6"/>
  </r>
  <r>
    <x v="2"/>
    <x v="3"/>
    <x v="8"/>
    <x v="0"/>
    <n v="1763.6999999999998"/>
  </r>
  <r>
    <x v="2"/>
    <x v="3"/>
    <x v="8"/>
    <x v="1"/>
    <n v="141"/>
  </r>
  <r>
    <x v="2"/>
    <x v="3"/>
    <x v="8"/>
    <x v="2"/>
    <n v="397"/>
  </r>
  <r>
    <x v="2"/>
    <x v="3"/>
    <x v="8"/>
    <x v="3"/>
    <n v="127.9"/>
  </r>
  <r>
    <x v="2"/>
    <x v="3"/>
    <x v="8"/>
    <x v="4"/>
    <n v="124.1"/>
  </r>
  <r>
    <x v="2"/>
    <x v="3"/>
    <x v="8"/>
    <x v="5"/>
    <n v="867.19999999999993"/>
  </r>
  <r>
    <x v="0"/>
    <x v="3"/>
    <x v="9"/>
    <x v="0"/>
    <n v="1771.8000000000002"/>
  </r>
  <r>
    <x v="0"/>
    <x v="3"/>
    <x v="9"/>
    <x v="1"/>
    <n v="140.9"/>
  </r>
  <r>
    <x v="0"/>
    <x v="3"/>
    <x v="9"/>
    <x v="2"/>
    <n v="412.7"/>
  </r>
  <r>
    <x v="0"/>
    <x v="3"/>
    <x v="9"/>
    <x v="3"/>
    <n v="128.9"/>
  </r>
  <r>
    <x v="0"/>
    <x v="3"/>
    <x v="9"/>
    <x v="4"/>
    <n v="129.80000000000001"/>
  </r>
  <r>
    <x v="0"/>
    <x v="3"/>
    <x v="9"/>
    <x v="5"/>
    <n v="886.5"/>
  </r>
  <r>
    <x v="1"/>
    <x v="3"/>
    <x v="9"/>
    <x v="0"/>
    <n v="1762.8999999999999"/>
  </r>
  <r>
    <x v="1"/>
    <x v="3"/>
    <x v="9"/>
    <x v="1"/>
    <n v="144.30000000000001"/>
  </r>
  <r>
    <x v="1"/>
    <x v="3"/>
    <x v="9"/>
    <x v="2"/>
    <n v="379"/>
  </r>
  <r>
    <x v="1"/>
    <x v="3"/>
    <x v="9"/>
    <x v="3"/>
    <n v="128.69999999999999"/>
  </r>
  <r>
    <x v="1"/>
    <x v="3"/>
    <x v="9"/>
    <x v="4"/>
    <n v="115.2"/>
  </r>
  <r>
    <x v="1"/>
    <x v="3"/>
    <x v="9"/>
    <x v="5"/>
    <n v="853.9"/>
  </r>
  <r>
    <x v="2"/>
    <x v="3"/>
    <x v="9"/>
    <x v="0"/>
    <n v="1766.7999999999995"/>
  </r>
  <r>
    <x v="2"/>
    <x v="3"/>
    <x v="9"/>
    <x v="1"/>
    <n v="141.80000000000001"/>
  </r>
  <r>
    <x v="2"/>
    <x v="3"/>
    <x v="9"/>
    <x v="2"/>
    <n v="399.1"/>
  </r>
  <r>
    <x v="2"/>
    <x v="3"/>
    <x v="9"/>
    <x v="3"/>
    <n v="128.69999999999999"/>
  </r>
  <r>
    <x v="2"/>
    <x v="3"/>
    <x v="9"/>
    <x v="4"/>
    <n v="124.3"/>
  </r>
  <r>
    <x v="2"/>
    <x v="3"/>
    <x v="9"/>
    <x v="5"/>
    <n v="871.1"/>
  </r>
  <r>
    <x v="0"/>
    <x v="3"/>
    <x v="11"/>
    <x v="0"/>
    <n v="1764.6"/>
  </r>
  <r>
    <x v="0"/>
    <x v="3"/>
    <x v="11"/>
    <x v="1"/>
    <n v="141.19999999999999"/>
  </r>
  <r>
    <x v="0"/>
    <x v="3"/>
    <x v="11"/>
    <x v="2"/>
    <n v="413.59999999999997"/>
  </r>
  <r>
    <x v="0"/>
    <x v="3"/>
    <x v="11"/>
    <x v="3"/>
    <n v="128.80000000000001"/>
  </r>
  <r>
    <x v="0"/>
    <x v="3"/>
    <x v="11"/>
    <x v="4"/>
    <n v="130.30000000000001"/>
  </r>
  <r>
    <x v="0"/>
    <x v="3"/>
    <x v="11"/>
    <x v="5"/>
    <n v="889.6"/>
  </r>
  <r>
    <x v="1"/>
    <x v="3"/>
    <x v="11"/>
    <x v="0"/>
    <n v="1755.2"/>
  </r>
  <r>
    <x v="1"/>
    <x v="3"/>
    <x v="11"/>
    <x v="1"/>
    <n v="144.30000000000001"/>
  </r>
  <r>
    <x v="1"/>
    <x v="3"/>
    <x v="11"/>
    <x v="2"/>
    <n v="380.2"/>
  </r>
  <r>
    <x v="1"/>
    <x v="3"/>
    <x v="11"/>
    <x v="3"/>
    <n v="129.1"/>
  </r>
  <r>
    <x v="1"/>
    <x v="3"/>
    <x v="11"/>
    <x v="4"/>
    <n v="116.2"/>
  </r>
  <r>
    <x v="1"/>
    <x v="3"/>
    <x v="11"/>
    <x v="5"/>
    <n v="856.59999999999991"/>
  </r>
  <r>
    <x v="2"/>
    <x v="3"/>
    <x v="11"/>
    <x v="0"/>
    <n v="1759.8"/>
  </r>
  <r>
    <x v="2"/>
    <x v="3"/>
    <x v="11"/>
    <x v="1"/>
    <n v="142"/>
  </r>
  <r>
    <x v="2"/>
    <x v="3"/>
    <x v="11"/>
    <x v="2"/>
    <n v="400.1"/>
  </r>
  <r>
    <x v="2"/>
    <x v="3"/>
    <x v="11"/>
    <x v="3"/>
    <n v="129.1"/>
  </r>
  <r>
    <x v="2"/>
    <x v="3"/>
    <x v="11"/>
    <x v="4"/>
    <n v="125"/>
  </r>
  <r>
    <x v="2"/>
    <x v="3"/>
    <x v="11"/>
    <x v="5"/>
    <n v="873.9"/>
  </r>
  <r>
    <x v="0"/>
    <x v="3"/>
    <x v="12"/>
    <x v="0"/>
    <n v="1749.1"/>
  </r>
  <r>
    <x v="0"/>
    <x v="3"/>
    <x v="12"/>
    <x v="1"/>
    <n v="142.4"/>
  </r>
  <r>
    <x v="0"/>
    <x v="3"/>
    <x v="12"/>
    <x v="2"/>
    <n v="415.3"/>
  </r>
  <r>
    <x v="0"/>
    <x v="3"/>
    <x v="12"/>
    <x v="3"/>
    <n v="129.1"/>
  </r>
  <r>
    <x v="0"/>
    <x v="3"/>
    <x v="12"/>
    <x v="4"/>
    <n v="132"/>
  </r>
  <r>
    <x v="0"/>
    <x v="3"/>
    <x v="12"/>
    <x v="5"/>
    <n v="890.9"/>
  </r>
  <r>
    <x v="1"/>
    <x v="3"/>
    <x v="12"/>
    <x v="0"/>
    <n v="1729.8"/>
  </r>
  <r>
    <x v="1"/>
    <x v="3"/>
    <x v="12"/>
    <x v="1"/>
    <n v="145"/>
  </r>
  <r>
    <x v="1"/>
    <x v="3"/>
    <x v="12"/>
    <x v="2"/>
    <n v="381"/>
  </r>
  <r>
    <x v="1"/>
    <x v="3"/>
    <x v="12"/>
    <x v="3"/>
    <n v="128.5"/>
  </r>
  <r>
    <x v="1"/>
    <x v="3"/>
    <x v="12"/>
    <x v="4"/>
    <n v="117.8"/>
  </r>
  <r>
    <x v="1"/>
    <x v="3"/>
    <x v="12"/>
    <x v="5"/>
    <n v="856.4"/>
  </r>
  <r>
    <x v="2"/>
    <x v="3"/>
    <x v="12"/>
    <x v="0"/>
    <n v="1740.7"/>
  </r>
  <r>
    <x v="2"/>
    <x v="3"/>
    <x v="12"/>
    <x v="1"/>
    <n v="143.1"/>
  </r>
  <r>
    <x v="2"/>
    <x v="3"/>
    <x v="12"/>
    <x v="2"/>
    <n v="401.5"/>
  </r>
  <r>
    <x v="2"/>
    <x v="3"/>
    <x v="12"/>
    <x v="3"/>
    <n v="128.5"/>
  </r>
  <r>
    <x v="2"/>
    <x v="3"/>
    <x v="12"/>
    <x v="4"/>
    <n v="126.6"/>
  </r>
  <r>
    <x v="2"/>
    <x v="3"/>
    <x v="12"/>
    <x v="5"/>
    <n v="874.4"/>
  </r>
  <r>
    <x v="0"/>
    <x v="4"/>
    <x v="0"/>
    <x v="0"/>
    <n v="1737.3000000000002"/>
  </r>
  <r>
    <x v="0"/>
    <x v="4"/>
    <x v="0"/>
    <x v="1"/>
    <n v="143.1"/>
  </r>
  <r>
    <x v="0"/>
    <x v="4"/>
    <x v="0"/>
    <x v="2"/>
    <n v="416.5"/>
  </r>
  <r>
    <x v="0"/>
    <x v="4"/>
    <x v="0"/>
    <x v="3"/>
    <n v="130.1"/>
  </r>
  <r>
    <x v="0"/>
    <x v="4"/>
    <x v="0"/>
    <x v="4"/>
    <n v="132.1"/>
  </r>
  <r>
    <x v="0"/>
    <x v="4"/>
    <x v="0"/>
    <x v="5"/>
    <n v="892.7"/>
  </r>
  <r>
    <x v="1"/>
    <x v="4"/>
    <x v="0"/>
    <x v="0"/>
    <n v="1713.2"/>
  </r>
  <r>
    <x v="1"/>
    <x v="4"/>
    <x v="0"/>
    <x v="1"/>
    <n v="145.6"/>
  </r>
  <r>
    <x v="1"/>
    <x v="4"/>
    <x v="0"/>
    <x v="2"/>
    <n v="381.5"/>
  </r>
  <r>
    <x v="1"/>
    <x v="4"/>
    <x v="0"/>
    <x v="3"/>
    <n v="129.6"/>
  </r>
  <r>
    <x v="1"/>
    <x v="4"/>
    <x v="0"/>
    <x v="4"/>
    <n v="118"/>
  </r>
  <r>
    <x v="1"/>
    <x v="4"/>
    <x v="0"/>
    <x v="5"/>
    <n v="860.3"/>
  </r>
  <r>
    <x v="2"/>
    <x v="4"/>
    <x v="0"/>
    <x v="0"/>
    <n v="1727.2999999999995"/>
  </r>
  <r>
    <x v="2"/>
    <x v="4"/>
    <x v="0"/>
    <x v="1"/>
    <n v="143.80000000000001"/>
  </r>
  <r>
    <x v="2"/>
    <x v="4"/>
    <x v="0"/>
    <x v="2"/>
    <n v="402.4"/>
  </r>
  <r>
    <x v="2"/>
    <x v="4"/>
    <x v="0"/>
    <x v="3"/>
    <n v="129.6"/>
  </r>
  <r>
    <x v="2"/>
    <x v="4"/>
    <x v="0"/>
    <x v="4"/>
    <n v="126.8"/>
  </r>
  <r>
    <x v="2"/>
    <x v="4"/>
    <x v="0"/>
    <x v="5"/>
    <n v="877.1"/>
  </r>
  <r>
    <x v="0"/>
    <x v="4"/>
    <x v="1"/>
    <x v="0"/>
    <n v="1734.5000000000002"/>
  </r>
  <r>
    <x v="0"/>
    <x v="4"/>
    <x v="1"/>
    <x v="1"/>
    <n v="143.69999999999999"/>
  </r>
  <r>
    <x v="0"/>
    <x v="4"/>
    <x v="1"/>
    <x v="2"/>
    <n v="416.90000000000003"/>
  </r>
  <r>
    <x v="0"/>
    <x v="4"/>
    <x v="1"/>
    <x v="3"/>
    <n v="130.80000000000001"/>
  </r>
  <r>
    <x v="0"/>
    <x v="4"/>
    <x v="1"/>
    <x v="4"/>
    <n v="133.19999999999999"/>
  </r>
  <r>
    <x v="0"/>
    <x v="4"/>
    <x v="1"/>
    <x v="5"/>
    <n v="896"/>
  </r>
  <r>
    <x v="1"/>
    <x v="4"/>
    <x v="1"/>
    <x v="0"/>
    <n v="1705.3000000000002"/>
  </r>
  <r>
    <x v="1"/>
    <x v="4"/>
    <x v="1"/>
    <x v="1"/>
    <n v="146.30000000000001"/>
  </r>
  <r>
    <x v="1"/>
    <x v="4"/>
    <x v="1"/>
    <x v="2"/>
    <n v="382.3"/>
  </r>
  <r>
    <x v="1"/>
    <x v="4"/>
    <x v="1"/>
    <x v="3"/>
    <n v="130.5"/>
  </r>
  <r>
    <x v="1"/>
    <x v="4"/>
    <x v="1"/>
    <x v="4"/>
    <n v="119.2"/>
  </r>
  <r>
    <x v="1"/>
    <x v="4"/>
    <x v="1"/>
    <x v="5"/>
    <n v="862.4"/>
  </r>
  <r>
    <x v="2"/>
    <x v="4"/>
    <x v="1"/>
    <x v="0"/>
    <n v="1722.3000000000002"/>
  </r>
  <r>
    <x v="2"/>
    <x v="4"/>
    <x v="1"/>
    <x v="1"/>
    <n v="144.4"/>
  </r>
  <r>
    <x v="2"/>
    <x v="4"/>
    <x v="1"/>
    <x v="2"/>
    <n v="403"/>
  </r>
  <r>
    <x v="2"/>
    <x v="4"/>
    <x v="1"/>
    <x v="3"/>
    <n v="130.5"/>
  </r>
  <r>
    <x v="2"/>
    <x v="4"/>
    <x v="1"/>
    <x v="4"/>
    <n v="127.9"/>
  </r>
  <r>
    <x v="2"/>
    <x v="4"/>
    <x v="1"/>
    <x v="5"/>
    <n v="879.9"/>
  </r>
  <r>
    <x v="0"/>
    <x v="4"/>
    <x v="2"/>
    <x v="0"/>
    <n v="1728.5000000000002"/>
  </r>
  <r>
    <x v="0"/>
    <x v="4"/>
    <x v="2"/>
    <x v="1"/>
    <n v="144.19999999999999"/>
  </r>
  <r>
    <x v="0"/>
    <x v="4"/>
    <x v="2"/>
    <x v="2"/>
    <n v="418.59999999999997"/>
  </r>
  <r>
    <x v="0"/>
    <x v="4"/>
    <x v="2"/>
    <x v="3"/>
    <n v="131.4"/>
  </r>
  <r>
    <x v="0"/>
    <x v="4"/>
    <x v="2"/>
    <x v="4"/>
    <n v="134.19999999999999"/>
  </r>
  <r>
    <x v="0"/>
    <x v="4"/>
    <x v="2"/>
    <x v="5"/>
    <n v="898.69999999999993"/>
  </r>
  <r>
    <x v="1"/>
    <x v="4"/>
    <x v="2"/>
    <x v="0"/>
    <n v="1705.6999999999998"/>
  </r>
  <r>
    <x v="1"/>
    <x v="4"/>
    <x v="2"/>
    <x v="1"/>
    <n v="147.5"/>
  </r>
  <r>
    <x v="1"/>
    <x v="4"/>
    <x v="2"/>
    <x v="2"/>
    <n v="383.20000000000005"/>
  </r>
  <r>
    <x v="1"/>
    <x v="4"/>
    <x v="2"/>
    <x v="3"/>
    <n v="131.1"/>
  </r>
  <r>
    <x v="1"/>
    <x v="4"/>
    <x v="2"/>
    <x v="4"/>
    <n v="120.8"/>
  </r>
  <r>
    <x v="1"/>
    <x v="4"/>
    <x v="2"/>
    <x v="5"/>
    <n v="863.80000000000007"/>
  </r>
  <r>
    <x v="2"/>
    <x v="4"/>
    <x v="2"/>
    <x v="0"/>
    <n v="1718.9"/>
  </r>
  <r>
    <x v="2"/>
    <x v="4"/>
    <x v="2"/>
    <x v="1"/>
    <n v="145.1"/>
  </r>
  <r>
    <x v="2"/>
    <x v="4"/>
    <x v="2"/>
    <x v="2"/>
    <n v="404.29999999999995"/>
  </r>
  <r>
    <x v="2"/>
    <x v="4"/>
    <x v="2"/>
    <x v="3"/>
    <n v="131.1"/>
  </r>
  <r>
    <x v="2"/>
    <x v="4"/>
    <x v="2"/>
    <x v="4"/>
    <n v="129.1"/>
  </r>
  <r>
    <x v="2"/>
    <x v="4"/>
    <x v="2"/>
    <x v="5"/>
    <n v="882"/>
  </r>
  <r>
    <x v="0"/>
    <x v="4"/>
    <x v="3"/>
    <x v="0"/>
    <n v="1726.3"/>
  </r>
  <r>
    <x v="0"/>
    <x v="4"/>
    <x v="3"/>
    <x v="1"/>
    <n v="144.4"/>
  </r>
  <r>
    <x v="0"/>
    <x v="4"/>
    <x v="3"/>
    <x v="2"/>
    <n v="420.80000000000007"/>
  </r>
  <r>
    <x v="0"/>
    <x v="4"/>
    <x v="3"/>
    <x v="3"/>
    <n v="131.9"/>
  </r>
  <r>
    <x v="0"/>
    <x v="4"/>
    <x v="3"/>
    <x v="4"/>
    <n v="135"/>
  </r>
  <r>
    <x v="0"/>
    <x v="4"/>
    <x v="3"/>
    <x v="5"/>
    <n v="899.7"/>
  </r>
  <r>
    <x v="1"/>
    <x v="4"/>
    <x v="3"/>
    <x v="0"/>
    <n v="1708.1"/>
  </r>
  <r>
    <x v="1"/>
    <x v="4"/>
    <x v="3"/>
    <x v="1"/>
    <n v="148"/>
  </r>
  <r>
    <x v="1"/>
    <x v="4"/>
    <x v="3"/>
    <x v="2"/>
    <n v="384.2"/>
  </r>
  <r>
    <x v="1"/>
    <x v="4"/>
    <x v="3"/>
    <x v="3"/>
    <n v="131.69999999999999"/>
  </r>
  <r>
    <x v="1"/>
    <x v="4"/>
    <x v="3"/>
    <x v="4"/>
    <n v="121.4"/>
  </r>
  <r>
    <x v="1"/>
    <x v="4"/>
    <x v="3"/>
    <x v="5"/>
    <n v="864.6"/>
  </r>
  <r>
    <x v="2"/>
    <x v="4"/>
    <x v="3"/>
    <x v="0"/>
    <n v="1718.4"/>
  </r>
  <r>
    <x v="2"/>
    <x v="4"/>
    <x v="3"/>
    <x v="1"/>
    <n v="145.4"/>
  </r>
  <r>
    <x v="2"/>
    <x v="4"/>
    <x v="3"/>
    <x v="2"/>
    <n v="406.1"/>
  </r>
  <r>
    <x v="2"/>
    <x v="4"/>
    <x v="3"/>
    <x v="3"/>
    <n v="131.69999999999999"/>
  </r>
  <r>
    <x v="2"/>
    <x v="4"/>
    <x v="3"/>
    <x v="4"/>
    <n v="129.80000000000001"/>
  </r>
  <r>
    <x v="2"/>
    <x v="4"/>
    <x v="3"/>
    <x v="5"/>
    <n v="882.90000000000009"/>
  </r>
  <r>
    <x v="0"/>
    <x v="4"/>
    <x v="4"/>
    <x v="0"/>
    <n v="1727.4999999999995"/>
  </r>
  <r>
    <x v="0"/>
    <x v="4"/>
    <x v="4"/>
    <x v="1"/>
    <n v="145.5"/>
  </r>
  <r>
    <x v="0"/>
    <x v="4"/>
    <x v="4"/>
    <x v="2"/>
    <n v="421.6"/>
  </r>
  <r>
    <x v="0"/>
    <x v="4"/>
    <x v="4"/>
    <x v="3"/>
    <n v="131.80000000000001"/>
  </r>
  <r>
    <x v="0"/>
    <x v="4"/>
    <x v="4"/>
    <x v="4"/>
    <n v="135"/>
  </r>
  <r>
    <x v="0"/>
    <x v="4"/>
    <x v="4"/>
    <x v="5"/>
    <n v="903.00000000000011"/>
  </r>
  <r>
    <x v="1"/>
    <x v="4"/>
    <x v="4"/>
    <x v="0"/>
    <n v="1709.6"/>
  </r>
  <r>
    <x v="1"/>
    <x v="4"/>
    <x v="4"/>
    <x v="1"/>
    <n v="148.30000000000001"/>
  </r>
  <r>
    <x v="1"/>
    <x v="4"/>
    <x v="4"/>
    <x v="2"/>
    <n v="384.9"/>
  </r>
  <r>
    <x v="1"/>
    <x v="4"/>
    <x v="4"/>
    <x v="3"/>
    <n v="132.1"/>
  </r>
  <r>
    <x v="1"/>
    <x v="4"/>
    <x v="4"/>
    <x v="4"/>
    <n v="120.1"/>
  </r>
  <r>
    <x v="1"/>
    <x v="4"/>
    <x v="4"/>
    <x v="5"/>
    <n v="865.6"/>
  </r>
  <r>
    <x v="2"/>
    <x v="4"/>
    <x v="4"/>
    <x v="0"/>
    <n v="1719.6000000000001"/>
  </r>
  <r>
    <x v="2"/>
    <x v="4"/>
    <x v="4"/>
    <x v="1"/>
    <n v="146.19999999999999"/>
  </r>
  <r>
    <x v="2"/>
    <x v="4"/>
    <x v="4"/>
    <x v="2"/>
    <n v="406.8"/>
  </r>
  <r>
    <x v="2"/>
    <x v="4"/>
    <x v="4"/>
    <x v="3"/>
    <n v="132.1"/>
  </r>
  <r>
    <x v="2"/>
    <x v="4"/>
    <x v="4"/>
    <x v="4"/>
    <n v="129.4"/>
  </r>
  <r>
    <x v="2"/>
    <x v="4"/>
    <x v="4"/>
    <x v="5"/>
    <n v="884.8"/>
  </r>
  <r>
    <x v="0"/>
    <x v="4"/>
    <x v="5"/>
    <x v="0"/>
    <n v="1738.8000000000002"/>
  </r>
  <r>
    <x v="0"/>
    <x v="4"/>
    <x v="5"/>
    <x v="1"/>
    <n v="145.80000000000001"/>
  </r>
  <r>
    <x v="0"/>
    <x v="4"/>
    <x v="5"/>
    <x v="2"/>
    <n v="423.09999999999997"/>
  </r>
  <r>
    <x v="0"/>
    <x v="4"/>
    <x v="5"/>
    <x v="3"/>
    <n v="132"/>
  </r>
  <r>
    <x v="0"/>
    <x v="4"/>
    <x v="5"/>
    <x v="4"/>
    <n v="134.80000000000001"/>
  </r>
  <r>
    <x v="0"/>
    <x v="4"/>
    <x v="5"/>
    <x v="5"/>
    <n v="904.80000000000007"/>
  </r>
  <r>
    <x v="1"/>
    <x v="4"/>
    <x v="5"/>
    <x v="0"/>
    <n v="1731.0000000000002"/>
  </r>
  <r>
    <x v="1"/>
    <x v="4"/>
    <x v="5"/>
    <x v="1"/>
    <n v="148.6"/>
  </r>
  <r>
    <x v="1"/>
    <x v="4"/>
    <x v="5"/>
    <x v="2"/>
    <n v="384.9"/>
  </r>
  <r>
    <x v="1"/>
    <x v="4"/>
    <x v="5"/>
    <x v="3"/>
    <n v="131.4"/>
  </r>
  <r>
    <x v="1"/>
    <x v="4"/>
    <x v="5"/>
    <x v="4"/>
    <n v="119"/>
  </r>
  <r>
    <x v="1"/>
    <x v="4"/>
    <x v="5"/>
    <x v="5"/>
    <n v="866.90000000000009"/>
  </r>
  <r>
    <x v="2"/>
    <x v="4"/>
    <x v="5"/>
    <x v="0"/>
    <n v="1734.7"/>
  </r>
  <r>
    <x v="2"/>
    <x v="4"/>
    <x v="5"/>
    <x v="1"/>
    <n v="146.5"/>
  </r>
  <r>
    <x v="2"/>
    <x v="4"/>
    <x v="5"/>
    <x v="2"/>
    <n v="407.7"/>
  </r>
  <r>
    <x v="2"/>
    <x v="4"/>
    <x v="5"/>
    <x v="3"/>
    <n v="131.4"/>
  </r>
  <r>
    <x v="2"/>
    <x v="4"/>
    <x v="5"/>
    <x v="4"/>
    <n v="128.80000000000001"/>
  </r>
  <r>
    <x v="2"/>
    <x v="4"/>
    <x v="5"/>
    <x v="5"/>
    <n v="886.4"/>
  </r>
  <r>
    <x v="0"/>
    <x v="4"/>
    <x v="6"/>
    <x v="0"/>
    <n v="1772.9"/>
  </r>
  <r>
    <x v="0"/>
    <x v="4"/>
    <x v="6"/>
    <x v="1"/>
    <n v="147.4"/>
  </r>
  <r>
    <x v="0"/>
    <x v="4"/>
    <x v="6"/>
    <x v="2"/>
    <n v="425.9"/>
  </r>
  <r>
    <x v="0"/>
    <x v="4"/>
    <x v="6"/>
    <x v="3"/>
    <n v="133.5"/>
  </r>
  <r>
    <x v="0"/>
    <x v="4"/>
    <x v="6"/>
    <x v="4"/>
    <n v="135.30000000000001"/>
  </r>
  <r>
    <x v="0"/>
    <x v="4"/>
    <x v="6"/>
    <x v="5"/>
    <n v="909.5"/>
  </r>
  <r>
    <x v="1"/>
    <x v="4"/>
    <x v="6"/>
    <x v="0"/>
    <n v="1768.1"/>
  </r>
  <r>
    <x v="1"/>
    <x v="4"/>
    <x v="6"/>
    <x v="1"/>
    <n v="150.5"/>
  </r>
  <r>
    <x v="1"/>
    <x v="4"/>
    <x v="6"/>
    <x v="2"/>
    <n v="385.70000000000005"/>
  </r>
  <r>
    <x v="1"/>
    <x v="4"/>
    <x v="6"/>
    <x v="3"/>
    <n v="132.6"/>
  </r>
  <r>
    <x v="1"/>
    <x v="4"/>
    <x v="6"/>
    <x v="4"/>
    <n v="119.7"/>
  </r>
  <r>
    <x v="1"/>
    <x v="4"/>
    <x v="6"/>
    <x v="5"/>
    <n v="869.8"/>
  </r>
  <r>
    <x v="2"/>
    <x v="4"/>
    <x v="6"/>
    <x v="0"/>
    <n v="1769.3999999999999"/>
  </r>
  <r>
    <x v="2"/>
    <x v="4"/>
    <x v="6"/>
    <x v="1"/>
    <n v="148.19999999999999"/>
  </r>
  <r>
    <x v="2"/>
    <x v="4"/>
    <x v="6"/>
    <x v="2"/>
    <n v="409.7"/>
  </r>
  <r>
    <x v="2"/>
    <x v="4"/>
    <x v="6"/>
    <x v="3"/>
    <n v="132.6"/>
  </r>
  <r>
    <x v="2"/>
    <x v="4"/>
    <x v="6"/>
    <x v="4"/>
    <n v="129.4"/>
  </r>
  <r>
    <x v="2"/>
    <x v="4"/>
    <x v="6"/>
    <x v="5"/>
    <n v="890.2"/>
  </r>
  <r>
    <x v="0"/>
    <x v="4"/>
    <x v="7"/>
    <x v="0"/>
    <n v="1792.4999999999998"/>
  </r>
  <r>
    <x v="0"/>
    <x v="4"/>
    <x v="7"/>
    <x v="1"/>
    <n v="149"/>
  </r>
  <r>
    <x v="0"/>
    <x v="4"/>
    <x v="7"/>
    <x v="2"/>
    <n v="429"/>
  </r>
  <r>
    <x v="0"/>
    <x v="4"/>
    <x v="7"/>
    <x v="3"/>
    <n v="135.1"/>
  </r>
  <r>
    <x v="0"/>
    <x v="4"/>
    <x v="7"/>
    <x v="4"/>
    <n v="136.4"/>
  </r>
  <r>
    <x v="0"/>
    <x v="4"/>
    <x v="7"/>
    <x v="5"/>
    <n v="917.39999999999986"/>
  </r>
  <r>
    <x v="1"/>
    <x v="4"/>
    <x v="7"/>
    <x v="0"/>
    <n v="1772.9999999999998"/>
  </r>
  <r>
    <x v="1"/>
    <x v="4"/>
    <x v="7"/>
    <x v="1"/>
    <n v="152.1"/>
  </r>
  <r>
    <x v="1"/>
    <x v="4"/>
    <x v="7"/>
    <x v="2"/>
    <n v="388.4"/>
  </r>
  <r>
    <x v="1"/>
    <x v="4"/>
    <x v="7"/>
    <x v="3"/>
    <n v="134.4"/>
  </r>
  <r>
    <x v="1"/>
    <x v="4"/>
    <x v="7"/>
    <x v="4"/>
    <n v="118.9"/>
  </r>
  <r>
    <x v="1"/>
    <x v="4"/>
    <x v="7"/>
    <x v="5"/>
    <n v="874.89999999999986"/>
  </r>
  <r>
    <x v="2"/>
    <x v="4"/>
    <x v="7"/>
    <x v="0"/>
    <n v="1783.8"/>
  </r>
  <r>
    <x v="2"/>
    <x v="4"/>
    <x v="7"/>
    <x v="1"/>
    <n v="149.80000000000001"/>
  </r>
  <r>
    <x v="2"/>
    <x v="4"/>
    <x v="7"/>
    <x v="2"/>
    <n v="412.6"/>
  </r>
  <r>
    <x v="2"/>
    <x v="4"/>
    <x v="7"/>
    <x v="3"/>
    <n v="134.4"/>
  </r>
  <r>
    <x v="2"/>
    <x v="4"/>
    <x v="7"/>
    <x v="4"/>
    <n v="129.80000000000001"/>
  </r>
  <r>
    <x v="2"/>
    <x v="4"/>
    <x v="7"/>
    <x v="5"/>
    <n v="896.5"/>
  </r>
  <r>
    <x v="0"/>
    <x v="4"/>
    <x v="8"/>
    <x v="0"/>
    <n v="1784.3"/>
  </r>
  <r>
    <x v="0"/>
    <x v="4"/>
    <x v="8"/>
    <x v="1"/>
    <n v="149.80000000000001"/>
  </r>
  <r>
    <x v="0"/>
    <x v="4"/>
    <x v="8"/>
    <x v="2"/>
    <n v="430.99999999999994"/>
  </r>
  <r>
    <x v="0"/>
    <x v="4"/>
    <x v="8"/>
    <x v="3"/>
    <n v="136.5"/>
  </r>
  <r>
    <x v="0"/>
    <x v="4"/>
    <x v="8"/>
    <x v="4"/>
    <n v="137.4"/>
  </r>
  <r>
    <x v="0"/>
    <x v="4"/>
    <x v="8"/>
    <x v="5"/>
    <n v="921.40000000000009"/>
  </r>
  <r>
    <x v="1"/>
    <x v="4"/>
    <x v="8"/>
    <x v="0"/>
    <n v="1749.7"/>
  </r>
  <r>
    <x v="1"/>
    <x v="4"/>
    <x v="8"/>
    <x v="1"/>
    <n v="153.6"/>
  </r>
  <r>
    <x v="1"/>
    <x v="4"/>
    <x v="8"/>
    <x v="2"/>
    <n v="389.9"/>
  </r>
  <r>
    <x v="1"/>
    <x v="4"/>
    <x v="8"/>
    <x v="3"/>
    <n v="135.69999999999999"/>
  </r>
  <r>
    <x v="1"/>
    <x v="4"/>
    <x v="8"/>
    <x v="4"/>
    <n v="120.6"/>
  </r>
  <r>
    <x v="1"/>
    <x v="4"/>
    <x v="8"/>
    <x v="5"/>
    <n v="879.19999999999993"/>
  </r>
  <r>
    <x v="2"/>
    <x v="4"/>
    <x v="8"/>
    <x v="0"/>
    <n v="1769.9999999999998"/>
  </r>
  <r>
    <x v="2"/>
    <x v="4"/>
    <x v="8"/>
    <x v="1"/>
    <n v="150.80000000000001"/>
  </r>
  <r>
    <x v="2"/>
    <x v="4"/>
    <x v="8"/>
    <x v="2"/>
    <n v="414.5"/>
  </r>
  <r>
    <x v="2"/>
    <x v="4"/>
    <x v="8"/>
    <x v="3"/>
    <n v="135.69999999999999"/>
  </r>
  <r>
    <x v="2"/>
    <x v="4"/>
    <x v="8"/>
    <x v="4"/>
    <n v="131"/>
  </r>
  <r>
    <x v="2"/>
    <x v="4"/>
    <x v="8"/>
    <x v="5"/>
    <n v="900.7"/>
  </r>
  <r>
    <x v="0"/>
    <x v="4"/>
    <x v="9"/>
    <x v="0"/>
    <n v="1790.8999999999999"/>
  </r>
  <r>
    <x v="0"/>
    <x v="4"/>
    <x v="9"/>
    <x v="1"/>
    <n v="150.5"/>
  </r>
  <r>
    <x v="0"/>
    <x v="4"/>
    <x v="9"/>
    <x v="2"/>
    <n v="433.99999999999994"/>
  </r>
  <r>
    <x v="0"/>
    <x v="4"/>
    <x v="9"/>
    <x v="3"/>
    <n v="138"/>
  </r>
  <r>
    <x v="0"/>
    <x v="4"/>
    <x v="9"/>
    <x v="4"/>
    <n v="138.1"/>
  </r>
  <r>
    <x v="0"/>
    <x v="4"/>
    <x v="9"/>
    <x v="5"/>
    <n v="924.8"/>
  </r>
  <r>
    <x v="1"/>
    <x v="4"/>
    <x v="9"/>
    <x v="0"/>
    <n v="1765.6999999999998"/>
  </r>
  <r>
    <x v="1"/>
    <x v="4"/>
    <x v="9"/>
    <x v="1"/>
    <n v="154.6"/>
  </r>
  <r>
    <x v="1"/>
    <x v="4"/>
    <x v="9"/>
    <x v="2"/>
    <n v="391.5"/>
  </r>
  <r>
    <x v="1"/>
    <x v="4"/>
    <x v="9"/>
    <x v="3"/>
    <n v="137.30000000000001"/>
  </r>
  <r>
    <x v="1"/>
    <x v="4"/>
    <x v="9"/>
    <x v="4"/>
    <n v="122.6"/>
  </r>
  <r>
    <x v="1"/>
    <x v="4"/>
    <x v="9"/>
    <x v="5"/>
    <n v="880.1"/>
  </r>
  <r>
    <x v="2"/>
    <x v="4"/>
    <x v="9"/>
    <x v="0"/>
    <n v="1779.6999999999998"/>
  </r>
  <r>
    <x v="2"/>
    <x v="4"/>
    <x v="9"/>
    <x v="1"/>
    <n v="151.6"/>
  </r>
  <r>
    <x v="2"/>
    <x v="4"/>
    <x v="9"/>
    <x v="2"/>
    <n v="416.90000000000003"/>
  </r>
  <r>
    <x v="2"/>
    <x v="4"/>
    <x v="9"/>
    <x v="3"/>
    <n v="137.30000000000001"/>
  </r>
  <r>
    <x v="2"/>
    <x v="4"/>
    <x v="9"/>
    <x v="4"/>
    <n v="132.19999999999999"/>
  </r>
  <r>
    <x v="2"/>
    <x v="4"/>
    <x v="9"/>
    <x v="5"/>
    <n v="902.90000000000009"/>
  </r>
  <r>
    <x v="0"/>
    <x v="4"/>
    <x v="11"/>
    <x v="0"/>
    <n v="1817.7000000000003"/>
  </r>
  <r>
    <x v="0"/>
    <x v="4"/>
    <x v="11"/>
    <x v="1"/>
    <n v="152.1"/>
  </r>
  <r>
    <x v="0"/>
    <x v="4"/>
    <x v="11"/>
    <x v="2"/>
    <n v="437"/>
  </r>
  <r>
    <x v="0"/>
    <x v="4"/>
    <x v="11"/>
    <x v="3"/>
    <n v="138.9"/>
  </r>
  <r>
    <x v="0"/>
    <x v="4"/>
    <x v="11"/>
    <x v="4"/>
    <n v="141.1"/>
  </r>
  <r>
    <x v="0"/>
    <x v="4"/>
    <x v="11"/>
    <x v="5"/>
    <n v="931.8"/>
  </r>
  <r>
    <x v="1"/>
    <x v="4"/>
    <x v="11"/>
    <x v="0"/>
    <n v="1796.7"/>
  </r>
  <r>
    <x v="1"/>
    <x v="4"/>
    <x v="11"/>
    <x v="1"/>
    <n v="156.19999999999999"/>
  </r>
  <r>
    <x v="1"/>
    <x v="4"/>
    <x v="11"/>
    <x v="2"/>
    <n v="393.9"/>
  </r>
  <r>
    <x v="1"/>
    <x v="4"/>
    <x v="11"/>
    <x v="3"/>
    <n v="138.6"/>
  </r>
  <r>
    <x v="1"/>
    <x v="4"/>
    <x v="11"/>
    <x v="4"/>
    <n v="125.7"/>
  </r>
  <r>
    <x v="1"/>
    <x v="4"/>
    <x v="11"/>
    <x v="5"/>
    <n v="883"/>
  </r>
  <r>
    <x v="2"/>
    <x v="4"/>
    <x v="11"/>
    <x v="0"/>
    <n v="1808.2"/>
  </r>
  <r>
    <x v="2"/>
    <x v="4"/>
    <x v="11"/>
    <x v="1"/>
    <n v="153.19999999999999"/>
  </r>
  <r>
    <x v="2"/>
    <x v="4"/>
    <x v="11"/>
    <x v="2"/>
    <n v="419.6"/>
  </r>
  <r>
    <x v="2"/>
    <x v="4"/>
    <x v="11"/>
    <x v="3"/>
    <n v="138.6"/>
  </r>
  <r>
    <x v="2"/>
    <x v="4"/>
    <x v="11"/>
    <x v="4"/>
    <n v="135.30000000000001"/>
  </r>
  <r>
    <x v="2"/>
    <x v="4"/>
    <x v="11"/>
    <x v="5"/>
    <n v="908"/>
  </r>
  <r>
    <x v="0"/>
    <x v="4"/>
    <x v="12"/>
    <x v="0"/>
    <n v="1813.6000000000001"/>
  </r>
  <r>
    <x v="0"/>
    <x v="4"/>
    <x v="12"/>
    <x v="1"/>
    <n v="153.19999999999999"/>
  </r>
  <r>
    <x v="0"/>
    <x v="4"/>
    <x v="12"/>
    <x v="2"/>
    <n v="437.09999999999997"/>
  </r>
  <r>
    <x v="0"/>
    <x v="4"/>
    <x v="12"/>
    <x v="3"/>
    <n v="139.80000000000001"/>
  </r>
  <r>
    <x v="0"/>
    <x v="4"/>
    <x v="12"/>
    <x v="4"/>
    <n v="142.6"/>
  </r>
  <r>
    <x v="0"/>
    <x v="4"/>
    <x v="12"/>
    <x v="5"/>
    <n v="931.8"/>
  </r>
  <r>
    <x v="1"/>
    <x v="4"/>
    <x v="12"/>
    <x v="0"/>
    <n v="1767.5"/>
  </r>
  <r>
    <x v="1"/>
    <x v="4"/>
    <x v="12"/>
    <x v="1"/>
    <n v="157"/>
  </r>
  <r>
    <x v="1"/>
    <x v="4"/>
    <x v="12"/>
    <x v="2"/>
    <n v="395.2"/>
  </r>
  <r>
    <x v="1"/>
    <x v="4"/>
    <x v="12"/>
    <x v="3"/>
    <n v="139.1"/>
  </r>
  <r>
    <x v="1"/>
    <x v="4"/>
    <x v="12"/>
    <x v="4"/>
    <n v="126.8"/>
  </r>
  <r>
    <x v="1"/>
    <x v="4"/>
    <x v="12"/>
    <x v="5"/>
    <n v="884.8"/>
  </r>
  <r>
    <x v="2"/>
    <x v="4"/>
    <x v="12"/>
    <x v="0"/>
    <n v="1794.9999999999998"/>
  </r>
  <r>
    <x v="2"/>
    <x v="4"/>
    <x v="12"/>
    <x v="1"/>
    <n v="154.19999999999999"/>
  </r>
  <r>
    <x v="2"/>
    <x v="4"/>
    <x v="12"/>
    <x v="2"/>
    <n v="420.2"/>
  </r>
  <r>
    <x v="2"/>
    <x v="4"/>
    <x v="12"/>
    <x v="3"/>
    <n v="139.1"/>
  </r>
  <r>
    <x v="2"/>
    <x v="4"/>
    <x v="12"/>
    <x v="4"/>
    <n v="136.6"/>
  </r>
  <r>
    <x v="2"/>
    <x v="4"/>
    <x v="12"/>
    <x v="5"/>
    <n v="908.9"/>
  </r>
  <r>
    <x v="0"/>
    <x v="5"/>
    <x v="0"/>
    <x v="0"/>
    <n v="1800.7"/>
  </r>
  <r>
    <x v="0"/>
    <x v="5"/>
    <x v="0"/>
    <x v="1"/>
    <n v="153.6"/>
  </r>
  <r>
    <x v="0"/>
    <x v="5"/>
    <x v="0"/>
    <x v="2"/>
    <n v="438.1"/>
  </r>
  <r>
    <x v="0"/>
    <x v="5"/>
    <x v="0"/>
    <x v="3"/>
    <n v="140.9"/>
  </r>
  <r>
    <x v="0"/>
    <x v="5"/>
    <x v="0"/>
    <x v="4"/>
    <n v="142.30000000000001"/>
  </r>
  <r>
    <x v="0"/>
    <x v="5"/>
    <x v="0"/>
    <x v="5"/>
    <n v="935.3"/>
  </r>
  <r>
    <x v="1"/>
    <x v="5"/>
    <x v="0"/>
    <x v="0"/>
    <n v="1748.3000000000002"/>
  </r>
  <r>
    <x v="1"/>
    <x v="5"/>
    <x v="0"/>
    <x v="1"/>
    <n v="157.69999999999999"/>
  </r>
  <r>
    <x v="1"/>
    <x v="5"/>
    <x v="0"/>
    <x v="2"/>
    <n v="396.29999999999995"/>
  </r>
  <r>
    <x v="1"/>
    <x v="5"/>
    <x v="0"/>
    <x v="3"/>
    <n v="140.4"/>
  </r>
  <r>
    <x v="1"/>
    <x v="5"/>
    <x v="0"/>
    <x v="4"/>
    <n v="127.3"/>
  </r>
  <r>
    <x v="1"/>
    <x v="5"/>
    <x v="0"/>
    <x v="5"/>
    <n v="889.4"/>
  </r>
  <r>
    <x v="2"/>
    <x v="5"/>
    <x v="0"/>
    <x v="0"/>
    <n v="1779.9"/>
  </r>
  <r>
    <x v="2"/>
    <x v="5"/>
    <x v="0"/>
    <x v="1"/>
    <n v="154.69999999999999"/>
  </r>
  <r>
    <x v="2"/>
    <x v="5"/>
    <x v="0"/>
    <x v="2"/>
    <n v="421.3"/>
  </r>
  <r>
    <x v="2"/>
    <x v="5"/>
    <x v="0"/>
    <x v="3"/>
    <n v="140.4"/>
  </r>
  <r>
    <x v="2"/>
    <x v="5"/>
    <x v="0"/>
    <x v="4"/>
    <n v="136.6"/>
  </r>
  <r>
    <x v="2"/>
    <x v="5"/>
    <x v="0"/>
    <x v="5"/>
    <n v="912.6"/>
  </r>
  <r>
    <x v="0"/>
    <x v="5"/>
    <x v="1"/>
    <x v="0"/>
    <n v="1781.5"/>
  </r>
  <r>
    <x v="0"/>
    <x v="5"/>
    <x v="1"/>
    <x v="1"/>
    <n v="153.30000000000001"/>
  </r>
  <r>
    <x v="0"/>
    <x v="5"/>
    <x v="1"/>
    <x v="2"/>
    <n v="438.90000000000003"/>
  </r>
  <r>
    <x v="0"/>
    <x v="5"/>
    <x v="1"/>
    <x v="3"/>
    <n v="141.69999999999999"/>
  </r>
  <r>
    <x v="0"/>
    <x v="5"/>
    <x v="1"/>
    <x v="4"/>
    <n v="142.4"/>
  </r>
  <r>
    <x v="0"/>
    <x v="5"/>
    <x v="1"/>
    <x v="5"/>
    <n v="936.5"/>
  </r>
  <r>
    <x v="1"/>
    <x v="5"/>
    <x v="1"/>
    <x v="0"/>
    <n v="1727.9"/>
  </r>
  <r>
    <x v="1"/>
    <x v="5"/>
    <x v="1"/>
    <x v="1"/>
    <n v="159.30000000000001"/>
  </r>
  <r>
    <x v="1"/>
    <x v="5"/>
    <x v="1"/>
    <x v="2"/>
    <n v="397.09999999999997"/>
  </r>
  <r>
    <x v="1"/>
    <x v="5"/>
    <x v="1"/>
    <x v="3"/>
    <n v="141.30000000000001"/>
  </r>
  <r>
    <x v="1"/>
    <x v="5"/>
    <x v="1"/>
    <x v="4"/>
    <n v="127.3"/>
  </r>
  <r>
    <x v="1"/>
    <x v="5"/>
    <x v="1"/>
    <x v="5"/>
    <n v="893.5"/>
  </r>
  <r>
    <x v="2"/>
    <x v="5"/>
    <x v="1"/>
    <x v="0"/>
    <n v="1760.3999999999996"/>
  </r>
  <r>
    <x v="2"/>
    <x v="5"/>
    <x v="1"/>
    <x v="1"/>
    <n v="154.9"/>
  </r>
  <r>
    <x v="2"/>
    <x v="5"/>
    <x v="1"/>
    <x v="2"/>
    <n v="422"/>
  </r>
  <r>
    <x v="2"/>
    <x v="5"/>
    <x v="1"/>
    <x v="3"/>
    <n v="141.30000000000001"/>
  </r>
  <r>
    <x v="2"/>
    <x v="5"/>
    <x v="1"/>
    <x v="4"/>
    <n v="136.69999999999999"/>
  </r>
  <r>
    <x v="2"/>
    <x v="5"/>
    <x v="1"/>
    <x v="5"/>
    <n v="915.40000000000009"/>
  </r>
  <r>
    <x v="0"/>
    <x v="5"/>
    <x v="2"/>
    <x v="0"/>
    <n v="1781.9999999999998"/>
  </r>
  <r>
    <x v="0"/>
    <x v="5"/>
    <x v="2"/>
    <x v="1"/>
    <n v="155.1"/>
  </r>
  <r>
    <x v="0"/>
    <x v="5"/>
    <x v="2"/>
    <x v="2"/>
    <n v="440.5"/>
  </r>
  <r>
    <x v="0"/>
    <x v="5"/>
    <x v="2"/>
    <x v="3"/>
    <n v="142.5"/>
  </r>
  <r>
    <x v="0"/>
    <x v="5"/>
    <x v="2"/>
    <x v="4"/>
    <n v="142.6"/>
  </r>
  <r>
    <x v="0"/>
    <x v="5"/>
    <x v="2"/>
    <x v="5"/>
    <n v="941.59999999999991"/>
  </r>
  <r>
    <x v="1"/>
    <x v="5"/>
    <x v="2"/>
    <x v="0"/>
    <n v="1715.5"/>
  </r>
  <r>
    <x v="1"/>
    <x v="5"/>
    <x v="2"/>
    <x v="1"/>
    <n v="159.69999999999999"/>
  </r>
  <r>
    <x v="1"/>
    <x v="5"/>
    <x v="2"/>
    <x v="2"/>
    <n v="398.59999999999997"/>
  </r>
  <r>
    <x v="1"/>
    <x v="5"/>
    <x v="2"/>
    <x v="3"/>
    <n v="142"/>
  </r>
  <r>
    <x v="1"/>
    <x v="5"/>
    <x v="2"/>
    <x v="4"/>
    <n v="126.4"/>
  </r>
  <r>
    <x v="1"/>
    <x v="5"/>
    <x v="2"/>
    <x v="5"/>
    <n v="897.50000000000011"/>
  </r>
  <r>
    <x v="2"/>
    <x v="5"/>
    <x v="2"/>
    <x v="0"/>
    <n v="1756"/>
  </r>
  <r>
    <x v="2"/>
    <x v="5"/>
    <x v="2"/>
    <x v="1"/>
    <n v="156.30000000000001"/>
  </r>
  <r>
    <x v="2"/>
    <x v="5"/>
    <x v="2"/>
    <x v="2"/>
    <n v="423.6"/>
  </r>
  <r>
    <x v="2"/>
    <x v="5"/>
    <x v="2"/>
    <x v="3"/>
    <n v="142"/>
  </r>
  <r>
    <x v="2"/>
    <x v="5"/>
    <x v="2"/>
    <x v="4"/>
    <n v="136.5"/>
  </r>
  <r>
    <x v="2"/>
    <x v="5"/>
    <x v="2"/>
    <x v="5"/>
    <n v="919.59999999999991"/>
  </r>
  <r>
    <x v="0"/>
    <x v="5"/>
    <x v="3"/>
    <x v="0"/>
    <n v="1780"/>
  </r>
  <r>
    <x v="0"/>
    <x v="5"/>
    <x v="3"/>
    <x v="1"/>
    <n v="156.1"/>
  </r>
  <r>
    <x v="0"/>
    <x v="5"/>
    <x v="3"/>
    <x v="2"/>
    <n v="442.5"/>
  </r>
  <r>
    <x v="0"/>
    <x v="5"/>
    <x v="3"/>
    <x v="3"/>
    <n v="143.1"/>
  </r>
  <r>
    <x v="0"/>
    <x v="5"/>
    <x v="3"/>
    <x v="4"/>
    <n v="143.80000000000001"/>
  </r>
  <r>
    <x v="0"/>
    <x v="5"/>
    <x v="3"/>
    <x v="5"/>
    <n v="948.09999999999991"/>
  </r>
  <r>
    <x v="1"/>
    <x v="5"/>
    <x v="3"/>
    <x v="0"/>
    <n v="1720.0000000000002"/>
  </r>
  <r>
    <x v="1"/>
    <x v="5"/>
    <x v="3"/>
    <x v="1"/>
    <n v="159.19999999999999"/>
  </r>
  <r>
    <x v="1"/>
    <x v="5"/>
    <x v="3"/>
    <x v="2"/>
    <n v="401.40000000000003"/>
  </r>
  <r>
    <x v="1"/>
    <x v="5"/>
    <x v="3"/>
    <x v="3"/>
    <n v="142.9"/>
  </r>
  <r>
    <x v="1"/>
    <x v="5"/>
    <x v="3"/>
    <x v="4"/>
    <n v="124.6"/>
  </r>
  <r>
    <x v="1"/>
    <x v="5"/>
    <x v="3"/>
    <x v="5"/>
    <n v="905.09999999999991"/>
  </r>
  <r>
    <x v="2"/>
    <x v="5"/>
    <x v="3"/>
    <x v="0"/>
    <n v="1757.1000000000001"/>
  </r>
  <r>
    <x v="2"/>
    <x v="5"/>
    <x v="3"/>
    <x v="1"/>
    <n v="156.9"/>
  </r>
  <r>
    <x v="2"/>
    <x v="5"/>
    <x v="3"/>
    <x v="2"/>
    <n v="426"/>
  </r>
  <r>
    <x v="2"/>
    <x v="5"/>
    <x v="3"/>
    <x v="3"/>
    <n v="142.9"/>
  </r>
  <r>
    <x v="2"/>
    <x v="5"/>
    <x v="3"/>
    <x v="4"/>
    <n v="136.5"/>
  </r>
  <r>
    <x v="2"/>
    <x v="5"/>
    <x v="3"/>
    <x v="5"/>
    <n v="926.89999999999986"/>
  </r>
  <r>
    <x v="0"/>
    <x v="5"/>
    <x v="4"/>
    <x v="0"/>
    <n v="1782.4"/>
  </r>
  <r>
    <x v="0"/>
    <x v="5"/>
    <x v="4"/>
    <x v="1"/>
    <n v="157"/>
  </r>
  <r>
    <x v="0"/>
    <x v="5"/>
    <x v="4"/>
    <x v="2"/>
    <n v="444.7"/>
  </r>
  <r>
    <x v="0"/>
    <x v="5"/>
    <x v="4"/>
    <x v="3"/>
    <n v="142.9"/>
  </r>
  <r>
    <x v="0"/>
    <x v="5"/>
    <x v="4"/>
    <x v="4"/>
    <n v="144.30000000000001"/>
  </r>
  <r>
    <x v="0"/>
    <x v="5"/>
    <x v="4"/>
    <x v="5"/>
    <n v="954.1"/>
  </r>
  <r>
    <x v="1"/>
    <x v="5"/>
    <x v="4"/>
    <x v="0"/>
    <n v="1722.8999999999999"/>
  </r>
  <r>
    <x v="1"/>
    <x v="5"/>
    <x v="4"/>
    <x v="1"/>
    <n v="160.30000000000001"/>
  </r>
  <r>
    <x v="1"/>
    <x v="5"/>
    <x v="4"/>
    <x v="2"/>
    <n v="403.5"/>
  </r>
  <r>
    <x v="1"/>
    <x v="5"/>
    <x v="4"/>
    <x v="3"/>
    <n v="143.19999999999999"/>
  </r>
  <r>
    <x v="1"/>
    <x v="5"/>
    <x v="4"/>
    <x v="4"/>
    <n v="124.7"/>
  </r>
  <r>
    <x v="1"/>
    <x v="5"/>
    <x v="4"/>
    <x v="5"/>
    <n v="909.69999999999993"/>
  </r>
  <r>
    <x v="2"/>
    <x v="5"/>
    <x v="4"/>
    <x v="0"/>
    <n v="1759.8"/>
  </r>
  <r>
    <x v="2"/>
    <x v="5"/>
    <x v="4"/>
    <x v="1"/>
    <n v="157.9"/>
  </r>
  <r>
    <x v="2"/>
    <x v="5"/>
    <x v="4"/>
    <x v="2"/>
    <n v="428.09999999999997"/>
  </r>
  <r>
    <x v="2"/>
    <x v="5"/>
    <x v="4"/>
    <x v="3"/>
    <n v="143.19999999999999"/>
  </r>
  <r>
    <x v="2"/>
    <x v="5"/>
    <x v="4"/>
    <x v="4"/>
    <n v="136.9"/>
  </r>
  <r>
    <x v="2"/>
    <x v="5"/>
    <x v="4"/>
    <x v="5"/>
    <n v="932.19999999999993"/>
  </r>
  <r>
    <x v="0"/>
    <x v="5"/>
    <x v="5"/>
    <x v="0"/>
    <n v="1790.2999999999997"/>
  </r>
  <r>
    <x v="0"/>
    <x v="5"/>
    <x v="5"/>
    <x v="1"/>
    <n v="157.30000000000001"/>
  </r>
  <r>
    <x v="0"/>
    <x v="5"/>
    <x v="5"/>
    <x v="2"/>
    <n v="446.3"/>
  </r>
  <r>
    <x v="0"/>
    <x v="5"/>
    <x v="5"/>
    <x v="3"/>
    <n v="143.1"/>
  </r>
  <r>
    <x v="0"/>
    <x v="5"/>
    <x v="5"/>
    <x v="4"/>
    <n v="145.1"/>
  </r>
  <r>
    <x v="0"/>
    <x v="5"/>
    <x v="5"/>
    <x v="5"/>
    <n v="957.9"/>
  </r>
  <r>
    <x v="1"/>
    <x v="5"/>
    <x v="5"/>
    <x v="0"/>
    <n v="1747.3000000000002"/>
  </r>
  <r>
    <x v="1"/>
    <x v="5"/>
    <x v="5"/>
    <x v="1"/>
    <n v="161"/>
  </r>
  <r>
    <x v="1"/>
    <x v="5"/>
    <x v="5"/>
    <x v="2"/>
    <n v="405"/>
  </r>
  <r>
    <x v="1"/>
    <x v="5"/>
    <x v="5"/>
    <x v="3"/>
    <n v="142.5"/>
  </r>
  <r>
    <x v="1"/>
    <x v="5"/>
    <x v="5"/>
    <x v="4"/>
    <n v="126.5"/>
  </r>
  <r>
    <x v="1"/>
    <x v="5"/>
    <x v="5"/>
    <x v="5"/>
    <n v="913.5"/>
  </r>
  <r>
    <x v="2"/>
    <x v="5"/>
    <x v="5"/>
    <x v="0"/>
    <n v="1774.1000000000001"/>
  </r>
  <r>
    <x v="2"/>
    <x v="5"/>
    <x v="5"/>
    <x v="1"/>
    <n v="158.30000000000001"/>
  </r>
  <r>
    <x v="2"/>
    <x v="5"/>
    <x v="5"/>
    <x v="2"/>
    <n v="429.7"/>
  </r>
  <r>
    <x v="2"/>
    <x v="5"/>
    <x v="5"/>
    <x v="3"/>
    <n v="142.5"/>
  </r>
  <r>
    <x v="2"/>
    <x v="5"/>
    <x v="5"/>
    <x v="4"/>
    <n v="138.1"/>
  </r>
  <r>
    <x v="2"/>
    <x v="5"/>
    <x v="5"/>
    <x v="5"/>
    <n v="935.90000000000009"/>
  </r>
  <r>
    <x v="0"/>
    <x v="5"/>
    <x v="6"/>
    <x v="0"/>
    <n v="1810.5000000000002"/>
  </r>
  <r>
    <x v="0"/>
    <x v="5"/>
    <x v="6"/>
    <x v="1"/>
    <n v="156.1"/>
  </r>
  <r>
    <x v="0"/>
    <x v="5"/>
    <x v="6"/>
    <x v="2"/>
    <n v="447.20000000000005"/>
  </r>
  <r>
    <x v="0"/>
    <x v="5"/>
    <x v="6"/>
    <x v="3"/>
    <n v="144.1"/>
  </r>
  <r>
    <x v="0"/>
    <x v="5"/>
    <x v="6"/>
    <x v="4"/>
    <n v="146.80000000000001"/>
  </r>
  <r>
    <x v="0"/>
    <x v="5"/>
    <x v="6"/>
    <x v="5"/>
    <n v="961.19999999999993"/>
  </r>
  <r>
    <x v="1"/>
    <x v="5"/>
    <x v="6"/>
    <x v="0"/>
    <n v="1771.1"/>
  </r>
  <r>
    <x v="1"/>
    <x v="5"/>
    <x v="6"/>
    <x v="1"/>
    <n v="161.4"/>
  </r>
  <r>
    <x v="1"/>
    <x v="5"/>
    <x v="6"/>
    <x v="2"/>
    <n v="406.4"/>
  </r>
  <r>
    <x v="1"/>
    <x v="5"/>
    <x v="6"/>
    <x v="3"/>
    <n v="143.6"/>
  </r>
  <r>
    <x v="1"/>
    <x v="5"/>
    <x v="6"/>
    <x v="4"/>
    <n v="128.1"/>
  </r>
  <r>
    <x v="1"/>
    <x v="5"/>
    <x v="6"/>
    <x v="5"/>
    <n v="918.7"/>
  </r>
  <r>
    <x v="2"/>
    <x v="5"/>
    <x v="6"/>
    <x v="0"/>
    <n v="1795.3"/>
  </r>
  <r>
    <x v="2"/>
    <x v="5"/>
    <x v="6"/>
    <x v="1"/>
    <n v="157.5"/>
  </r>
  <r>
    <x v="2"/>
    <x v="5"/>
    <x v="6"/>
    <x v="2"/>
    <n v="430.80000000000007"/>
  </r>
  <r>
    <x v="2"/>
    <x v="5"/>
    <x v="6"/>
    <x v="3"/>
    <n v="143.6"/>
  </r>
  <r>
    <x v="2"/>
    <x v="5"/>
    <x v="6"/>
    <x v="4"/>
    <n v="139.69999999999999"/>
  </r>
  <r>
    <x v="2"/>
    <x v="5"/>
    <x v="6"/>
    <x v="5"/>
    <n v="940.3"/>
  </r>
  <r>
    <x v="0"/>
    <x v="5"/>
    <x v="7"/>
    <x v="0"/>
    <n v="1818.8"/>
  </r>
  <r>
    <x v="0"/>
    <x v="5"/>
    <x v="7"/>
    <x v="1"/>
    <n v="156.4"/>
  </r>
  <r>
    <x v="0"/>
    <x v="5"/>
    <x v="7"/>
    <x v="2"/>
    <n v="449.2"/>
  </r>
  <r>
    <x v="0"/>
    <x v="5"/>
    <x v="7"/>
    <x v="3"/>
    <n v="145"/>
  </r>
  <r>
    <x v="0"/>
    <x v="5"/>
    <x v="7"/>
    <x v="4"/>
    <n v="147.69999999999999"/>
  </r>
  <r>
    <x v="0"/>
    <x v="5"/>
    <x v="7"/>
    <x v="5"/>
    <n v="964.9"/>
  </r>
  <r>
    <x v="1"/>
    <x v="5"/>
    <x v="7"/>
    <x v="0"/>
    <n v="1767.6"/>
  </r>
  <r>
    <x v="1"/>
    <x v="5"/>
    <x v="7"/>
    <x v="1"/>
    <n v="162.1"/>
  </r>
  <r>
    <x v="1"/>
    <x v="5"/>
    <x v="7"/>
    <x v="2"/>
    <n v="407.3"/>
  </r>
  <r>
    <x v="1"/>
    <x v="5"/>
    <x v="7"/>
    <x v="3"/>
    <n v="144.6"/>
  </r>
  <r>
    <x v="1"/>
    <x v="5"/>
    <x v="7"/>
    <x v="4"/>
    <n v="129.80000000000001"/>
  </r>
  <r>
    <x v="1"/>
    <x v="5"/>
    <x v="7"/>
    <x v="5"/>
    <n v="924.39999999999986"/>
  </r>
  <r>
    <x v="2"/>
    <x v="5"/>
    <x v="7"/>
    <x v="0"/>
    <n v="1798.7000000000003"/>
  </r>
  <r>
    <x v="2"/>
    <x v="5"/>
    <x v="7"/>
    <x v="1"/>
    <n v="157.9"/>
  </r>
  <r>
    <x v="2"/>
    <x v="5"/>
    <x v="7"/>
    <x v="2"/>
    <n v="432.20000000000005"/>
  </r>
  <r>
    <x v="2"/>
    <x v="5"/>
    <x v="7"/>
    <x v="3"/>
    <n v="144.6"/>
  </r>
  <r>
    <x v="2"/>
    <x v="5"/>
    <x v="7"/>
    <x v="4"/>
    <n v="140.9"/>
  </r>
  <r>
    <x v="2"/>
    <x v="5"/>
    <x v="7"/>
    <x v="5"/>
    <n v="945"/>
  </r>
  <r>
    <x v="0"/>
    <x v="5"/>
    <x v="8"/>
    <x v="0"/>
    <n v="1799.8000000000002"/>
  </r>
  <r>
    <x v="0"/>
    <x v="5"/>
    <x v="8"/>
    <x v="1"/>
    <n v="157.69999999999999"/>
  </r>
  <r>
    <x v="0"/>
    <x v="5"/>
    <x v="8"/>
    <x v="2"/>
    <n v="449.5"/>
  </r>
  <r>
    <x v="0"/>
    <x v="5"/>
    <x v="8"/>
    <x v="3"/>
    <n v="146"/>
  </r>
  <r>
    <x v="0"/>
    <x v="5"/>
    <x v="8"/>
    <x v="4"/>
    <n v="149"/>
  </r>
  <r>
    <x v="0"/>
    <x v="5"/>
    <x v="8"/>
    <x v="5"/>
    <n v="970.9"/>
  </r>
  <r>
    <x v="1"/>
    <x v="5"/>
    <x v="8"/>
    <x v="0"/>
    <n v="1748.4"/>
  </r>
  <r>
    <x v="1"/>
    <x v="5"/>
    <x v="8"/>
    <x v="1"/>
    <n v="163.30000000000001"/>
  </r>
  <r>
    <x v="1"/>
    <x v="5"/>
    <x v="8"/>
    <x v="2"/>
    <n v="409.20000000000005"/>
  </r>
  <r>
    <x v="1"/>
    <x v="5"/>
    <x v="8"/>
    <x v="3"/>
    <n v="145.30000000000001"/>
  </r>
  <r>
    <x v="1"/>
    <x v="5"/>
    <x v="8"/>
    <x v="4"/>
    <n v="131.19999999999999"/>
  </r>
  <r>
    <x v="1"/>
    <x v="5"/>
    <x v="8"/>
    <x v="5"/>
    <n v="929.69999999999993"/>
  </r>
  <r>
    <x v="2"/>
    <x v="5"/>
    <x v="8"/>
    <x v="0"/>
    <n v="1779.5"/>
  </r>
  <r>
    <x v="2"/>
    <x v="5"/>
    <x v="8"/>
    <x v="1"/>
    <n v="159.19999999999999"/>
  </r>
  <r>
    <x v="2"/>
    <x v="5"/>
    <x v="8"/>
    <x v="2"/>
    <n v="433.29999999999995"/>
  </r>
  <r>
    <x v="2"/>
    <x v="5"/>
    <x v="8"/>
    <x v="3"/>
    <n v="145.30000000000001"/>
  </r>
  <r>
    <x v="2"/>
    <x v="5"/>
    <x v="8"/>
    <x v="4"/>
    <n v="142.30000000000001"/>
  </r>
  <r>
    <x v="2"/>
    <x v="5"/>
    <x v="8"/>
    <x v="5"/>
    <n v="950.39999999999986"/>
  </r>
  <r>
    <x v="0"/>
    <x v="5"/>
    <x v="9"/>
    <x v="0"/>
    <n v="1782.2"/>
  </r>
  <r>
    <x v="0"/>
    <x v="5"/>
    <x v="9"/>
    <x v="1"/>
    <n v="159.6"/>
  </r>
  <r>
    <x v="0"/>
    <x v="5"/>
    <x v="9"/>
    <x v="2"/>
    <n v="445"/>
  </r>
  <r>
    <x v="0"/>
    <x v="5"/>
    <x v="9"/>
    <x v="3"/>
    <n v="146.80000000000001"/>
  </r>
  <r>
    <x v="0"/>
    <x v="5"/>
    <x v="9"/>
    <x v="4"/>
    <n v="149.69999999999999"/>
  </r>
  <r>
    <x v="0"/>
    <x v="5"/>
    <x v="9"/>
    <x v="5"/>
    <n v="985.40000000000009"/>
  </r>
  <r>
    <x v="1"/>
    <x v="5"/>
    <x v="9"/>
    <x v="0"/>
    <n v="1754.1"/>
  </r>
  <r>
    <x v="1"/>
    <x v="5"/>
    <x v="9"/>
    <x v="1"/>
    <n v="164"/>
  </r>
  <r>
    <x v="1"/>
    <x v="5"/>
    <x v="9"/>
    <x v="2"/>
    <n v="411"/>
  </r>
  <r>
    <x v="1"/>
    <x v="5"/>
    <x v="9"/>
    <x v="3"/>
    <n v="146.30000000000001"/>
  </r>
  <r>
    <x v="1"/>
    <x v="5"/>
    <x v="9"/>
    <x v="4"/>
    <n v="133.4"/>
  </r>
  <r>
    <x v="1"/>
    <x v="5"/>
    <x v="9"/>
    <x v="5"/>
    <n v="933.69999999999993"/>
  </r>
  <r>
    <x v="2"/>
    <x v="5"/>
    <x v="9"/>
    <x v="0"/>
    <n v="1776.2"/>
  </r>
  <r>
    <x v="2"/>
    <x v="5"/>
    <x v="9"/>
    <x v="1"/>
    <n v="162.6"/>
  </r>
  <r>
    <x v="2"/>
    <x v="5"/>
    <x v="9"/>
    <x v="2"/>
    <n v="434"/>
  </r>
  <r>
    <x v="2"/>
    <x v="5"/>
    <x v="9"/>
    <x v="3"/>
    <n v="146.9"/>
  </r>
  <r>
    <x v="2"/>
    <x v="5"/>
    <x v="9"/>
    <x v="4"/>
    <n v="145.30000000000001"/>
  </r>
  <r>
    <x v="2"/>
    <x v="5"/>
    <x v="9"/>
    <x v="5"/>
    <n v="962.39999999999986"/>
  </r>
  <r>
    <x v="0"/>
    <x v="5"/>
    <x v="11"/>
    <x v="0"/>
    <n v="1787.4999999999995"/>
  </r>
  <r>
    <x v="0"/>
    <x v="5"/>
    <x v="11"/>
    <x v="1"/>
    <n v="161.9"/>
  </r>
  <r>
    <x v="0"/>
    <x v="5"/>
    <x v="11"/>
    <x v="2"/>
    <n v="448"/>
  </r>
  <r>
    <x v="0"/>
    <x v="5"/>
    <x v="11"/>
    <x v="3"/>
    <n v="146.69999999999999"/>
  </r>
  <r>
    <x v="0"/>
    <x v="5"/>
    <x v="11"/>
    <x v="4"/>
    <n v="150.30000000000001"/>
  </r>
  <r>
    <x v="0"/>
    <x v="5"/>
    <x v="11"/>
    <x v="5"/>
    <n v="990.2"/>
  </r>
  <r>
    <x v="1"/>
    <x v="5"/>
    <x v="11"/>
    <x v="0"/>
    <n v="1757.4999999999998"/>
  </r>
  <r>
    <x v="1"/>
    <x v="5"/>
    <x v="11"/>
    <x v="1"/>
    <n v="164.4"/>
  </r>
  <r>
    <x v="1"/>
    <x v="5"/>
    <x v="11"/>
    <x v="2"/>
    <n v="413.1"/>
  </r>
  <r>
    <x v="1"/>
    <x v="5"/>
    <x v="11"/>
    <x v="3"/>
    <n v="146.9"/>
  </r>
  <r>
    <x v="1"/>
    <x v="5"/>
    <x v="11"/>
    <x v="4"/>
    <n v="136.69999999999999"/>
  </r>
  <r>
    <x v="1"/>
    <x v="5"/>
    <x v="11"/>
    <x v="5"/>
    <n v="933.90000000000009"/>
  </r>
  <r>
    <x v="2"/>
    <x v="5"/>
    <x v="11"/>
    <x v="0"/>
    <n v="1775.7000000000003"/>
  </r>
  <r>
    <x v="2"/>
    <x v="5"/>
    <x v="11"/>
    <x v="1"/>
    <n v="162.6"/>
  </r>
  <r>
    <x v="2"/>
    <x v="5"/>
    <x v="11"/>
    <x v="2"/>
    <n v="433.8"/>
  </r>
  <r>
    <x v="2"/>
    <x v="5"/>
    <x v="11"/>
    <x v="3"/>
    <n v="146.9"/>
  </r>
  <r>
    <x v="2"/>
    <x v="5"/>
    <x v="11"/>
    <x v="4"/>
    <n v="145.1"/>
  </r>
  <r>
    <x v="2"/>
    <x v="5"/>
    <x v="11"/>
    <x v="5"/>
    <n v="962.39999999999986"/>
  </r>
  <r>
    <x v="0"/>
    <x v="5"/>
    <x v="12"/>
    <x v="0"/>
    <n v="1773.1000000000001"/>
  </r>
  <r>
    <x v="0"/>
    <x v="5"/>
    <x v="12"/>
    <x v="1"/>
    <n v="162.4"/>
  </r>
  <r>
    <x v="0"/>
    <x v="5"/>
    <x v="12"/>
    <x v="2"/>
    <n v="448.3"/>
  </r>
  <r>
    <x v="0"/>
    <x v="5"/>
    <x v="12"/>
    <x v="3"/>
    <n v="147.1"/>
  </r>
  <r>
    <x v="0"/>
    <x v="5"/>
    <x v="12"/>
    <x v="4"/>
    <n v="149"/>
  </r>
  <r>
    <x v="0"/>
    <x v="5"/>
    <x v="12"/>
    <x v="5"/>
    <n v="1001.1999999999999"/>
  </r>
  <r>
    <x v="1"/>
    <x v="5"/>
    <x v="12"/>
    <x v="0"/>
    <n v="1746.6"/>
  </r>
  <r>
    <x v="1"/>
    <x v="5"/>
    <x v="12"/>
    <x v="1"/>
    <n v="164.6"/>
  </r>
  <r>
    <x v="1"/>
    <x v="5"/>
    <x v="12"/>
    <x v="2"/>
    <n v="413.8"/>
  </r>
  <r>
    <x v="1"/>
    <x v="5"/>
    <x v="12"/>
    <x v="3"/>
    <n v="146.5"/>
  </r>
  <r>
    <x v="1"/>
    <x v="5"/>
    <x v="12"/>
    <x v="4"/>
    <n v="132.4"/>
  </r>
  <r>
    <x v="1"/>
    <x v="5"/>
    <x v="12"/>
    <x v="5"/>
    <n v="933"/>
  </r>
  <r>
    <x v="2"/>
    <x v="5"/>
    <x v="12"/>
    <x v="0"/>
    <n v="1762.7999999999997"/>
  </r>
  <r>
    <x v="2"/>
    <x v="5"/>
    <x v="12"/>
    <x v="1"/>
    <n v="163"/>
  </r>
  <r>
    <x v="2"/>
    <x v="5"/>
    <x v="12"/>
    <x v="2"/>
    <n v="434.3"/>
  </r>
  <r>
    <x v="2"/>
    <x v="5"/>
    <x v="12"/>
    <x v="3"/>
    <n v="146.5"/>
  </r>
  <r>
    <x v="2"/>
    <x v="5"/>
    <x v="12"/>
    <x v="4"/>
    <n v="142.69999999999999"/>
  </r>
  <r>
    <x v="2"/>
    <x v="5"/>
    <x v="12"/>
    <x v="5"/>
    <n v="967.59999999999991"/>
  </r>
  <r>
    <x v="0"/>
    <x v="6"/>
    <x v="0"/>
    <x v="0"/>
    <n v="1759.6000000000001"/>
  </r>
  <r>
    <x v="0"/>
    <x v="6"/>
    <x v="0"/>
    <x v="1"/>
    <n v="162.69999999999999"/>
  </r>
  <r>
    <x v="0"/>
    <x v="6"/>
    <x v="0"/>
    <x v="2"/>
    <n v="445.6"/>
  </r>
  <r>
    <x v="0"/>
    <x v="6"/>
    <x v="0"/>
    <x v="3"/>
    <n v="148.1"/>
  </r>
  <r>
    <x v="0"/>
    <x v="6"/>
    <x v="0"/>
    <x v="4"/>
    <n v="146.19999999999999"/>
  </r>
  <r>
    <x v="0"/>
    <x v="6"/>
    <x v="0"/>
    <x v="5"/>
    <n v="1001.5999999999999"/>
  </r>
  <r>
    <x v="1"/>
    <x v="6"/>
    <x v="0"/>
    <x v="0"/>
    <n v="1744.3000000000002"/>
  </r>
  <r>
    <x v="1"/>
    <x v="6"/>
    <x v="0"/>
    <x v="1"/>
    <n v="164.7"/>
  </r>
  <r>
    <x v="1"/>
    <x v="6"/>
    <x v="0"/>
    <x v="2"/>
    <n v="414.5"/>
  </r>
  <r>
    <x v="1"/>
    <x v="6"/>
    <x v="0"/>
    <x v="3"/>
    <n v="147.69999999999999"/>
  </r>
  <r>
    <x v="1"/>
    <x v="6"/>
    <x v="0"/>
    <x v="4"/>
    <n v="128.6"/>
  </r>
  <r>
    <x v="1"/>
    <x v="6"/>
    <x v="0"/>
    <x v="5"/>
    <n v="934.7"/>
  </r>
  <r>
    <x v="2"/>
    <x v="6"/>
    <x v="0"/>
    <x v="0"/>
    <n v="1753.3999999999999"/>
  </r>
  <r>
    <x v="2"/>
    <x v="6"/>
    <x v="0"/>
    <x v="1"/>
    <n v="163.19999999999999"/>
  </r>
  <r>
    <x v="2"/>
    <x v="6"/>
    <x v="0"/>
    <x v="2"/>
    <n v="433"/>
  </r>
  <r>
    <x v="2"/>
    <x v="6"/>
    <x v="0"/>
    <x v="3"/>
    <n v="147.69999999999999"/>
  </r>
  <r>
    <x v="2"/>
    <x v="6"/>
    <x v="0"/>
    <x v="4"/>
    <n v="139.5"/>
  </r>
  <r>
    <x v="2"/>
    <x v="6"/>
    <x v="0"/>
    <x v="5"/>
    <n v="968.6"/>
  </r>
  <r>
    <x v="0"/>
    <x v="6"/>
    <x v="1"/>
    <x v="0"/>
    <n v="1759.8000000000002"/>
  </r>
  <r>
    <x v="0"/>
    <x v="6"/>
    <x v="1"/>
    <x v="1"/>
    <n v="162.80000000000001"/>
  </r>
  <r>
    <x v="0"/>
    <x v="6"/>
    <x v="1"/>
    <x v="2"/>
    <n v="446.5"/>
  </r>
  <r>
    <x v="0"/>
    <x v="6"/>
    <x v="1"/>
    <x v="3"/>
    <n v="148.80000000000001"/>
  </r>
  <r>
    <x v="0"/>
    <x v="6"/>
    <x v="1"/>
    <x v="4"/>
    <n v="145.30000000000001"/>
  </r>
  <r>
    <x v="0"/>
    <x v="6"/>
    <x v="1"/>
    <x v="5"/>
    <n v="1005.2"/>
  </r>
  <r>
    <x v="1"/>
    <x v="6"/>
    <x v="1"/>
    <x v="0"/>
    <n v="1754.4"/>
  </r>
  <r>
    <x v="1"/>
    <x v="6"/>
    <x v="1"/>
    <x v="1"/>
    <n v="164.9"/>
  </r>
  <r>
    <x v="1"/>
    <x v="6"/>
    <x v="1"/>
    <x v="2"/>
    <n v="415.5"/>
  </r>
  <r>
    <x v="1"/>
    <x v="6"/>
    <x v="1"/>
    <x v="3"/>
    <n v="148.5"/>
  </r>
  <r>
    <x v="1"/>
    <x v="6"/>
    <x v="1"/>
    <x v="4"/>
    <n v="127.1"/>
  </r>
  <r>
    <x v="1"/>
    <x v="6"/>
    <x v="1"/>
    <x v="5"/>
    <n v="938.5"/>
  </r>
  <r>
    <x v="2"/>
    <x v="6"/>
    <x v="1"/>
    <x v="0"/>
    <n v="1757.1"/>
  </r>
  <r>
    <x v="2"/>
    <x v="6"/>
    <x v="1"/>
    <x v="1"/>
    <n v="163.4"/>
  </r>
  <r>
    <x v="2"/>
    <x v="6"/>
    <x v="1"/>
    <x v="2"/>
    <n v="433.9"/>
  </r>
  <r>
    <x v="2"/>
    <x v="6"/>
    <x v="1"/>
    <x v="3"/>
    <n v="148.5"/>
  </r>
  <r>
    <x v="2"/>
    <x v="6"/>
    <x v="1"/>
    <x v="4"/>
    <n v="138.4"/>
  </r>
  <r>
    <x v="2"/>
    <x v="6"/>
    <x v="1"/>
    <x v="5"/>
    <n v="972.09999999999991"/>
  </r>
  <r>
    <x v="0"/>
    <x v="6"/>
    <x v="2"/>
    <x v="0"/>
    <n v="1761.2000000000003"/>
  </r>
  <r>
    <x v="0"/>
    <x v="6"/>
    <x v="2"/>
    <x v="1"/>
    <n v="162.9"/>
  </r>
  <r>
    <x v="0"/>
    <x v="6"/>
    <x v="2"/>
    <x v="2"/>
    <n v="447"/>
  </r>
  <r>
    <x v="0"/>
    <x v="6"/>
    <x v="2"/>
    <x v="3"/>
    <n v="149.6"/>
  </r>
  <r>
    <x v="0"/>
    <x v="6"/>
    <x v="2"/>
    <x v="4"/>
    <n v="146.4"/>
  </r>
  <r>
    <x v="0"/>
    <x v="6"/>
    <x v="2"/>
    <x v="5"/>
    <n v="1005.9999999999999"/>
  </r>
  <r>
    <x v="1"/>
    <x v="6"/>
    <x v="2"/>
    <x v="0"/>
    <n v="1768.4"/>
  </r>
  <r>
    <x v="1"/>
    <x v="6"/>
    <x v="2"/>
    <x v="1"/>
    <n v="165.3"/>
  </r>
  <r>
    <x v="1"/>
    <x v="6"/>
    <x v="2"/>
    <x v="2"/>
    <n v="416.29999999999995"/>
  </r>
  <r>
    <x v="1"/>
    <x v="6"/>
    <x v="2"/>
    <x v="3"/>
    <n v="149"/>
  </r>
  <r>
    <x v="1"/>
    <x v="6"/>
    <x v="2"/>
    <x v="4"/>
    <n v="128.80000000000001"/>
  </r>
  <r>
    <x v="1"/>
    <x v="6"/>
    <x v="2"/>
    <x v="5"/>
    <n v="940.89999999999986"/>
  </r>
  <r>
    <x v="2"/>
    <x v="6"/>
    <x v="2"/>
    <x v="0"/>
    <n v="1762.9"/>
  </r>
  <r>
    <x v="2"/>
    <x v="6"/>
    <x v="2"/>
    <x v="1"/>
    <n v="163.5"/>
  </r>
  <r>
    <x v="2"/>
    <x v="6"/>
    <x v="2"/>
    <x v="2"/>
    <n v="434.5"/>
  </r>
  <r>
    <x v="2"/>
    <x v="6"/>
    <x v="2"/>
    <x v="3"/>
    <n v="149"/>
  </r>
  <r>
    <x v="2"/>
    <x v="6"/>
    <x v="2"/>
    <x v="4"/>
    <n v="139.69999999999999"/>
  </r>
  <r>
    <x v="2"/>
    <x v="6"/>
    <x v="2"/>
    <x v="5"/>
    <n v="973.69999999999982"/>
  </r>
  <r>
    <x v="0"/>
    <x v="6"/>
    <x v="4"/>
    <x v="0"/>
    <n v="1782.1000000000001"/>
  </r>
  <r>
    <x v="0"/>
    <x v="6"/>
    <x v="4"/>
    <x v="1"/>
    <n v="163.30000000000001"/>
  </r>
  <r>
    <x v="0"/>
    <x v="6"/>
    <x v="4"/>
    <x v="2"/>
    <n v="448.59999999999997"/>
  </r>
  <r>
    <x v="0"/>
    <x v="6"/>
    <x v="4"/>
    <x v="3"/>
    <n v="149.80000000000001"/>
  </r>
  <r>
    <x v="0"/>
    <x v="6"/>
    <x v="4"/>
    <x v="4"/>
    <n v="146.9"/>
  </r>
  <r>
    <x v="0"/>
    <x v="6"/>
    <x v="4"/>
    <x v="5"/>
    <n v="1010.3999999999999"/>
  </r>
  <r>
    <x v="1"/>
    <x v="6"/>
    <x v="4"/>
    <x v="0"/>
    <n v="1811.5000000000002"/>
  </r>
  <r>
    <x v="1"/>
    <x v="6"/>
    <x v="4"/>
    <x v="1"/>
    <n v="166.2"/>
  </r>
  <r>
    <x v="1"/>
    <x v="6"/>
    <x v="4"/>
    <x v="2"/>
    <n v="417.9"/>
  </r>
  <r>
    <x v="1"/>
    <x v="6"/>
    <x v="4"/>
    <x v="3"/>
    <n v="150.1"/>
  </r>
  <r>
    <x v="1"/>
    <x v="6"/>
    <x v="4"/>
    <x v="4"/>
    <n v="129.4"/>
  </r>
  <r>
    <x v="1"/>
    <x v="6"/>
    <x v="4"/>
    <x v="5"/>
    <n v="945"/>
  </r>
  <r>
    <x v="2"/>
    <x v="6"/>
    <x v="4"/>
    <x v="0"/>
    <n v="1791.9000000000003"/>
  </r>
  <r>
    <x v="2"/>
    <x v="6"/>
    <x v="4"/>
    <x v="1"/>
    <n v="164.1"/>
  </r>
  <r>
    <x v="2"/>
    <x v="6"/>
    <x v="4"/>
    <x v="2"/>
    <n v="436.1"/>
  </r>
  <r>
    <x v="2"/>
    <x v="6"/>
    <x v="4"/>
    <x v="3"/>
    <n v="150.1"/>
  </r>
  <r>
    <x v="2"/>
    <x v="6"/>
    <x v="4"/>
    <x v="4"/>
    <n v="140.30000000000001"/>
  </r>
  <r>
    <x v="2"/>
    <x v="6"/>
    <x v="4"/>
    <x v="5"/>
    <n v="977.90000000000009"/>
  </r>
  <r>
    <x v="0"/>
    <x v="6"/>
    <x v="5"/>
    <x v="0"/>
    <n v="1804.1999999999998"/>
  </r>
  <r>
    <x v="0"/>
    <x v="6"/>
    <x v="5"/>
    <x v="1"/>
    <n v="164.2"/>
  </r>
  <r>
    <x v="0"/>
    <x v="6"/>
    <x v="5"/>
    <x v="2"/>
    <n v="448.59999999999997"/>
  </r>
  <r>
    <x v="0"/>
    <x v="6"/>
    <x v="5"/>
    <x v="3"/>
    <n v="150"/>
  </r>
  <r>
    <x v="0"/>
    <x v="6"/>
    <x v="5"/>
    <x v="4"/>
    <n v="147.80000000000001"/>
  </r>
  <r>
    <x v="0"/>
    <x v="6"/>
    <x v="5"/>
    <x v="5"/>
    <n v="1013.6999999999998"/>
  </r>
  <r>
    <x v="1"/>
    <x v="6"/>
    <x v="5"/>
    <x v="0"/>
    <n v="1833.2999999999997"/>
  </r>
  <r>
    <x v="1"/>
    <x v="6"/>
    <x v="5"/>
    <x v="1"/>
    <n v="166.7"/>
  </r>
  <r>
    <x v="1"/>
    <x v="6"/>
    <x v="5"/>
    <x v="2"/>
    <n v="418.4"/>
  </r>
  <r>
    <x v="1"/>
    <x v="6"/>
    <x v="5"/>
    <x v="3"/>
    <n v="149.4"/>
  </r>
  <r>
    <x v="1"/>
    <x v="6"/>
    <x v="5"/>
    <x v="4"/>
    <n v="130.5"/>
  </r>
  <r>
    <x v="1"/>
    <x v="6"/>
    <x v="5"/>
    <x v="5"/>
    <n v="947.80000000000007"/>
  </r>
  <r>
    <x v="2"/>
    <x v="6"/>
    <x v="5"/>
    <x v="0"/>
    <n v="1814.1000000000001"/>
  </r>
  <r>
    <x v="2"/>
    <x v="6"/>
    <x v="5"/>
    <x v="1"/>
    <n v="164.9"/>
  </r>
  <r>
    <x v="2"/>
    <x v="6"/>
    <x v="5"/>
    <x v="2"/>
    <n v="436.4"/>
  </r>
  <r>
    <x v="2"/>
    <x v="6"/>
    <x v="5"/>
    <x v="3"/>
    <n v="149.4"/>
  </r>
  <r>
    <x v="2"/>
    <x v="6"/>
    <x v="5"/>
    <x v="4"/>
    <n v="141.19999999999999"/>
  </r>
  <r>
    <x v="2"/>
    <x v="6"/>
    <x v="5"/>
    <x v="5"/>
    <n v="980.80000000000007"/>
  </r>
  <r>
    <x v="0"/>
    <x v="6"/>
    <x v="6"/>
    <x v="0"/>
    <n v="1826.8999999999999"/>
  </r>
  <r>
    <x v="0"/>
    <x v="6"/>
    <x v="6"/>
    <x v="1"/>
    <n v="164.5"/>
  </r>
  <r>
    <x v="0"/>
    <x v="6"/>
    <x v="6"/>
    <x v="2"/>
    <n v="449.1"/>
  </r>
  <r>
    <x v="0"/>
    <x v="6"/>
    <x v="6"/>
    <x v="3"/>
    <n v="151.1"/>
  </r>
  <r>
    <x v="0"/>
    <x v="6"/>
    <x v="6"/>
    <x v="4"/>
    <n v="146.80000000000001"/>
  </r>
  <r>
    <x v="0"/>
    <x v="6"/>
    <x v="6"/>
    <x v="5"/>
    <n v="1020.3"/>
  </r>
  <r>
    <x v="1"/>
    <x v="6"/>
    <x v="6"/>
    <x v="0"/>
    <n v="1857.3999999999999"/>
  </r>
  <r>
    <x v="1"/>
    <x v="6"/>
    <x v="6"/>
    <x v="1"/>
    <n v="167.2"/>
  </r>
  <r>
    <x v="1"/>
    <x v="6"/>
    <x v="6"/>
    <x v="2"/>
    <n v="419.3"/>
  </r>
  <r>
    <x v="1"/>
    <x v="6"/>
    <x v="6"/>
    <x v="3"/>
    <n v="150.6"/>
  </r>
  <r>
    <x v="1"/>
    <x v="6"/>
    <x v="6"/>
    <x v="4"/>
    <n v="127"/>
  </r>
  <r>
    <x v="1"/>
    <x v="6"/>
    <x v="6"/>
    <x v="5"/>
    <n v="954.1"/>
  </r>
  <r>
    <x v="2"/>
    <x v="6"/>
    <x v="6"/>
    <x v="0"/>
    <n v="1837.5"/>
  </r>
  <r>
    <x v="2"/>
    <x v="6"/>
    <x v="6"/>
    <x v="1"/>
    <n v="165.2"/>
  </r>
  <r>
    <x v="2"/>
    <x v="6"/>
    <x v="6"/>
    <x v="2"/>
    <n v="437"/>
  </r>
  <r>
    <x v="2"/>
    <x v="6"/>
    <x v="6"/>
    <x v="3"/>
    <n v="150.6"/>
  </r>
  <r>
    <x v="2"/>
    <x v="6"/>
    <x v="6"/>
    <x v="4"/>
    <n v="139.30000000000001"/>
  </r>
  <r>
    <x v="2"/>
    <x v="6"/>
    <x v="6"/>
    <x v="5"/>
    <n v="987.40000000000009"/>
  </r>
  <r>
    <x v="0"/>
    <x v="6"/>
    <x v="7"/>
    <x v="0"/>
    <n v="1834.5000000000002"/>
  </r>
  <r>
    <x v="0"/>
    <x v="6"/>
    <x v="7"/>
    <x v="1"/>
    <n v="165.1"/>
  </r>
  <r>
    <x v="0"/>
    <x v="6"/>
    <x v="7"/>
    <x v="2"/>
    <n v="449.5"/>
  </r>
  <r>
    <x v="0"/>
    <x v="6"/>
    <x v="7"/>
    <x v="3"/>
    <n v="151.9"/>
  </r>
  <r>
    <x v="0"/>
    <x v="6"/>
    <x v="7"/>
    <x v="4"/>
    <n v="146.4"/>
  </r>
  <r>
    <x v="0"/>
    <x v="6"/>
    <x v="7"/>
    <x v="5"/>
    <n v="1025.7"/>
  </r>
  <r>
    <x v="1"/>
    <x v="6"/>
    <x v="7"/>
    <x v="0"/>
    <n v="1869.1"/>
  </r>
  <r>
    <x v="1"/>
    <x v="6"/>
    <x v="7"/>
    <x v="1"/>
    <n v="167.9"/>
  </r>
  <r>
    <x v="1"/>
    <x v="6"/>
    <x v="7"/>
    <x v="2"/>
    <n v="420.2"/>
  </r>
  <r>
    <x v="1"/>
    <x v="6"/>
    <x v="7"/>
    <x v="3"/>
    <n v="151.6"/>
  </r>
  <r>
    <x v="1"/>
    <x v="6"/>
    <x v="7"/>
    <x v="4"/>
    <n v="125.5"/>
  </r>
  <r>
    <x v="1"/>
    <x v="6"/>
    <x v="7"/>
    <x v="5"/>
    <n v="960.40000000000009"/>
  </r>
  <r>
    <x v="2"/>
    <x v="6"/>
    <x v="7"/>
    <x v="0"/>
    <n v="1846.5"/>
  </r>
  <r>
    <x v="2"/>
    <x v="6"/>
    <x v="7"/>
    <x v="1"/>
    <n v="165.8"/>
  </r>
  <r>
    <x v="2"/>
    <x v="6"/>
    <x v="7"/>
    <x v="2"/>
    <n v="437.6"/>
  </r>
  <r>
    <x v="2"/>
    <x v="6"/>
    <x v="7"/>
    <x v="3"/>
    <n v="151.6"/>
  </r>
  <r>
    <x v="2"/>
    <x v="6"/>
    <x v="7"/>
    <x v="4"/>
    <n v="138.5"/>
  </r>
  <r>
    <x v="2"/>
    <x v="6"/>
    <x v="7"/>
    <x v="5"/>
    <n v="993.2"/>
  </r>
  <r>
    <x v="0"/>
    <x v="6"/>
    <x v="8"/>
    <x v="0"/>
    <n v="1848.7"/>
  </r>
  <r>
    <x v="0"/>
    <x v="6"/>
    <x v="8"/>
    <x v="1"/>
    <n v="165.7"/>
  </r>
  <r>
    <x v="0"/>
    <x v="6"/>
    <x v="8"/>
    <x v="2"/>
    <n v="449.29999999999995"/>
  </r>
  <r>
    <x v="0"/>
    <x v="6"/>
    <x v="8"/>
    <x v="3"/>
    <n v="152.6"/>
  </r>
  <r>
    <x v="0"/>
    <x v="6"/>
    <x v="8"/>
    <x v="4"/>
    <n v="146.9"/>
  </r>
  <r>
    <x v="0"/>
    <x v="6"/>
    <x v="8"/>
    <x v="5"/>
    <n v="1029.4000000000003"/>
  </r>
  <r>
    <x v="1"/>
    <x v="6"/>
    <x v="8"/>
    <x v="0"/>
    <n v="1874.9"/>
  </r>
  <r>
    <x v="1"/>
    <x v="6"/>
    <x v="8"/>
    <x v="1"/>
    <n v="168.6"/>
  </r>
  <r>
    <x v="1"/>
    <x v="6"/>
    <x v="8"/>
    <x v="2"/>
    <n v="420.8"/>
  </r>
  <r>
    <x v="1"/>
    <x v="6"/>
    <x v="8"/>
    <x v="3"/>
    <n v="152.19999999999999"/>
  </r>
  <r>
    <x v="1"/>
    <x v="6"/>
    <x v="8"/>
    <x v="4"/>
    <n v="126.6"/>
  </r>
  <r>
    <x v="1"/>
    <x v="6"/>
    <x v="8"/>
    <x v="5"/>
    <n v="963.60000000000014"/>
  </r>
  <r>
    <x v="2"/>
    <x v="6"/>
    <x v="8"/>
    <x v="0"/>
    <n v="1857.6999999999998"/>
  </r>
  <r>
    <x v="2"/>
    <x v="6"/>
    <x v="8"/>
    <x v="1"/>
    <n v="166.5"/>
  </r>
  <r>
    <x v="2"/>
    <x v="6"/>
    <x v="8"/>
    <x v="2"/>
    <n v="437.69999999999993"/>
  </r>
  <r>
    <x v="2"/>
    <x v="6"/>
    <x v="8"/>
    <x v="3"/>
    <n v="152.19999999999999"/>
  </r>
  <r>
    <x v="2"/>
    <x v="6"/>
    <x v="8"/>
    <x v="4"/>
    <n v="139.19999999999999"/>
  </r>
  <r>
    <x v="2"/>
    <x v="6"/>
    <x v="8"/>
    <x v="5"/>
    <n v="996.60000000000014"/>
  </r>
  <r>
    <x v="0"/>
    <x v="6"/>
    <x v="9"/>
    <x v="0"/>
    <n v="1876.8999999999996"/>
  </r>
  <r>
    <x v="0"/>
    <x v="6"/>
    <x v="9"/>
    <x v="1"/>
    <n v="166.3"/>
  </r>
  <r>
    <x v="0"/>
    <x v="6"/>
    <x v="9"/>
    <x v="2"/>
    <n v="449.4"/>
  </r>
  <r>
    <x v="0"/>
    <x v="6"/>
    <x v="9"/>
    <x v="3"/>
    <n v="153.30000000000001"/>
  </r>
  <r>
    <x v="0"/>
    <x v="6"/>
    <x v="9"/>
    <x v="4"/>
    <n v="147.69999999999999"/>
  </r>
  <r>
    <x v="0"/>
    <x v="6"/>
    <x v="9"/>
    <x v="5"/>
    <n v="1031.3999999999999"/>
  </r>
  <r>
    <x v="1"/>
    <x v="6"/>
    <x v="9"/>
    <x v="0"/>
    <n v="1902.6000000000001"/>
  </r>
  <r>
    <x v="1"/>
    <x v="6"/>
    <x v="9"/>
    <x v="1"/>
    <n v="169.3"/>
  </r>
  <r>
    <x v="1"/>
    <x v="6"/>
    <x v="9"/>
    <x v="2"/>
    <n v="422.20000000000005"/>
  </r>
  <r>
    <x v="1"/>
    <x v="6"/>
    <x v="9"/>
    <x v="3"/>
    <n v="153"/>
  </r>
  <r>
    <x v="1"/>
    <x v="6"/>
    <x v="9"/>
    <x v="4"/>
    <n v="128.9"/>
  </r>
  <r>
    <x v="1"/>
    <x v="6"/>
    <x v="9"/>
    <x v="5"/>
    <n v="966"/>
  </r>
  <r>
    <x v="2"/>
    <x v="6"/>
    <x v="9"/>
    <x v="0"/>
    <n v="1885.5999999999997"/>
  </r>
  <r>
    <x v="2"/>
    <x v="6"/>
    <x v="9"/>
    <x v="1"/>
    <n v="167.1"/>
  </r>
  <r>
    <x v="2"/>
    <x v="6"/>
    <x v="9"/>
    <x v="2"/>
    <n v="438.40000000000003"/>
  </r>
  <r>
    <x v="2"/>
    <x v="6"/>
    <x v="9"/>
    <x v="3"/>
    <n v="153"/>
  </r>
  <r>
    <x v="2"/>
    <x v="6"/>
    <x v="9"/>
    <x v="4"/>
    <n v="140.6"/>
  </r>
  <r>
    <x v="2"/>
    <x v="6"/>
    <x v="9"/>
    <x v="5"/>
    <n v="998.8"/>
  </r>
  <r>
    <x v="0"/>
    <x v="6"/>
    <x v="11"/>
    <x v="0"/>
    <n v="1904.6000000000001"/>
  </r>
  <r>
    <x v="0"/>
    <x v="6"/>
    <x v="11"/>
    <x v="1"/>
    <n v="167.2"/>
  </r>
  <r>
    <x v="0"/>
    <x v="6"/>
    <x v="11"/>
    <x v="2"/>
    <n v="450.8"/>
  </r>
  <r>
    <x v="0"/>
    <x v="6"/>
    <x v="11"/>
    <x v="3"/>
    <n v="153.19999999999999"/>
  </r>
  <r>
    <x v="0"/>
    <x v="6"/>
    <x v="11"/>
    <x v="4"/>
    <n v="148.4"/>
  </r>
  <r>
    <x v="0"/>
    <x v="6"/>
    <x v="11"/>
    <x v="5"/>
    <n v="1033.9000000000001"/>
  </r>
  <r>
    <x v="1"/>
    <x v="6"/>
    <x v="11"/>
    <x v="0"/>
    <n v="1923.9999999999998"/>
  </r>
  <r>
    <x v="1"/>
    <x v="6"/>
    <x v="11"/>
    <x v="1"/>
    <n v="169.9"/>
  </r>
  <r>
    <x v="1"/>
    <x v="6"/>
    <x v="11"/>
    <x v="2"/>
    <n v="423.09999999999997"/>
  </r>
  <r>
    <x v="1"/>
    <x v="6"/>
    <x v="11"/>
    <x v="3"/>
    <n v="153.5"/>
  </r>
  <r>
    <x v="1"/>
    <x v="6"/>
    <x v="11"/>
    <x v="4"/>
    <n v="132.19999999999999"/>
  </r>
  <r>
    <x v="1"/>
    <x v="6"/>
    <x v="11"/>
    <x v="5"/>
    <n v="968.19999999999982"/>
  </r>
  <r>
    <x v="2"/>
    <x v="6"/>
    <x v="11"/>
    <x v="0"/>
    <n v="1910.9"/>
  </r>
  <r>
    <x v="2"/>
    <x v="6"/>
    <x v="11"/>
    <x v="1"/>
    <n v="167.9"/>
  </r>
  <r>
    <x v="2"/>
    <x v="6"/>
    <x v="11"/>
    <x v="2"/>
    <n v="439.5"/>
  </r>
  <r>
    <x v="2"/>
    <x v="6"/>
    <x v="11"/>
    <x v="3"/>
    <n v="153.5"/>
  </r>
  <r>
    <x v="2"/>
    <x v="6"/>
    <x v="11"/>
    <x v="4"/>
    <n v="142.30000000000001"/>
  </r>
  <r>
    <x v="2"/>
    <x v="6"/>
    <x v="11"/>
    <x v="5"/>
    <n v="1001"/>
  </r>
  <r>
    <x v="0"/>
    <x v="6"/>
    <x v="12"/>
    <x v="0"/>
    <n v="1940.9999999999995"/>
  </r>
  <r>
    <x v="0"/>
    <x v="6"/>
    <x v="12"/>
    <x v="1"/>
    <n v="167.8"/>
  </r>
  <r>
    <x v="0"/>
    <x v="6"/>
    <x v="12"/>
    <x v="2"/>
    <n v="451.79999999999995"/>
  </r>
  <r>
    <x v="0"/>
    <x v="6"/>
    <x v="12"/>
    <x v="3"/>
    <n v="153.4"/>
  </r>
  <r>
    <x v="0"/>
    <x v="6"/>
    <x v="12"/>
    <x v="4"/>
    <n v="149.9"/>
  </r>
  <r>
    <x v="0"/>
    <x v="6"/>
    <x v="12"/>
    <x v="5"/>
    <n v="1039.3"/>
  </r>
  <r>
    <x v="1"/>
    <x v="6"/>
    <x v="12"/>
    <x v="0"/>
    <n v="1956.7"/>
  </r>
  <r>
    <x v="1"/>
    <x v="6"/>
    <x v="12"/>
    <x v="1"/>
    <n v="170.4"/>
  </r>
  <r>
    <x v="1"/>
    <x v="6"/>
    <x v="12"/>
    <x v="2"/>
    <n v="424.20000000000005"/>
  </r>
  <r>
    <x v="1"/>
    <x v="6"/>
    <x v="12"/>
    <x v="3"/>
    <n v="152.80000000000001"/>
  </r>
  <r>
    <x v="1"/>
    <x v="6"/>
    <x v="12"/>
    <x v="4"/>
    <n v="133.6"/>
  </r>
  <r>
    <x v="1"/>
    <x v="6"/>
    <x v="12"/>
    <x v="5"/>
    <n v="974.8"/>
  </r>
  <r>
    <x v="2"/>
    <x v="6"/>
    <x v="12"/>
    <x v="0"/>
    <n v="1946.1000000000001"/>
  </r>
  <r>
    <x v="2"/>
    <x v="6"/>
    <x v="12"/>
    <x v="1"/>
    <n v="168.5"/>
  </r>
  <r>
    <x v="2"/>
    <x v="6"/>
    <x v="12"/>
    <x v="2"/>
    <n v="440.6"/>
  </r>
  <r>
    <x v="2"/>
    <x v="6"/>
    <x v="12"/>
    <x v="3"/>
    <n v="152.80000000000001"/>
  </r>
  <r>
    <x v="2"/>
    <x v="6"/>
    <x v="12"/>
    <x v="4"/>
    <n v="143.69999999999999"/>
  </r>
  <r>
    <x v="2"/>
    <x v="6"/>
    <x v="12"/>
    <x v="5"/>
    <n v="1006.9"/>
  </r>
  <r>
    <x v="0"/>
    <x v="7"/>
    <x v="0"/>
    <x v="0"/>
    <n v="1938.6"/>
  </r>
  <r>
    <x v="0"/>
    <x v="7"/>
    <x v="0"/>
    <x v="1"/>
    <n v="168.6"/>
  </r>
  <r>
    <x v="0"/>
    <x v="7"/>
    <x v="0"/>
    <x v="2"/>
    <n v="452.30000000000007"/>
  </r>
  <r>
    <x v="0"/>
    <x v="7"/>
    <x v="0"/>
    <x v="3"/>
    <n v="154.4"/>
  </r>
  <r>
    <x v="0"/>
    <x v="7"/>
    <x v="0"/>
    <x v="4"/>
    <n v="150.4"/>
  </r>
  <r>
    <x v="0"/>
    <x v="7"/>
    <x v="0"/>
    <x v="5"/>
    <n v="1046.0999999999999"/>
  </r>
  <r>
    <x v="1"/>
    <x v="7"/>
    <x v="0"/>
    <x v="0"/>
    <n v="1945.3999999999999"/>
  </r>
  <r>
    <x v="1"/>
    <x v="7"/>
    <x v="0"/>
    <x v="1"/>
    <n v="170.8"/>
  </r>
  <r>
    <x v="1"/>
    <x v="7"/>
    <x v="0"/>
    <x v="2"/>
    <n v="425.1"/>
  </r>
  <r>
    <x v="1"/>
    <x v="7"/>
    <x v="0"/>
    <x v="3"/>
    <n v="153.9"/>
  </r>
  <r>
    <x v="1"/>
    <x v="7"/>
    <x v="0"/>
    <x v="4"/>
    <n v="135.1"/>
  </r>
  <r>
    <x v="1"/>
    <x v="7"/>
    <x v="0"/>
    <x v="5"/>
    <n v="979.80000000000007"/>
  </r>
  <r>
    <x v="2"/>
    <x v="7"/>
    <x v="0"/>
    <x v="0"/>
    <n v="1940.3999999999999"/>
  </r>
  <r>
    <x v="2"/>
    <x v="7"/>
    <x v="0"/>
    <x v="1"/>
    <n v="169.2"/>
  </r>
  <r>
    <x v="2"/>
    <x v="7"/>
    <x v="0"/>
    <x v="2"/>
    <n v="441.2"/>
  </r>
  <r>
    <x v="2"/>
    <x v="7"/>
    <x v="0"/>
    <x v="3"/>
    <n v="153.9"/>
  </r>
  <r>
    <x v="2"/>
    <x v="7"/>
    <x v="0"/>
    <x v="4"/>
    <n v="144.6"/>
  </r>
  <r>
    <x v="2"/>
    <x v="7"/>
    <x v="0"/>
    <x v="5"/>
    <n v="1012.9"/>
  </r>
  <r>
    <x v="0"/>
    <x v="7"/>
    <x v="1"/>
    <x v="0"/>
    <n v="1909.7999999999997"/>
  </r>
  <r>
    <x v="0"/>
    <x v="7"/>
    <x v="1"/>
    <x v="1"/>
    <n v="169.4"/>
  </r>
  <r>
    <x v="0"/>
    <x v="7"/>
    <x v="1"/>
    <x v="2"/>
    <n v="452.8"/>
  </r>
  <r>
    <x v="0"/>
    <x v="7"/>
    <x v="1"/>
    <x v="3"/>
    <n v="154.69999999999999"/>
  </r>
  <r>
    <x v="0"/>
    <x v="7"/>
    <x v="1"/>
    <x v="4"/>
    <n v="152.30000000000001"/>
  </r>
  <r>
    <x v="0"/>
    <x v="7"/>
    <x v="1"/>
    <x v="5"/>
    <n v="1048.0999999999999"/>
  </r>
  <r>
    <x v="1"/>
    <x v="7"/>
    <x v="1"/>
    <x v="0"/>
    <n v="1916.6"/>
  </r>
  <r>
    <x v="1"/>
    <x v="7"/>
    <x v="1"/>
    <x v="1"/>
    <n v="172"/>
  </r>
  <r>
    <x v="1"/>
    <x v="7"/>
    <x v="1"/>
    <x v="2"/>
    <n v="426"/>
  </r>
  <r>
    <x v="1"/>
    <x v="7"/>
    <x v="1"/>
    <x v="3"/>
    <n v="154.80000000000001"/>
  </r>
  <r>
    <x v="1"/>
    <x v="7"/>
    <x v="1"/>
    <x v="4"/>
    <n v="138.9"/>
  </r>
  <r>
    <x v="1"/>
    <x v="7"/>
    <x v="1"/>
    <x v="5"/>
    <n v="981.80000000000007"/>
  </r>
  <r>
    <x v="2"/>
    <x v="7"/>
    <x v="1"/>
    <x v="0"/>
    <n v="1911.6"/>
  </r>
  <r>
    <x v="2"/>
    <x v="7"/>
    <x v="1"/>
    <x v="1"/>
    <n v="170.1"/>
  </r>
  <r>
    <x v="2"/>
    <x v="7"/>
    <x v="1"/>
    <x v="2"/>
    <n v="442"/>
  </r>
  <r>
    <x v="2"/>
    <x v="7"/>
    <x v="1"/>
    <x v="3"/>
    <n v="154.80000000000001"/>
  </r>
  <r>
    <x v="2"/>
    <x v="7"/>
    <x v="1"/>
    <x v="4"/>
    <n v="147.19999999999999"/>
  </r>
  <r>
    <x v="2"/>
    <x v="7"/>
    <x v="1"/>
    <x v="5"/>
    <n v="1014.8"/>
  </r>
  <r>
    <x v="0"/>
    <x v="7"/>
    <x v="2"/>
    <x v="0"/>
    <n v="1894.5999999999997"/>
  </r>
  <r>
    <x v="0"/>
    <x v="7"/>
    <x v="2"/>
    <x v="1"/>
    <n v="170.5"/>
  </r>
  <r>
    <x v="0"/>
    <x v="7"/>
    <x v="2"/>
    <x v="2"/>
    <n v="453.5"/>
  </r>
  <r>
    <x v="0"/>
    <x v="7"/>
    <x v="2"/>
    <x v="3"/>
    <n v="155.1"/>
  </r>
  <r>
    <x v="0"/>
    <x v="7"/>
    <x v="2"/>
    <x v="4"/>
    <n v="153.4"/>
  </r>
  <r>
    <x v="0"/>
    <x v="7"/>
    <x v="2"/>
    <x v="5"/>
    <n v="1050.1000000000001"/>
  </r>
  <r>
    <x v="1"/>
    <x v="7"/>
    <x v="2"/>
    <x v="0"/>
    <n v="1898.5"/>
  </r>
  <r>
    <x v="1"/>
    <x v="7"/>
    <x v="2"/>
    <x v="1"/>
    <n v="173.3"/>
  </r>
  <r>
    <x v="1"/>
    <x v="7"/>
    <x v="2"/>
    <x v="2"/>
    <n v="427.1"/>
  </r>
  <r>
    <x v="1"/>
    <x v="7"/>
    <x v="2"/>
    <x v="3"/>
    <n v="154.5"/>
  </r>
  <r>
    <x v="1"/>
    <x v="7"/>
    <x v="2"/>
    <x v="4"/>
    <n v="141.4"/>
  </r>
  <r>
    <x v="1"/>
    <x v="7"/>
    <x v="2"/>
    <x v="5"/>
    <n v="984.8"/>
  </r>
  <r>
    <x v="2"/>
    <x v="7"/>
    <x v="2"/>
    <x v="0"/>
    <n v="1895.4"/>
  </r>
  <r>
    <x v="2"/>
    <x v="7"/>
    <x v="2"/>
    <x v="1"/>
    <n v="171.2"/>
  </r>
  <r>
    <x v="2"/>
    <x v="7"/>
    <x v="2"/>
    <x v="2"/>
    <n v="442.90000000000003"/>
  </r>
  <r>
    <x v="2"/>
    <x v="7"/>
    <x v="2"/>
    <x v="3"/>
    <n v="154.5"/>
  </r>
  <r>
    <x v="2"/>
    <x v="7"/>
    <x v="2"/>
    <x v="4"/>
    <n v="148.9"/>
  </r>
  <r>
    <x v="2"/>
    <x v="7"/>
    <x v="2"/>
    <x v="5"/>
    <n v="1017.3999999999999"/>
  </r>
  <r>
    <x v="0"/>
    <x v="7"/>
    <x v="3"/>
    <x v="0"/>
    <n v="1966.9"/>
  </r>
  <r>
    <x v="0"/>
    <x v="7"/>
    <x v="3"/>
    <x v="1"/>
    <n v="182.4"/>
  </r>
  <r>
    <x v="0"/>
    <x v="7"/>
    <x v="3"/>
    <x v="2"/>
    <n v="458.79999999999995"/>
  </r>
  <r>
    <x v="0"/>
    <x v="7"/>
    <x v="3"/>
    <x v="3"/>
    <n v="155.6"/>
  </r>
  <r>
    <x v="0"/>
    <x v="7"/>
    <x v="3"/>
    <x v="4"/>
    <n v="148.4"/>
  </r>
  <r>
    <x v="0"/>
    <x v="7"/>
    <x v="3"/>
    <x v="5"/>
    <n v="1065.3"/>
  </r>
  <r>
    <x v="1"/>
    <x v="7"/>
    <x v="3"/>
    <x v="0"/>
    <n v="1992.2"/>
  </r>
  <r>
    <x v="1"/>
    <x v="7"/>
    <x v="3"/>
    <x v="1"/>
    <n v="184.6"/>
  </r>
  <r>
    <x v="1"/>
    <x v="7"/>
    <x v="3"/>
    <x v="2"/>
    <n v="445.90000000000003"/>
  </r>
  <r>
    <x v="1"/>
    <x v="7"/>
    <x v="3"/>
    <x v="3"/>
    <n v="155.6"/>
  </r>
  <r>
    <x v="1"/>
    <x v="7"/>
    <x v="3"/>
    <x v="4"/>
    <n v="137.1"/>
  </r>
  <r>
    <x v="1"/>
    <x v="7"/>
    <x v="3"/>
    <x v="5"/>
    <n v="1031"/>
  </r>
  <r>
    <x v="2"/>
    <x v="7"/>
    <x v="3"/>
    <x v="0"/>
    <n v="1977.8"/>
  </r>
  <r>
    <x v="2"/>
    <x v="7"/>
    <x v="3"/>
    <x v="1"/>
    <n v="184.2"/>
  </r>
  <r>
    <x v="2"/>
    <x v="7"/>
    <x v="3"/>
    <x v="2"/>
    <n v="446.69999999999993"/>
  </r>
  <r>
    <x v="2"/>
    <x v="7"/>
    <x v="3"/>
    <x v="3"/>
    <n v="155.6"/>
  </r>
  <r>
    <x v="2"/>
    <x v="7"/>
    <x v="3"/>
    <x v="4"/>
    <n v="144.1"/>
  </r>
  <r>
    <x v="2"/>
    <x v="7"/>
    <x v="3"/>
    <x v="5"/>
    <n v="1036.3"/>
  </r>
  <r>
    <x v="0"/>
    <x v="7"/>
    <x v="4"/>
    <x v="0"/>
    <n v="1966.1000000000001"/>
  </r>
  <r>
    <x v="0"/>
    <x v="7"/>
    <x v="4"/>
    <x v="1"/>
    <n v="183.8"/>
  </r>
  <r>
    <x v="0"/>
    <x v="7"/>
    <x v="4"/>
    <x v="2"/>
    <n v="449.8"/>
  </r>
  <r>
    <x v="0"/>
    <x v="7"/>
    <x v="4"/>
    <x v="3"/>
    <n v="154.69999999999999"/>
  </r>
  <r>
    <x v="0"/>
    <x v="7"/>
    <x v="4"/>
    <x v="4"/>
    <n v="142.19999999999999"/>
  </r>
  <r>
    <x v="0"/>
    <x v="7"/>
    <x v="4"/>
    <x v="5"/>
    <n v="1046.7"/>
  </r>
  <r>
    <x v="1"/>
    <x v="7"/>
    <x v="4"/>
    <x v="0"/>
    <n v="1971.6999999999998"/>
  </r>
  <r>
    <x v="1"/>
    <x v="7"/>
    <x v="4"/>
    <x v="1"/>
    <n v="184.3"/>
  </r>
  <r>
    <x v="1"/>
    <x v="7"/>
    <x v="4"/>
    <x v="2"/>
    <n v="446.3"/>
  </r>
  <r>
    <x v="1"/>
    <x v="7"/>
    <x v="4"/>
    <x v="3"/>
    <n v="154.69999999999999"/>
  </r>
  <r>
    <x v="1"/>
    <x v="7"/>
    <x v="4"/>
    <x v="4"/>
    <n v="141.19999999999999"/>
  </r>
  <r>
    <x v="1"/>
    <x v="7"/>
    <x v="4"/>
    <x v="5"/>
    <n v="1039.1000000000001"/>
  </r>
  <r>
    <x v="2"/>
    <x v="7"/>
    <x v="4"/>
    <x v="0"/>
    <n v="1971"/>
  </r>
  <r>
    <x v="2"/>
    <x v="7"/>
    <x v="4"/>
    <x v="1"/>
    <n v="184.2"/>
  </r>
  <r>
    <x v="2"/>
    <x v="7"/>
    <x v="4"/>
    <x v="2"/>
    <n v="446.69999999999993"/>
  </r>
  <r>
    <x v="2"/>
    <x v="7"/>
    <x v="4"/>
    <x v="3"/>
    <n v="154.69999999999999"/>
  </r>
  <r>
    <x v="2"/>
    <x v="7"/>
    <x v="4"/>
    <x v="4"/>
    <n v="141.30000000000001"/>
  </r>
  <r>
    <x v="2"/>
    <x v="7"/>
    <x v="4"/>
    <x v="5"/>
    <n v="1039.2"/>
  </r>
  <r>
    <x v="0"/>
    <x v="7"/>
    <x v="5"/>
    <x v="0"/>
    <n v="1951"/>
  </r>
  <r>
    <x v="0"/>
    <x v="7"/>
    <x v="5"/>
    <x v="1"/>
    <n v="182.4"/>
  </r>
  <r>
    <x v="0"/>
    <x v="7"/>
    <x v="5"/>
    <x v="2"/>
    <n v="458.79999999999995"/>
  </r>
  <r>
    <x v="0"/>
    <x v="7"/>
    <x v="5"/>
    <x v="3"/>
    <n v="154.69999999999999"/>
  </r>
  <r>
    <x v="0"/>
    <x v="7"/>
    <x v="5"/>
    <x v="4"/>
    <n v="144.9"/>
  </r>
  <r>
    <x v="0"/>
    <x v="7"/>
    <x v="5"/>
    <x v="5"/>
    <n v="1069.2"/>
  </r>
  <r>
    <x v="1"/>
    <x v="7"/>
    <x v="5"/>
    <x v="0"/>
    <n v="1994.9999999999998"/>
  </r>
  <r>
    <x v="1"/>
    <x v="7"/>
    <x v="5"/>
    <x v="1"/>
    <n v="186.7"/>
  </r>
  <r>
    <x v="1"/>
    <x v="7"/>
    <x v="5"/>
    <x v="2"/>
    <n v="432.9"/>
  </r>
  <r>
    <x v="1"/>
    <x v="7"/>
    <x v="5"/>
    <x v="3"/>
    <n v="154.69999999999999"/>
  </r>
  <r>
    <x v="1"/>
    <x v="7"/>
    <x v="5"/>
    <x v="4"/>
    <n v="137.1"/>
  </r>
  <r>
    <x v="1"/>
    <x v="7"/>
    <x v="5"/>
    <x v="5"/>
    <n v="1009"/>
  </r>
  <r>
    <x v="2"/>
    <x v="7"/>
    <x v="5"/>
    <x v="0"/>
    <n v="1966.8000000000002"/>
  </r>
  <r>
    <x v="2"/>
    <x v="7"/>
    <x v="5"/>
    <x v="1"/>
    <n v="183.5"/>
  </r>
  <r>
    <x v="2"/>
    <x v="7"/>
    <x v="5"/>
    <x v="2"/>
    <n v="448.29999999999995"/>
  </r>
  <r>
    <x v="2"/>
    <x v="7"/>
    <x v="5"/>
    <x v="3"/>
    <n v="154.69999999999999"/>
  </r>
  <r>
    <x v="2"/>
    <x v="7"/>
    <x v="5"/>
    <x v="4"/>
    <n v="141.9"/>
  </r>
  <r>
    <x v="2"/>
    <x v="7"/>
    <x v="5"/>
    <x v="5"/>
    <n v="1039.0999999999999"/>
  </r>
  <r>
    <x v="0"/>
    <x v="7"/>
    <x v="6"/>
    <x v="0"/>
    <n v="1951"/>
  </r>
  <r>
    <x v="0"/>
    <x v="7"/>
    <x v="6"/>
    <x v="1"/>
    <n v="182.4"/>
  </r>
  <r>
    <x v="0"/>
    <x v="7"/>
    <x v="6"/>
    <x v="2"/>
    <n v="458.79999999999995"/>
  </r>
  <r>
    <x v="0"/>
    <x v="7"/>
    <x v="6"/>
    <x v="3"/>
    <n v="155.1"/>
  </r>
  <r>
    <x v="0"/>
    <x v="7"/>
    <x v="6"/>
    <x v="4"/>
    <n v="144.9"/>
  </r>
  <r>
    <x v="0"/>
    <x v="7"/>
    <x v="6"/>
    <x v="5"/>
    <n v="1069.2"/>
  </r>
  <r>
    <x v="1"/>
    <x v="7"/>
    <x v="6"/>
    <x v="0"/>
    <n v="1994.9999999999998"/>
  </r>
  <r>
    <x v="1"/>
    <x v="7"/>
    <x v="6"/>
    <x v="1"/>
    <n v="186.7"/>
  </r>
  <r>
    <x v="1"/>
    <x v="7"/>
    <x v="6"/>
    <x v="2"/>
    <n v="432.9"/>
  </r>
  <r>
    <x v="1"/>
    <x v="7"/>
    <x v="6"/>
    <x v="3"/>
    <n v="154.69999999999999"/>
  </r>
  <r>
    <x v="1"/>
    <x v="7"/>
    <x v="6"/>
    <x v="4"/>
    <n v="137.1"/>
  </r>
  <r>
    <x v="1"/>
    <x v="7"/>
    <x v="6"/>
    <x v="5"/>
    <n v="1009"/>
  </r>
  <r>
    <x v="2"/>
    <x v="7"/>
    <x v="6"/>
    <x v="0"/>
    <n v="1966.8000000000002"/>
  </r>
  <r>
    <x v="2"/>
    <x v="7"/>
    <x v="6"/>
    <x v="1"/>
    <n v="183.5"/>
  </r>
  <r>
    <x v="2"/>
    <x v="7"/>
    <x v="6"/>
    <x v="2"/>
    <n v="448.29999999999995"/>
  </r>
  <r>
    <x v="2"/>
    <x v="7"/>
    <x v="6"/>
    <x v="3"/>
    <n v="154.69999999999999"/>
  </r>
  <r>
    <x v="2"/>
    <x v="7"/>
    <x v="6"/>
    <x v="4"/>
    <n v="141.9"/>
  </r>
  <r>
    <x v="2"/>
    <x v="7"/>
    <x v="6"/>
    <x v="5"/>
    <n v="1039.0999999999999"/>
  </r>
  <r>
    <x v="0"/>
    <x v="7"/>
    <x v="7"/>
    <x v="0"/>
    <n v="1978.6"/>
  </r>
  <r>
    <x v="0"/>
    <x v="7"/>
    <x v="7"/>
    <x v="1"/>
    <n v="180.9"/>
  </r>
  <r>
    <x v="0"/>
    <x v="7"/>
    <x v="7"/>
    <x v="2"/>
    <n v="458.7"/>
  </r>
  <r>
    <x v="0"/>
    <x v="7"/>
    <x v="7"/>
    <x v="3"/>
    <n v="155.9"/>
  </r>
  <r>
    <x v="0"/>
    <x v="7"/>
    <x v="7"/>
    <x v="4"/>
    <n v="145.80000000000001"/>
  </r>
  <r>
    <x v="0"/>
    <x v="7"/>
    <x v="7"/>
    <x v="5"/>
    <n v="1075.8000000000002"/>
  </r>
  <r>
    <x v="1"/>
    <x v="7"/>
    <x v="7"/>
    <x v="0"/>
    <n v="2024.8999999999999"/>
  </r>
  <r>
    <x v="1"/>
    <x v="7"/>
    <x v="7"/>
    <x v="1"/>
    <n v="187.2"/>
  </r>
  <r>
    <x v="1"/>
    <x v="7"/>
    <x v="7"/>
    <x v="2"/>
    <n v="433"/>
  </r>
  <r>
    <x v="1"/>
    <x v="7"/>
    <x v="7"/>
    <x v="3"/>
    <n v="155.5"/>
  </r>
  <r>
    <x v="1"/>
    <x v="7"/>
    <x v="7"/>
    <x v="4"/>
    <n v="138.30000000000001"/>
  </r>
  <r>
    <x v="1"/>
    <x v="7"/>
    <x v="7"/>
    <x v="5"/>
    <n v="1023.8"/>
  </r>
  <r>
    <x v="2"/>
    <x v="7"/>
    <x v="7"/>
    <x v="0"/>
    <n v="1995.1999999999998"/>
  </r>
  <r>
    <x v="2"/>
    <x v="7"/>
    <x v="7"/>
    <x v="1"/>
    <n v="182.6"/>
  </r>
  <r>
    <x v="2"/>
    <x v="7"/>
    <x v="7"/>
    <x v="2"/>
    <n v="448.2"/>
  </r>
  <r>
    <x v="2"/>
    <x v="7"/>
    <x v="7"/>
    <x v="3"/>
    <n v="155.5"/>
  </r>
  <r>
    <x v="2"/>
    <x v="7"/>
    <x v="7"/>
    <x v="4"/>
    <n v="143"/>
  </r>
  <r>
    <x v="2"/>
    <x v="7"/>
    <x v="7"/>
    <x v="5"/>
    <n v="1049.7"/>
  </r>
  <r>
    <x v="0"/>
    <x v="7"/>
    <x v="8"/>
    <x v="0"/>
    <n v="1987.3999999999999"/>
  </r>
  <r>
    <x v="0"/>
    <x v="7"/>
    <x v="8"/>
    <x v="1"/>
    <n v="182.9"/>
  </r>
  <r>
    <x v="0"/>
    <x v="7"/>
    <x v="8"/>
    <x v="2"/>
    <n v="459.9"/>
  </r>
  <r>
    <x v="0"/>
    <x v="7"/>
    <x v="8"/>
    <x v="3"/>
    <n v="156.4"/>
  </r>
  <r>
    <x v="0"/>
    <x v="7"/>
    <x v="8"/>
    <x v="4"/>
    <n v="146.4"/>
  </r>
  <r>
    <x v="0"/>
    <x v="7"/>
    <x v="8"/>
    <x v="5"/>
    <n v="1080.3"/>
  </r>
  <r>
    <x v="1"/>
    <x v="7"/>
    <x v="8"/>
    <x v="0"/>
    <n v="2041.6000000000001"/>
  </r>
  <r>
    <x v="1"/>
    <x v="7"/>
    <x v="8"/>
    <x v="1"/>
    <n v="188.7"/>
  </r>
  <r>
    <x v="1"/>
    <x v="7"/>
    <x v="8"/>
    <x v="2"/>
    <n v="434.6"/>
  </r>
  <r>
    <x v="1"/>
    <x v="7"/>
    <x v="8"/>
    <x v="3"/>
    <n v="156.30000000000001"/>
  </r>
  <r>
    <x v="1"/>
    <x v="7"/>
    <x v="8"/>
    <x v="4"/>
    <n v="137.19999999999999"/>
  </r>
  <r>
    <x v="1"/>
    <x v="7"/>
    <x v="8"/>
    <x v="5"/>
    <n v="1033"/>
  </r>
  <r>
    <x v="2"/>
    <x v="7"/>
    <x v="8"/>
    <x v="0"/>
    <n v="2007"/>
  </r>
  <r>
    <x v="2"/>
    <x v="7"/>
    <x v="8"/>
    <x v="1"/>
    <n v="184.4"/>
  </r>
  <r>
    <x v="2"/>
    <x v="7"/>
    <x v="8"/>
    <x v="2"/>
    <n v="449.70000000000005"/>
  </r>
  <r>
    <x v="2"/>
    <x v="7"/>
    <x v="8"/>
    <x v="3"/>
    <n v="156.30000000000001"/>
  </r>
  <r>
    <x v="2"/>
    <x v="7"/>
    <x v="8"/>
    <x v="4"/>
    <n v="142.9"/>
  </r>
  <r>
    <x v="2"/>
    <x v="7"/>
    <x v="8"/>
    <x v="5"/>
    <n v="1056.4000000000001"/>
  </r>
  <r>
    <x v="0"/>
    <x v="7"/>
    <x v="9"/>
    <x v="0"/>
    <n v="2030.9"/>
  </r>
  <r>
    <x v="0"/>
    <x v="7"/>
    <x v="9"/>
    <x v="1"/>
    <n v="182.7"/>
  </r>
  <r>
    <x v="0"/>
    <x v="7"/>
    <x v="9"/>
    <x v="2"/>
    <n v="461.29999999999995"/>
  </r>
  <r>
    <x v="0"/>
    <x v="7"/>
    <x v="9"/>
    <x v="3"/>
    <n v="157.30000000000001"/>
  </r>
  <r>
    <x v="0"/>
    <x v="7"/>
    <x v="9"/>
    <x v="4"/>
    <n v="146.80000000000001"/>
  </r>
  <r>
    <x v="0"/>
    <x v="7"/>
    <x v="9"/>
    <x v="5"/>
    <n v="1083.3"/>
  </r>
  <r>
    <x v="1"/>
    <x v="7"/>
    <x v="9"/>
    <x v="0"/>
    <n v="2080.1999999999998"/>
  </r>
  <r>
    <x v="1"/>
    <x v="7"/>
    <x v="9"/>
    <x v="1"/>
    <n v="188.7"/>
  </r>
  <r>
    <x v="1"/>
    <x v="7"/>
    <x v="9"/>
    <x v="2"/>
    <n v="434.90000000000003"/>
  </r>
  <r>
    <x v="1"/>
    <x v="7"/>
    <x v="9"/>
    <x v="3"/>
    <n v="156.5"/>
  </r>
  <r>
    <x v="1"/>
    <x v="7"/>
    <x v="9"/>
    <x v="4"/>
    <n v="137.1"/>
  </r>
  <r>
    <x v="1"/>
    <x v="7"/>
    <x v="9"/>
    <x v="5"/>
    <n v="1033.5"/>
  </r>
  <r>
    <x v="2"/>
    <x v="7"/>
    <x v="9"/>
    <x v="0"/>
    <n v="2048.6000000000004"/>
  </r>
  <r>
    <x v="2"/>
    <x v="7"/>
    <x v="9"/>
    <x v="1"/>
    <n v="184.3"/>
  </r>
  <r>
    <x v="2"/>
    <x v="7"/>
    <x v="9"/>
    <x v="2"/>
    <n v="450.59999999999997"/>
  </r>
  <r>
    <x v="2"/>
    <x v="7"/>
    <x v="9"/>
    <x v="3"/>
    <n v="156.5"/>
  </r>
  <r>
    <x v="2"/>
    <x v="7"/>
    <x v="9"/>
    <x v="4"/>
    <n v="143.1"/>
  </r>
  <r>
    <x v="2"/>
    <x v="7"/>
    <x v="9"/>
    <x v="5"/>
    <n v="1058"/>
  </r>
  <r>
    <x v="0"/>
    <x v="7"/>
    <x v="11"/>
    <x v="0"/>
    <n v="2082.4"/>
  </r>
  <r>
    <x v="0"/>
    <x v="7"/>
    <x v="11"/>
    <x v="1"/>
    <n v="183.4"/>
  </r>
  <r>
    <x v="0"/>
    <x v="7"/>
    <x v="11"/>
    <x v="2"/>
    <n v="462.8"/>
  </r>
  <r>
    <x v="0"/>
    <x v="7"/>
    <x v="11"/>
    <x v="3"/>
    <n v="158.19999999999999"/>
  </r>
  <r>
    <x v="0"/>
    <x v="7"/>
    <x v="11"/>
    <x v="4"/>
    <n v="147.5"/>
  </r>
  <r>
    <x v="0"/>
    <x v="7"/>
    <x v="11"/>
    <x v="5"/>
    <n v="1085.2"/>
  </r>
  <r>
    <x v="1"/>
    <x v="7"/>
    <x v="11"/>
    <x v="0"/>
    <n v="2120.6999999999998"/>
  </r>
  <r>
    <x v="1"/>
    <x v="7"/>
    <x v="11"/>
    <x v="1"/>
    <n v="188.8"/>
  </r>
  <r>
    <x v="1"/>
    <x v="7"/>
    <x v="11"/>
    <x v="2"/>
    <n v="436.3"/>
  </r>
  <r>
    <x v="1"/>
    <x v="7"/>
    <x v="11"/>
    <x v="3"/>
    <n v="158"/>
  </r>
  <r>
    <x v="1"/>
    <x v="7"/>
    <x v="11"/>
    <x v="4"/>
    <n v="137.30000000000001"/>
  </r>
  <r>
    <x v="1"/>
    <x v="7"/>
    <x v="11"/>
    <x v="5"/>
    <n v="1037.5999999999999"/>
  </r>
  <r>
    <x v="2"/>
    <x v="7"/>
    <x v="11"/>
    <x v="0"/>
    <n v="2095.6"/>
  </r>
  <r>
    <x v="2"/>
    <x v="7"/>
    <x v="11"/>
    <x v="1"/>
    <n v="184.8"/>
  </r>
  <r>
    <x v="2"/>
    <x v="7"/>
    <x v="11"/>
    <x v="2"/>
    <n v="452.00000000000006"/>
  </r>
  <r>
    <x v="2"/>
    <x v="7"/>
    <x v="11"/>
    <x v="3"/>
    <n v="158"/>
  </r>
  <r>
    <x v="2"/>
    <x v="7"/>
    <x v="11"/>
    <x v="4"/>
    <n v="143.6"/>
  </r>
  <r>
    <x v="2"/>
    <x v="7"/>
    <x v="11"/>
    <x v="5"/>
    <n v="1061.3999999999999"/>
  </r>
  <r>
    <x v="0"/>
    <x v="7"/>
    <x v="12"/>
    <x v="0"/>
    <n v="2100.5"/>
  </r>
  <r>
    <x v="0"/>
    <x v="7"/>
    <x v="12"/>
    <x v="1"/>
    <n v="183.6"/>
  </r>
  <r>
    <x v="0"/>
    <x v="7"/>
    <x v="12"/>
    <x v="2"/>
    <n v="464.90000000000003"/>
  </r>
  <r>
    <x v="0"/>
    <x v="7"/>
    <x v="12"/>
    <x v="3"/>
    <n v="158.1"/>
  </r>
  <r>
    <x v="0"/>
    <x v="7"/>
    <x v="12"/>
    <x v="4"/>
    <n v="148.69999999999999"/>
  </r>
  <r>
    <x v="0"/>
    <x v="7"/>
    <x v="12"/>
    <x v="5"/>
    <n v="1090"/>
  </r>
  <r>
    <x v="1"/>
    <x v="7"/>
    <x v="12"/>
    <x v="0"/>
    <n v="2125.4"/>
  </r>
  <r>
    <x v="1"/>
    <x v="7"/>
    <x v="12"/>
    <x v="1"/>
    <n v="190.2"/>
  </r>
  <r>
    <x v="1"/>
    <x v="7"/>
    <x v="12"/>
    <x v="2"/>
    <n v="438.20000000000005"/>
  </r>
  <r>
    <x v="1"/>
    <x v="7"/>
    <x v="12"/>
    <x v="3"/>
    <n v="158.4"/>
  </r>
  <r>
    <x v="1"/>
    <x v="7"/>
    <x v="12"/>
    <x v="4"/>
    <n v="137.9"/>
  </r>
  <r>
    <x v="1"/>
    <x v="7"/>
    <x v="12"/>
    <x v="5"/>
    <n v="1039.9000000000001"/>
  </r>
  <r>
    <x v="2"/>
    <x v="7"/>
    <x v="12"/>
    <x v="0"/>
    <n v="2109.1"/>
  </r>
  <r>
    <x v="2"/>
    <x v="7"/>
    <x v="12"/>
    <x v="1"/>
    <n v="185.4"/>
  </r>
  <r>
    <x v="2"/>
    <x v="7"/>
    <x v="12"/>
    <x v="2"/>
    <n v="454"/>
  </r>
  <r>
    <x v="2"/>
    <x v="7"/>
    <x v="12"/>
    <x v="3"/>
    <n v="158.4"/>
  </r>
  <r>
    <x v="2"/>
    <x v="7"/>
    <x v="12"/>
    <x v="4"/>
    <n v="144.6"/>
  </r>
  <r>
    <x v="2"/>
    <x v="7"/>
    <x v="12"/>
    <x v="5"/>
    <n v="1064.9000000000001"/>
  </r>
  <r>
    <x v="0"/>
    <x v="8"/>
    <x v="0"/>
    <x v="0"/>
    <n v="2065.6999999999998"/>
  </r>
  <r>
    <x v="0"/>
    <x v="8"/>
    <x v="0"/>
    <x v="1"/>
    <n v="184.6"/>
  </r>
  <r>
    <x v="0"/>
    <x v="8"/>
    <x v="0"/>
    <x v="2"/>
    <n v="466.7"/>
  </r>
  <r>
    <x v="0"/>
    <x v="8"/>
    <x v="0"/>
    <x v="3"/>
    <n v="158.80000000000001"/>
  </r>
  <r>
    <x v="0"/>
    <x v="8"/>
    <x v="0"/>
    <x v="4"/>
    <n v="150.9"/>
  </r>
  <r>
    <x v="0"/>
    <x v="8"/>
    <x v="0"/>
    <x v="5"/>
    <n v="1094.6000000000001"/>
  </r>
  <r>
    <x v="1"/>
    <x v="8"/>
    <x v="0"/>
    <x v="0"/>
    <n v="2097"/>
  </r>
  <r>
    <x v="1"/>
    <x v="8"/>
    <x v="0"/>
    <x v="1"/>
    <n v="191.8"/>
  </r>
  <r>
    <x v="1"/>
    <x v="8"/>
    <x v="0"/>
    <x v="2"/>
    <n v="440"/>
  </r>
  <r>
    <x v="1"/>
    <x v="8"/>
    <x v="0"/>
    <x v="3"/>
    <n v="157.69999999999999"/>
  </r>
  <r>
    <x v="1"/>
    <x v="8"/>
    <x v="0"/>
    <x v="4"/>
    <n v="142.9"/>
  </r>
  <r>
    <x v="1"/>
    <x v="8"/>
    <x v="0"/>
    <x v="5"/>
    <n v="1043.4999999999998"/>
  </r>
  <r>
    <x v="2"/>
    <x v="8"/>
    <x v="0"/>
    <x v="0"/>
    <n v="2076.5"/>
  </r>
  <r>
    <x v="2"/>
    <x v="8"/>
    <x v="0"/>
    <x v="1"/>
    <n v="186.5"/>
  </r>
  <r>
    <x v="2"/>
    <x v="8"/>
    <x v="0"/>
    <x v="2"/>
    <n v="455.8"/>
  </r>
  <r>
    <x v="2"/>
    <x v="8"/>
    <x v="0"/>
    <x v="3"/>
    <n v="157.69999999999999"/>
  </r>
  <r>
    <x v="2"/>
    <x v="8"/>
    <x v="0"/>
    <x v="4"/>
    <n v="147.9"/>
  </r>
  <r>
    <x v="2"/>
    <x v="8"/>
    <x v="0"/>
    <x v="5"/>
    <n v="1068.7"/>
  </r>
  <r>
    <x v="0"/>
    <x v="8"/>
    <x v="1"/>
    <x v="0"/>
    <n v="2025.3"/>
  </r>
  <r>
    <x v="0"/>
    <x v="8"/>
    <x v="1"/>
    <x v="1"/>
    <n v="186.5"/>
  </r>
  <r>
    <x v="0"/>
    <x v="8"/>
    <x v="1"/>
    <x v="2"/>
    <n v="471.4"/>
  </r>
  <r>
    <x v="0"/>
    <x v="8"/>
    <x v="1"/>
    <x v="3"/>
    <n v="159.9"/>
  </r>
  <r>
    <x v="0"/>
    <x v="8"/>
    <x v="1"/>
    <x v="4"/>
    <n v="154.4"/>
  </r>
  <r>
    <x v="0"/>
    <x v="8"/>
    <x v="1"/>
    <x v="5"/>
    <n v="1102.3"/>
  </r>
  <r>
    <x v="1"/>
    <x v="8"/>
    <x v="1"/>
    <x v="0"/>
    <n v="2066"/>
  </r>
  <r>
    <x v="1"/>
    <x v="8"/>
    <x v="1"/>
    <x v="1"/>
    <n v="193.3"/>
  </r>
  <r>
    <x v="1"/>
    <x v="8"/>
    <x v="1"/>
    <x v="2"/>
    <n v="444.2"/>
  </r>
  <r>
    <x v="1"/>
    <x v="8"/>
    <x v="1"/>
    <x v="3"/>
    <n v="159.80000000000001"/>
  </r>
  <r>
    <x v="1"/>
    <x v="8"/>
    <x v="1"/>
    <x v="4"/>
    <n v="149.1"/>
  </r>
  <r>
    <x v="1"/>
    <x v="8"/>
    <x v="1"/>
    <x v="5"/>
    <n v="1053.2"/>
  </r>
  <r>
    <x v="2"/>
    <x v="8"/>
    <x v="1"/>
    <x v="0"/>
    <n v="2039.3000000000002"/>
  </r>
  <r>
    <x v="2"/>
    <x v="8"/>
    <x v="1"/>
    <x v="1"/>
    <n v="188.3"/>
  </r>
  <r>
    <x v="2"/>
    <x v="8"/>
    <x v="1"/>
    <x v="2"/>
    <n v="460.40000000000003"/>
  </r>
  <r>
    <x v="2"/>
    <x v="8"/>
    <x v="1"/>
    <x v="3"/>
    <n v="159.80000000000001"/>
  </r>
  <r>
    <x v="2"/>
    <x v="8"/>
    <x v="1"/>
    <x v="4"/>
    <n v="152.4"/>
  </r>
  <r>
    <x v="2"/>
    <x v="8"/>
    <x v="1"/>
    <x v="5"/>
    <n v="1077.5000000000002"/>
  </r>
  <r>
    <x v="0"/>
    <x v="8"/>
    <x v="2"/>
    <x v="0"/>
    <n v="2025.7"/>
  </r>
  <r>
    <x v="0"/>
    <x v="8"/>
    <x v="2"/>
    <x v="1"/>
    <n v="186.1"/>
  </r>
  <r>
    <x v="0"/>
    <x v="8"/>
    <x v="2"/>
    <x v="2"/>
    <n v="472.9"/>
  </r>
  <r>
    <x v="0"/>
    <x v="8"/>
    <x v="2"/>
    <x v="3"/>
    <n v="0"/>
  </r>
  <r>
    <x v="0"/>
    <x v="8"/>
    <x v="2"/>
    <x v="4"/>
    <n v="156"/>
  </r>
  <r>
    <x v="0"/>
    <x v="8"/>
    <x v="2"/>
    <x v="5"/>
    <n v="1102.7"/>
  </r>
  <r>
    <x v="1"/>
    <x v="8"/>
    <x v="2"/>
    <x v="0"/>
    <n v="2064.4999999999995"/>
  </r>
  <r>
    <x v="1"/>
    <x v="8"/>
    <x v="2"/>
    <x v="1"/>
    <n v="193.5"/>
  </r>
  <r>
    <x v="1"/>
    <x v="8"/>
    <x v="2"/>
    <x v="2"/>
    <n v="446.4"/>
  </r>
  <r>
    <x v="1"/>
    <x v="8"/>
    <x v="2"/>
    <x v="3"/>
    <n v="159.9"/>
  </r>
  <r>
    <x v="1"/>
    <x v="8"/>
    <x v="2"/>
    <x v="4"/>
    <n v="154.80000000000001"/>
  </r>
  <r>
    <x v="1"/>
    <x v="8"/>
    <x v="2"/>
    <x v="5"/>
    <n v="1056.9000000000001"/>
  </r>
  <r>
    <x v="2"/>
    <x v="8"/>
    <x v="2"/>
    <x v="0"/>
    <n v="2039.3999999999999"/>
  </r>
  <r>
    <x v="2"/>
    <x v="8"/>
    <x v="2"/>
    <x v="1"/>
    <n v="188.1"/>
  </r>
  <r>
    <x v="2"/>
    <x v="8"/>
    <x v="2"/>
    <x v="2"/>
    <n v="462.1"/>
  </r>
  <r>
    <x v="2"/>
    <x v="8"/>
    <x v="2"/>
    <x v="3"/>
    <n v="159.9"/>
  </r>
  <r>
    <x v="2"/>
    <x v="8"/>
    <x v="2"/>
    <x v="4"/>
    <n v="155.5"/>
  </r>
  <r>
    <x v="2"/>
    <x v="8"/>
    <x v="2"/>
    <x v="5"/>
    <n v="1079.4999999999998"/>
  </r>
  <r>
    <x v="0"/>
    <x v="8"/>
    <x v="3"/>
    <x v="0"/>
    <n v="2049.5"/>
  </r>
  <r>
    <x v="0"/>
    <x v="8"/>
    <x v="3"/>
    <x v="1"/>
    <n v="186.8"/>
  </r>
  <r>
    <x v="0"/>
    <x v="8"/>
    <x v="3"/>
    <x v="2"/>
    <n v="475.69999999999993"/>
  </r>
  <r>
    <x v="0"/>
    <x v="8"/>
    <x v="3"/>
    <x v="3"/>
    <n v="0"/>
  </r>
  <r>
    <x v="0"/>
    <x v="8"/>
    <x v="3"/>
    <x v="4"/>
    <n v="156"/>
  </r>
  <r>
    <x v="0"/>
    <x v="8"/>
    <x v="3"/>
    <x v="5"/>
    <n v="1107.8000000000002"/>
  </r>
  <r>
    <x v="1"/>
    <x v="8"/>
    <x v="3"/>
    <x v="0"/>
    <n v="2089.6"/>
  </r>
  <r>
    <x v="1"/>
    <x v="8"/>
    <x v="3"/>
    <x v="1"/>
    <n v="194.4"/>
  </r>
  <r>
    <x v="1"/>
    <x v="8"/>
    <x v="3"/>
    <x v="2"/>
    <n v="448.6"/>
  </r>
  <r>
    <x v="1"/>
    <x v="8"/>
    <x v="3"/>
    <x v="3"/>
    <n v="161.4"/>
  </r>
  <r>
    <x v="1"/>
    <x v="8"/>
    <x v="3"/>
    <x v="4"/>
    <n v="154.9"/>
  </r>
  <r>
    <x v="1"/>
    <x v="8"/>
    <x v="3"/>
    <x v="5"/>
    <n v="1061"/>
  </r>
  <r>
    <x v="2"/>
    <x v="8"/>
    <x v="3"/>
    <x v="0"/>
    <n v="2064.1"/>
  </r>
  <r>
    <x v="2"/>
    <x v="8"/>
    <x v="3"/>
    <x v="1"/>
    <n v="188.8"/>
  </r>
  <r>
    <x v="2"/>
    <x v="8"/>
    <x v="3"/>
    <x v="2"/>
    <n v="464.6"/>
  </r>
  <r>
    <x v="2"/>
    <x v="8"/>
    <x v="3"/>
    <x v="3"/>
    <n v="161.4"/>
  </r>
  <r>
    <x v="2"/>
    <x v="8"/>
    <x v="3"/>
    <x v="4"/>
    <n v="155.6"/>
  </r>
  <r>
    <x v="2"/>
    <x v="8"/>
    <x v="3"/>
    <x v="5"/>
    <n v="1084"/>
  </r>
  <r>
    <x v="0"/>
    <x v="8"/>
    <x v="4"/>
    <x v="0"/>
    <n v="2095.2999999999997"/>
  </r>
  <r>
    <x v="0"/>
    <x v="8"/>
    <x v="4"/>
    <x v="1"/>
    <n v="189.6"/>
  </r>
  <r>
    <x v="0"/>
    <x v="8"/>
    <x v="4"/>
    <x v="2"/>
    <n v="490.4"/>
  </r>
  <r>
    <x v="0"/>
    <x v="8"/>
    <x v="4"/>
    <x v="3"/>
    <n v="161.1"/>
  </r>
  <r>
    <x v="0"/>
    <x v="8"/>
    <x v="4"/>
    <x v="4"/>
    <n v="161.69999999999999"/>
  </r>
  <r>
    <x v="0"/>
    <x v="8"/>
    <x v="4"/>
    <x v="5"/>
    <n v="1129.0999999999999"/>
  </r>
  <r>
    <x v="1"/>
    <x v="8"/>
    <x v="4"/>
    <x v="0"/>
    <n v="2124.7000000000003"/>
  </r>
  <r>
    <x v="1"/>
    <x v="8"/>
    <x v="4"/>
    <x v="1"/>
    <n v="198.2"/>
  </r>
  <r>
    <x v="1"/>
    <x v="8"/>
    <x v="4"/>
    <x v="2"/>
    <n v="450.79999999999995"/>
  </r>
  <r>
    <x v="1"/>
    <x v="8"/>
    <x v="4"/>
    <x v="3"/>
    <n v="161.6"/>
  </r>
  <r>
    <x v="1"/>
    <x v="8"/>
    <x v="4"/>
    <x v="4"/>
    <n v="155.5"/>
  </r>
  <r>
    <x v="1"/>
    <x v="8"/>
    <x v="4"/>
    <x v="5"/>
    <n v="1074.5"/>
  </r>
  <r>
    <x v="2"/>
    <x v="8"/>
    <x v="4"/>
    <x v="0"/>
    <n v="2105.7000000000003"/>
  </r>
  <r>
    <x v="2"/>
    <x v="8"/>
    <x v="4"/>
    <x v="1"/>
    <n v="191.9"/>
  </r>
  <r>
    <x v="2"/>
    <x v="8"/>
    <x v="4"/>
    <x v="2"/>
    <n v="474.29999999999995"/>
  </r>
  <r>
    <x v="2"/>
    <x v="8"/>
    <x v="4"/>
    <x v="3"/>
    <n v="161.6"/>
  </r>
  <r>
    <x v="2"/>
    <x v="8"/>
    <x v="4"/>
    <x v="4"/>
    <n v="159.4"/>
  </r>
  <r>
    <x v="2"/>
    <x v="8"/>
    <x v="4"/>
    <x v="5"/>
    <n v="1101.8000000000002"/>
  </r>
  <r>
    <x v="0"/>
    <x v="8"/>
    <x v="5"/>
    <x v="0"/>
    <n v="2122.6"/>
  </r>
  <r>
    <x v="0"/>
    <x v="8"/>
    <x v="5"/>
    <x v="1"/>
    <n v="189.1"/>
  </r>
  <r>
    <x v="0"/>
    <x v="8"/>
    <x v="5"/>
    <x v="2"/>
    <n v="489.80000000000007"/>
  </r>
  <r>
    <x v="0"/>
    <x v="8"/>
    <x v="5"/>
    <x v="3"/>
    <n v="161"/>
  </r>
  <r>
    <x v="0"/>
    <x v="8"/>
    <x v="5"/>
    <x v="4"/>
    <n v="162.1"/>
  </r>
  <r>
    <x v="0"/>
    <x v="8"/>
    <x v="5"/>
    <x v="5"/>
    <n v="1131.1999999999998"/>
  </r>
  <r>
    <x v="1"/>
    <x v="8"/>
    <x v="5"/>
    <x v="0"/>
    <n v="2154.1999999999998"/>
  </r>
  <r>
    <x v="1"/>
    <x v="8"/>
    <x v="5"/>
    <x v="1"/>
    <n v="195.6"/>
  </r>
  <r>
    <x v="1"/>
    <x v="8"/>
    <x v="5"/>
    <x v="2"/>
    <n v="452.6"/>
  </r>
  <r>
    <x v="1"/>
    <x v="8"/>
    <x v="5"/>
    <x v="3"/>
    <n v="160.5"/>
  </r>
  <r>
    <x v="1"/>
    <x v="8"/>
    <x v="5"/>
    <x v="4"/>
    <n v="156.1"/>
  </r>
  <r>
    <x v="1"/>
    <x v="8"/>
    <x v="5"/>
    <x v="5"/>
    <n v="1078.3"/>
  </r>
  <r>
    <x v="2"/>
    <x v="8"/>
    <x v="5"/>
    <x v="0"/>
    <n v="2133.9"/>
  </r>
  <r>
    <x v="2"/>
    <x v="8"/>
    <x v="5"/>
    <x v="1"/>
    <n v="190.8"/>
  </r>
  <r>
    <x v="2"/>
    <x v="8"/>
    <x v="5"/>
    <x v="2"/>
    <n v="474.7"/>
  </r>
  <r>
    <x v="2"/>
    <x v="8"/>
    <x v="5"/>
    <x v="3"/>
    <n v="160.5"/>
  </r>
  <r>
    <x v="2"/>
    <x v="8"/>
    <x v="5"/>
    <x v="4"/>
    <n v="159.80000000000001"/>
  </r>
  <r>
    <x v="2"/>
    <x v="8"/>
    <x v="5"/>
    <x v="5"/>
    <n v="1104.8"/>
  </r>
  <r>
    <x v="0"/>
    <x v="8"/>
    <x v="6"/>
    <x v="0"/>
    <n v="2132.4"/>
  </r>
  <r>
    <x v="0"/>
    <x v="8"/>
    <x v="6"/>
    <x v="1"/>
    <n v="189.7"/>
  </r>
  <r>
    <x v="0"/>
    <x v="8"/>
    <x v="6"/>
    <x v="2"/>
    <n v="492.40000000000003"/>
  </r>
  <r>
    <x v="0"/>
    <x v="8"/>
    <x v="6"/>
    <x v="3"/>
    <n v="161.80000000000001"/>
  </r>
  <r>
    <x v="0"/>
    <x v="8"/>
    <x v="6"/>
    <x v="4"/>
    <n v="162.5"/>
  </r>
  <r>
    <x v="0"/>
    <x v="8"/>
    <x v="6"/>
    <x v="5"/>
    <n v="1138.9000000000001"/>
  </r>
  <r>
    <x v="1"/>
    <x v="8"/>
    <x v="6"/>
    <x v="0"/>
    <n v="2171.8000000000002"/>
  </r>
  <r>
    <x v="1"/>
    <x v="8"/>
    <x v="6"/>
    <x v="1"/>
    <n v="195.5"/>
  </r>
  <r>
    <x v="1"/>
    <x v="8"/>
    <x v="6"/>
    <x v="2"/>
    <n v="455.3"/>
  </r>
  <r>
    <x v="1"/>
    <x v="8"/>
    <x v="6"/>
    <x v="3"/>
    <n v="161.5"/>
  </r>
  <r>
    <x v="1"/>
    <x v="8"/>
    <x v="6"/>
    <x v="4"/>
    <n v="157.69999999999999"/>
  </r>
  <r>
    <x v="1"/>
    <x v="8"/>
    <x v="6"/>
    <x v="5"/>
    <n v="1087.8000000000002"/>
  </r>
  <r>
    <x v="2"/>
    <x v="8"/>
    <x v="6"/>
    <x v="0"/>
    <n v="2147"/>
  </r>
  <r>
    <x v="2"/>
    <x v="8"/>
    <x v="6"/>
    <x v="1"/>
    <n v="191.2"/>
  </r>
  <r>
    <x v="2"/>
    <x v="8"/>
    <x v="6"/>
    <x v="2"/>
    <n v="477.29999999999995"/>
  </r>
  <r>
    <x v="2"/>
    <x v="8"/>
    <x v="6"/>
    <x v="3"/>
    <n v="161.5"/>
  </r>
  <r>
    <x v="2"/>
    <x v="8"/>
    <x v="6"/>
    <x v="4"/>
    <n v="160.69999999999999"/>
  </r>
  <r>
    <x v="2"/>
    <x v="8"/>
    <x v="6"/>
    <x v="5"/>
    <n v="1113.5"/>
  </r>
  <r>
    <x v="0"/>
    <x v="8"/>
    <x v="7"/>
    <x v="0"/>
    <n v="2130.8000000000002"/>
  </r>
  <r>
    <x v="0"/>
    <x v="8"/>
    <x v="7"/>
    <x v="1"/>
    <n v="190.2"/>
  </r>
  <r>
    <x v="0"/>
    <x v="8"/>
    <x v="7"/>
    <x v="2"/>
    <n v="495.90000000000003"/>
  </r>
  <r>
    <x v="0"/>
    <x v="8"/>
    <x v="7"/>
    <x v="3"/>
    <n v="162.1"/>
  </r>
  <r>
    <x v="0"/>
    <x v="8"/>
    <x v="7"/>
    <x v="4"/>
    <n v="163.1"/>
  </r>
  <r>
    <x v="0"/>
    <x v="8"/>
    <x v="7"/>
    <x v="5"/>
    <n v="1141.8999999999999"/>
  </r>
  <r>
    <x v="1"/>
    <x v="8"/>
    <x v="7"/>
    <x v="0"/>
    <n v="2157.9"/>
  </r>
  <r>
    <x v="1"/>
    <x v="8"/>
    <x v="7"/>
    <x v="1"/>
    <n v="196.5"/>
  </r>
  <r>
    <x v="1"/>
    <x v="8"/>
    <x v="7"/>
    <x v="2"/>
    <n v="460.7"/>
  </r>
  <r>
    <x v="1"/>
    <x v="8"/>
    <x v="7"/>
    <x v="3"/>
    <n v="162.1"/>
  </r>
  <r>
    <x v="1"/>
    <x v="8"/>
    <x v="7"/>
    <x v="4"/>
    <n v="160.69999999999999"/>
  </r>
  <r>
    <x v="1"/>
    <x v="8"/>
    <x v="7"/>
    <x v="5"/>
    <n v="1096.0999999999999"/>
  </r>
  <r>
    <x v="2"/>
    <x v="8"/>
    <x v="7"/>
    <x v="0"/>
    <n v="2142"/>
  </r>
  <r>
    <x v="2"/>
    <x v="8"/>
    <x v="7"/>
    <x v="1"/>
    <n v="192.1"/>
  </r>
  <r>
    <x v="2"/>
    <x v="8"/>
    <x v="7"/>
    <x v="2"/>
    <n v="483"/>
  </r>
  <r>
    <x v="2"/>
    <x v="8"/>
    <x v="7"/>
    <x v="3"/>
    <n v="162.1"/>
  </r>
  <r>
    <x v="2"/>
    <x v="8"/>
    <x v="7"/>
    <x v="4"/>
    <n v="162.6"/>
  </r>
  <r>
    <x v="2"/>
    <x v="8"/>
    <x v="7"/>
    <x v="5"/>
    <n v="1121.3"/>
  </r>
  <r>
    <x v="0"/>
    <x v="8"/>
    <x v="8"/>
    <x v="0"/>
    <n v="2133.6"/>
  </r>
  <r>
    <x v="0"/>
    <x v="8"/>
    <x v="8"/>
    <x v="1"/>
    <n v="190.5"/>
  </r>
  <r>
    <x v="0"/>
    <x v="8"/>
    <x v="8"/>
    <x v="2"/>
    <n v="498.4"/>
  </r>
  <r>
    <x v="0"/>
    <x v="8"/>
    <x v="8"/>
    <x v="3"/>
    <n v="162.9"/>
  </r>
  <r>
    <x v="0"/>
    <x v="8"/>
    <x v="8"/>
    <x v="4"/>
    <n v="163.69999999999999"/>
  </r>
  <r>
    <x v="0"/>
    <x v="8"/>
    <x v="8"/>
    <x v="5"/>
    <n v="1146.2"/>
  </r>
  <r>
    <x v="1"/>
    <x v="8"/>
    <x v="8"/>
    <x v="0"/>
    <n v="2157.9"/>
  </r>
  <r>
    <x v="1"/>
    <x v="8"/>
    <x v="8"/>
    <x v="1"/>
    <n v="196.5"/>
  </r>
  <r>
    <x v="1"/>
    <x v="8"/>
    <x v="8"/>
    <x v="2"/>
    <n v="460.79999999999995"/>
  </r>
  <r>
    <x v="1"/>
    <x v="8"/>
    <x v="8"/>
    <x v="3"/>
    <n v="162.1"/>
  </r>
  <r>
    <x v="1"/>
    <x v="8"/>
    <x v="8"/>
    <x v="4"/>
    <n v="160.80000000000001"/>
  </r>
  <r>
    <x v="1"/>
    <x v="8"/>
    <x v="8"/>
    <x v="5"/>
    <n v="1096.4000000000001"/>
  </r>
  <r>
    <x v="2"/>
    <x v="8"/>
    <x v="8"/>
    <x v="0"/>
    <n v="2142"/>
  </r>
  <r>
    <x v="2"/>
    <x v="8"/>
    <x v="8"/>
    <x v="1"/>
    <n v="192.1"/>
  </r>
  <r>
    <x v="2"/>
    <x v="8"/>
    <x v="8"/>
    <x v="2"/>
    <n v="483.2"/>
  </r>
  <r>
    <x v="2"/>
    <x v="8"/>
    <x v="8"/>
    <x v="3"/>
    <n v="162.1"/>
  </r>
  <r>
    <x v="2"/>
    <x v="8"/>
    <x v="8"/>
    <x v="4"/>
    <n v="162.6"/>
  </r>
  <r>
    <x v="2"/>
    <x v="8"/>
    <x v="8"/>
    <x v="5"/>
    <n v="1121.3"/>
  </r>
  <r>
    <x v="0"/>
    <x v="8"/>
    <x v="9"/>
    <x v="0"/>
    <n v="2164.1999999999998"/>
  </r>
  <r>
    <x v="0"/>
    <x v="8"/>
    <x v="9"/>
    <x v="1"/>
    <n v="191.2"/>
  </r>
  <r>
    <x v="0"/>
    <x v="8"/>
    <x v="9"/>
    <x v="2"/>
    <n v="502.00000000000006"/>
  </r>
  <r>
    <x v="0"/>
    <x v="8"/>
    <x v="9"/>
    <x v="3"/>
    <n v="163.9"/>
  </r>
  <r>
    <x v="0"/>
    <x v="8"/>
    <x v="9"/>
    <x v="4"/>
    <n v="165.5"/>
  </r>
  <r>
    <x v="0"/>
    <x v="8"/>
    <x v="9"/>
    <x v="5"/>
    <n v="1152"/>
  </r>
  <r>
    <x v="1"/>
    <x v="8"/>
    <x v="9"/>
    <x v="0"/>
    <n v="2198.4000000000005"/>
  </r>
  <r>
    <x v="1"/>
    <x v="8"/>
    <x v="9"/>
    <x v="1"/>
    <n v="197"/>
  </r>
  <r>
    <x v="1"/>
    <x v="8"/>
    <x v="9"/>
    <x v="2"/>
    <n v="463.50000000000006"/>
  </r>
  <r>
    <x v="1"/>
    <x v="8"/>
    <x v="9"/>
    <x v="3"/>
    <n v="163.6"/>
  </r>
  <r>
    <x v="1"/>
    <x v="8"/>
    <x v="9"/>
    <x v="4"/>
    <n v="162.19999999999999"/>
  </r>
  <r>
    <x v="1"/>
    <x v="8"/>
    <x v="9"/>
    <x v="5"/>
    <n v="1102.7"/>
  </r>
  <r>
    <x v="2"/>
    <x v="8"/>
    <x v="9"/>
    <x v="0"/>
    <n v="2175.5"/>
  </r>
  <r>
    <x v="2"/>
    <x v="8"/>
    <x v="9"/>
    <x v="1"/>
    <n v="192.7"/>
  </r>
  <r>
    <x v="2"/>
    <x v="8"/>
    <x v="9"/>
    <x v="2"/>
    <n v="486.3"/>
  </r>
  <r>
    <x v="2"/>
    <x v="8"/>
    <x v="9"/>
    <x v="3"/>
    <n v="163.6"/>
  </r>
  <r>
    <x v="2"/>
    <x v="8"/>
    <x v="9"/>
    <x v="4"/>
    <n v="164.2"/>
  </r>
  <r>
    <x v="2"/>
    <x v="8"/>
    <x v="9"/>
    <x v="5"/>
    <n v="1127.5"/>
  </r>
  <r>
    <x v="0"/>
    <x v="8"/>
    <x v="11"/>
    <x v="0"/>
    <n v="2182"/>
  </r>
  <r>
    <x v="0"/>
    <x v="8"/>
    <x v="11"/>
    <x v="1"/>
    <n v="191.4"/>
  </r>
  <r>
    <x v="0"/>
    <x v="8"/>
    <x v="11"/>
    <x v="2"/>
    <n v="506.2"/>
  </r>
  <r>
    <x v="0"/>
    <x v="8"/>
    <x v="11"/>
    <x v="3"/>
    <n v="163.80000000000001"/>
  </r>
  <r>
    <x v="0"/>
    <x v="8"/>
    <x v="11"/>
    <x v="4"/>
    <n v="165.3"/>
  </r>
  <r>
    <x v="0"/>
    <x v="8"/>
    <x v="11"/>
    <x v="5"/>
    <n v="1155.8999999999999"/>
  </r>
  <r>
    <x v="1"/>
    <x v="8"/>
    <x v="11"/>
    <x v="0"/>
    <n v="2217.8999999999996"/>
  </r>
  <r>
    <x v="1"/>
    <x v="8"/>
    <x v="11"/>
    <x v="1"/>
    <n v="197"/>
  </r>
  <r>
    <x v="1"/>
    <x v="8"/>
    <x v="11"/>
    <x v="2"/>
    <n v="467.3"/>
  </r>
  <r>
    <x v="1"/>
    <x v="8"/>
    <x v="11"/>
    <x v="3"/>
    <n v="164.2"/>
  </r>
  <r>
    <x v="1"/>
    <x v="8"/>
    <x v="11"/>
    <x v="4"/>
    <n v="161.6"/>
  </r>
  <r>
    <x v="1"/>
    <x v="8"/>
    <x v="11"/>
    <x v="5"/>
    <n v="1107.1999999999998"/>
  </r>
  <r>
    <x v="2"/>
    <x v="8"/>
    <x v="11"/>
    <x v="0"/>
    <n v="2194.1"/>
  </r>
  <r>
    <x v="2"/>
    <x v="8"/>
    <x v="11"/>
    <x v="1"/>
    <n v="192.9"/>
  </r>
  <r>
    <x v="2"/>
    <x v="8"/>
    <x v="11"/>
    <x v="2"/>
    <n v="490.40000000000003"/>
  </r>
  <r>
    <x v="2"/>
    <x v="8"/>
    <x v="11"/>
    <x v="3"/>
    <n v="164.2"/>
  </r>
  <r>
    <x v="2"/>
    <x v="8"/>
    <x v="11"/>
    <x v="4"/>
    <n v="163.9"/>
  </r>
  <r>
    <x v="2"/>
    <x v="8"/>
    <x v="11"/>
    <x v="5"/>
    <n v="1131.7000000000003"/>
  </r>
  <r>
    <x v="0"/>
    <x v="8"/>
    <x v="12"/>
    <x v="0"/>
    <n v="2168.1999999999998"/>
  </r>
  <r>
    <x v="0"/>
    <x v="8"/>
    <x v="12"/>
    <x v="1"/>
    <n v="190.8"/>
  </r>
  <r>
    <x v="0"/>
    <x v="8"/>
    <x v="12"/>
    <x v="2"/>
    <n v="510.3"/>
  </r>
  <r>
    <x v="0"/>
    <x v="8"/>
    <x v="12"/>
    <x v="3"/>
    <n v="164"/>
  </r>
  <r>
    <x v="0"/>
    <x v="8"/>
    <x v="12"/>
    <x v="4"/>
    <n v="165.6"/>
  </r>
  <r>
    <x v="0"/>
    <x v="8"/>
    <x v="12"/>
    <x v="5"/>
    <n v="1161"/>
  </r>
  <r>
    <x v="1"/>
    <x v="8"/>
    <x v="12"/>
    <x v="0"/>
    <n v="2206.3000000000002"/>
  </r>
  <r>
    <x v="1"/>
    <x v="8"/>
    <x v="12"/>
    <x v="1"/>
    <n v="196.8"/>
  </r>
  <r>
    <x v="1"/>
    <x v="8"/>
    <x v="12"/>
    <x v="2"/>
    <n v="470.7"/>
  </r>
  <r>
    <x v="1"/>
    <x v="8"/>
    <x v="12"/>
    <x v="3"/>
    <n v="163.4"/>
  </r>
  <r>
    <x v="1"/>
    <x v="8"/>
    <x v="12"/>
    <x v="4"/>
    <n v="161.69999999999999"/>
  </r>
  <r>
    <x v="1"/>
    <x v="8"/>
    <x v="12"/>
    <x v="5"/>
    <n v="1111.3"/>
  </r>
  <r>
    <x v="2"/>
    <x v="8"/>
    <x v="12"/>
    <x v="0"/>
    <n v="2180.9"/>
  </r>
  <r>
    <x v="2"/>
    <x v="8"/>
    <x v="12"/>
    <x v="1"/>
    <n v="192.4"/>
  </r>
  <r>
    <x v="2"/>
    <x v="8"/>
    <x v="12"/>
    <x v="2"/>
    <n v="494.2"/>
  </r>
  <r>
    <x v="2"/>
    <x v="8"/>
    <x v="12"/>
    <x v="3"/>
    <n v="163.4"/>
  </r>
  <r>
    <x v="2"/>
    <x v="8"/>
    <x v="12"/>
    <x v="4"/>
    <n v="164.1"/>
  </r>
  <r>
    <x v="2"/>
    <x v="8"/>
    <x v="12"/>
    <x v="5"/>
    <n v="1136.0999999999999"/>
  </r>
  <r>
    <x v="0"/>
    <x v="9"/>
    <x v="0"/>
    <x v="0"/>
    <n v="2153"/>
  </r>
  <r>
    <x v="0"/>
    <x v="9"/>
    <x v="0"/>
    <x v="1"/>
    <n v="190.7"/>
  </r>
  <r>
    <x v="0"/>
    <x v="9"/>
    <x v="0"/>
    <x v="2"/>
    <n v="515.20000000000005"/>
  </r>
  <r>
    <x v="0"/>
    <x v="9"/>
    <x v="0"/>
    <x v="3"/>
    <n v="165"/>
  </r>
  <r>
    <x v="0"/>
    <x v="9"/>
    <x v="0"/>
    <x v="4"/>
    <n v="165.8"/>
  </r>
  <r>
    <x v="0"/>
    <x v="9"/>
    <x v="0"/>
    <x v="5"/>
    <n v="1165"/>
  </r>
  <r>
    <x v="1"/>
    <x v="9"/>
    <x v="0"/>
    <x v="0"/>
    <n v="2186.6999999999998"/>
  </r>
  <r>
    <x v="1"/>
    <x v="9"/>
    <x v="0"/>
    <x v="1"/>
    <n v="196.4"/>
  </r>
  <r>
    <x v="1"/>
    <x v="9"/>
    <x v="0"/>
    <x v="2"/>
    <n v="475.4"/>
  </r>
  <r>
    <x v="1"/>
    <x v="9"/>
    <x v="0"/>
    <x v="3"/>
    <n v="164.5"/>
  </r>
  <r>
    <x v="1"/>
    <x v="9"/>
    <x v="0"/>
    <x v="4"/>
    <n v="161.6"/>
  </r>
  <r>
    <x v="1"/>
    <x v="9"/>
    <x v="0"/>
    <x v="5"/>
    <n v="1116.3999999999999"/>
  </r>
  <r>
    <x v="2"/>
    <x v="9"/>
    <x v="0"/>
    <x v="0"/>
    <n v="2164.1999999999998"/>
  </r>
  <r>
    <x v="2"/>
    <x v="9"/>
    <x v="0"/>
    <x v="1"/>
    <n v="192.2"/>
  </r>
  <r>
    <x v="2"/>
    <x v="9"/>
    <x v="0"/>
    <x v="2"/>
    <n v="499.1"/>
  </r>
  <r>
    <x v="2"/>
    <x v="9"/>
    <x v="0"/>
    <x v="3"/>
    <n v="164.5"/>
  </r>
  <r>
    <x v="2"/>
    <x v="9"/>
    <x v="0"/>
    <x v="4"/>
    <n v="164.2"/>
  </r>
  <r>
    <x v="2"/>
    <x v="9"/>
    <x v="0"/>
    <x v="5"/>
    <n v="1140.6000000000001"/>
  </r>
  <r>
    <x v="0"/>
    <x v="9"/>
    <x v="1"/>
    <x v="0"/>
    <n v="2150.4"/>
  </r>
  <r>
    <x v="0"/>
    <x v="9"/>
    <x v="1"/>
    <x v="1"/>
    <n v="191.5"/>
  </r>
  <r>
    <x v="0"/>
    <x v="9"/>
    <x v="1"/>
    <x v="2"/>
    <n v="518.79999999999995"/>
  </r>
  <r>
    <x v="0"/>
    <x v="9"/>
    <x v="1"/>
    <x v="3"/>
    <n v="165.4"/>
  </r>
  <r>
    <x v="0"/>
    <x v="9"/>
    <x v="1"/>
    <x v="4"/>
    <n v="167.4"/>
  </r>
  <r>
    <x v="0"/>
    <x v="9"/>
    <x v="1"/>
    <x v="5"/>
    <n v="1169.8"/>
  </r>
  <r>
    <x v="1"/>
    <x v="9"/>
    <x v="1"/>
    <x v="0"/>
    <n v="2183.5"/>
  </r>
  <r>
    <x v="1"/>
    <x v="9"/>
    <x v="1"/>
    <x v="1"/>
    <n v="196.5"/>
  </r>
  <r>
    <x v="1"/>
    <x v="9"/>
    <x v="1"/>
    <x v="2"/>
    <n v="479.5"/>
  </r>
  <r>
    <x v="1"/>
    <x v="9"/>
    <x v="1"/>
    <x v="3"/>
    <n v="165.5"/>
  </r>
  <r>
    <x v="1"/>
    <x v="9"/>
    <x v="1"/>
    <x v="4"/>
    <n v="163"/>
  </r>
  <r>
    <x v="1"/>
    <x v="9"/>
    <x v="1"/>
    <x v="5"/>
    <n v="1122.8000000000002"/>
  </r>
  <r>
    <x v="2"/>
    <x v="9"/>
    <x v="1"/>
    <x v="0"/>
    <n v="2161.2000000000003"/>
  </r>
  <r>
    <x v="2"/>
    <x v="9"/>
    <x v="1"/>
    <x v="1"/>
    <n v="192.8"/>
  </r>
  <r>
    <x v="2"/>
    <x v="9"/>
    <x v="1"/>
    <x v="2"/>
    <n v="502.80000000000007"/>
  </r>
  <r>
    <x v="2"/>
    <x v="9"/>
    <x v="1"/>
    <x v="3"/>
    <n v="165.5"/>
  </r>
  <r>
    <x v="2"/>
    <x v="9"/>
    <x v="1"/>
    <x v="4"/>
    <n v="165.7"/>
  </r>
  <r>
    <x v="2"/>
    <x v="9"/>
    <x v="1"/>
    <x v="5"/>
    <n v="1146.3"/>
  </r>
  <r>
    <x v="0"/>
    <x v="9"/>
    <x v="2"/>
    <x v="0"/>
    <n v="2179.1000000000004"/>
  </r>
  <r>
    <x v="0"/>
    <x v="9"/>
    <x v="2"/>
    <x v="1"/>
    <n v="192.3"/>
  </r>
  <r>
    <x v="0"/>
    <x v="9"/>
    <x v="2"/>
    <x v="2"/>
    <n v="523.70000000000005"/>
  </r>
  <r>
    <x v="0"/>
    <x v="9"/>
    <x v="2"/>
    <x v="3"/>
    <n v="166.2"/>
  </r>
  <r>
    <x v="0"/>
    <x v="9"/>
    <x v="2"/>
    <x v="4"/>
    <n v="168.9"/>
  </r>
  <r>
    <x v="0"/>
    <x v="9"/>
    <x v="2"/>
    <x v="5"/>
    <n v="1177.4000000000001"/>
  </r>
  <r>
    <x v="1"/>
    <x v="9"/>
    <x v="2"/>
    <x v="0"/>
    <n v="2196.3000000000002"/>
  </r>
  <r>
    <x v="1"/>
    <x v="9"/>
    <x v="2"/>
    <x v="1"/>
    <n v="197.5"/>
  </r>
  <r>
    <x v="1"/>
    <x v="9"/>
    <x v="2"/>
    <x v="2"/>
    <n v="484.6"/>
  </r>
  <r>
    <x v="1"/>
    <x v="9"/>
    <x v="2"/>
    <x v="3"/>
    <n v="165.3"/>
  </r>
  <r>
    <x v="1"/>
    <x v="9"/>
    <x v="2"/>
    <x v="4"/>
    <n v="164.5"/>
  </r>
  <r>
    <x v="1"/>
    <x v="9"/>
    <x v="2"/>
    <x v="5"/>
    <n v="1131.8999999999999"/>
  </r>
  <r>
    <x v="2"/>
    <x v="9"/>
    <x v="2"/>
    <x v="0"/>
    <n v="2184.2000000000003"/>
  </r>
  <r>
    <x v="2"/>
    <x v="9"/>
    <x v="2"/>
    <x v="1"/>
    <n v="193.7"/>
  </r>
  <r>
    <x v="2"/>
    <x v="9"/>
    <x v="2"/>
    <x v="2"/>
    <n v="507.79999999999995"/>
  </r>
  <r>
    <x v="2"/>
    <x v="9"/>
    <x v="2"/>
    <x v="3"/>
    <n v="165.3"/>
  </r>
  <r>
    <x v="2"/>
    <x v="9"/>
    <x v="2"/>
    <x v="4"/>
    <n v="167.2"/>
  </r>
  <r>
    <x v="2"/>
    <x v="9"/>
    <x v="2"/>
    <x v="5"/>
    <n v="1154.8"/>
  </r>
  <r>
    <x v="0"/>
    <x v="9"/>
    <x v="3"/>
    <x v="0"/>
    <n v="2206.6"/>
  </r>
  <r>
    <x v="0"/>
    <x v="9"/>
    <x v="3"/>
    <x v="1"/>
    <n v="192.8"/>
  </r>
  <r>
    <x v="0"/>
    <x v="9"/>
    <x v="3"/>
    <x v="2"/>
    <n v="529.70000000000005"/>
  </r>
  <r>
    <x v="0"/>
    <x v="9"/>
    <x v="3"/>
    <x v="3"/>
    <n v="167.3"/>
  </r>
  <r>
    <x v="0"/>
    <x v="9"/>
    <x v="3"/>
    <x v="4"/>
    <n v="173.3"/>
  </r>
  <r>
    <x v="0"/>
    <x v="9"/>
    <x v="3"/>
    <x v="5"/>
    <n v="1188.1999999999998"/>
  </r>
  <r>
    <x v="1"/>
    <x v="9"/>
    <x v="3"/>
    <x v="0"/>
    <n v="2230.4"/>
  </r>
  <r>
    <x v="1"/>
    <x v="9"/>
    <x v="3"/>
    <x v="1"/>
    <n v="197.1"/>
  </r>
  <r>
    <x v="1"/>
    <x v="9"/>
    <x v="3"/>
    <x v="2"/>
    <n v="489.2"/>
  </r>
  <r>
    <x v="1"/>
    <x v="9"/>
    <x v="3"/>
    <x v="3"/>
    <n v="167"/>
  </r>
  <r>
    <x v="1"/>
    <x v="9"/>
    <x v="3"/>
    <x v="4"/>
    <n v="170.5"/>
  </r>
  <r>
    <x v="1"/>
    <x v="9"/>
    <x v="3"/>
    <x v="5"/>
    <n v="1145.8"/>
  </r>
  <r>
    <x v="2"/>
    <x v="9"/>
    <x v="3"/>
    <x v="0"/>
    <n v="2214.3000000000002"/>
  </r>
  <r>
    <x v="2"/>
    <x v="9"/>
    <x v="3"/>
    <x v="1"/>
    <n v="193.9"/>
  </r>
  <r>
    <x v="2"/>
    <x v="9"/>
    <x v="3"/>
    <x v="2"/>
    <n v="513.20000000000005"/>
  </r>
  <r>
    <x v="2"/>
    <x v="9"/>
    <x v="3"/>
    <x v="3"/>
    <n v="167"/>
  </r>
  <r>
    <x v="2"/>
    <x v="9"/>
    <x v="3"/>
    <x v="4"/>
    <n v="172.2"/>
  </r>
  <r>
    <x v="2"/>
    <x v="9"/>
    <x v="3"/>
    <x v="5"/>
    <n v="1167.5"/>
  </r>
  <r>
    <x v="0"/>
    <x v="9"/>
    <x v="4"/>
    <x v="0"/>
    <n v="2226.8000000000002"/>
  </r>
  <r>
    <x v="0"/>
    <x v="9"/>
    <x v="4"/>
    <x v="1"/>
    <n v="192.9"/>
  </r>
  <r>
    <x v="0"/>
    <x v="9"/>
    <x v="4"/>
    <x v="2"/>
    <n v="535.5"/>
  </r>
  <r>
    <x v="0"/>
    <x v="9"/>
    <x v="4"/>
    <x v="3"/>
    <n v="167.2"/>
  </r>
  <r>
    <x v="0"/>
    <x v="9"/>
    <x v="4"/>
    <x v="4"/>
    <n v="175.3"/>
  </r>
  <r>
    <x v="0"/>
    <x v="9"/>
    <x v="4"/>
    <x v="5"/>
    <n v="1192.5000000000002"/>
  </r>
  <r>
    <x v="1"/>
    <x v="9"/>
    <x v="4"/>
    <x v="0"/>
    <n v="2262.2000000000003"/>
  </r>
  <r>
    <x v="1"/>
    <x v="9"/>
    <x v="4"/>
    <x v="1"/>
    <n v="197.5"/>
  </r>
  <r>
    <x v="1"/>
    <x v="9"/>
    <x v="4"/>
    <x v="2"/>
    <n v="493.7"/>
  </r>
  <r>
    <x v="1"/>
    <x v="9"/>
    <x v="4"/>
    <x v="3"/>
    <n v="167.5"/>
  </r>
  <r>
    <x v="1"/>
    <x v="9"/>
    <x v="4"/>
    <x v="4"/>
    <n v="173.5"/>
  </r>
  <r>
    <x v="1"/>
    <x v="9"/>
    <x v="4"/>
    <x v="5"/>
    <n v="1151"/>
  </r>
  <r>
    <x v="2"/>
    <x v="9"/>
    <x v="4"/>
    <x v="0"/>
    <n v="2238.9000000000005"/>
  </r>
  <r>
    <x v="2"/>
    <x v="9"/>
    <x v="4"/>
    <x v="1"/>
    <n v="194.1"/>
  </r>
  <r>
    <x v="2"/>
    <x v="9"/>
    <x v="4"/>
    <x v="2"/>
    <n v="518.6"/>
  </r>
  <r>
    <x v="2"/>
    <x v="9"/>
    <x v="4"/>
    <x v="3"/>
    <n v="167.5"/>
  </r>
  <r>
    <x v="2"/>
    <x v="9"/>
    <x v="4"/>
    <x v="4"/>
    <n v="174.6"/>
  </r>
  <r>
    <x v="2"/>
    <x v="9"/>
    <x v="4"/>
    <x v="5"/>
    <n v="1171.9000000000001"/>
  </r>
  <r>
    <x v="0"/>
    <x v="9"/>
    <x v="5"/>
    <x v="0"/>
    <n v="2248.3000000000002"/>
  </r>
  <r>
    <x v="0"/>
    <x v="9"/>
    <x v="5"/>
    <x v="1"/>
    <n v="192.9"/>
  </r>
  <r>
    <x v="0"/>
    <x v="9"/>
    <x v="5"/>
    <x v="2"/>
    <n v="539.79999999999995"/>
  </r>
  <r>
    <x v="0"/>
    <x v="9"/>
    <x v="5"/>
    <x v="3"/>
    <n v="167.3"/>
  </r>
  <r>
    <x v="0"/>
    <x v="9"/>
    <x v="5"/>
    <x v="4"/>
    <n v="176.7"/>
  </r>
  <r>
    <x v="0"/>
    <x v="9"/>
    <x v="5"/>
    <x v="5"/>
    <n v="1195.0999999999999"/>
  </r>
  <r>
    <x v="1"/>
    <x v="9"/>
    <x v="5"/>
    <x v="0"/>
    <n v="2287.5"/>
  </r>
  <r>
    <x v="1"/>
    <x v="9"/>
    <x v="5"/>
    <x v="1"/>
    <n v="198.3"/>
  </r>
  <r>
    <x v="1"/>
    <x v="9"/>
    <x v="5"/>
    <x v="2"/>
    <n v="498.4"/>
  </r>
  <r>
    <x v="1"/>
    <x v="9"/>
    <x v="5"/>
    <x v="3"/>
    <n v="166.8"/>
  </r>
  <r>
    <x v="1"/>
    <x v="9"/>
    <x v="5"/>
    <x v="4"/>
    <n v="174.9"/>
  </r>
  <r>
    <x v="1"/>
    <x v="9"/>
    <x v="5"/>
    <x v="5"/>
    <n v="1153.8"/>
  </r>
  <r>
    <x v="2"/>
    <x v="9"/>
    <x v="5"/>
    <x v="0"/>
    <n v="2261.9"/>
  </r>
  <r>
    <x v="2"/>
    <x v="9"/>
    <x v="5"/>
    <x v="1"/>
    <n v="194.3"/>
  </r>
  <r>
    <x v="2"/>
    <x v="9"/>
    <x v="5"/>
    <x v="2"/>
    <n v="523"/>
  </r>
  <r>
    <x v="2"/>
    <x v="9"/>
    <x v="5"/>
    <x v="3"/>
    <n v="166.8"/>
  </r>
  <r>
    <x v="2"/>
    <x v="9"/>
    <x v="5"/>
    <x v="4"/>
    <n v="176"/>
  </r>
  <r>
    <x v="2"/>
    <x v="9"/>
    <x v="5"/>
    <x v="5"/>
    <n v="1174.5999999999999"/>
  </r>
  <r>
    <x v="0"/>
    <x v="9"/>
    <x v="6"/>
    <x v="0"/>
    <n v="2252.5"/>
  </r>
  <r>
    <x v="0"/>
    <x v="9"/>
    <x v="6"/>
    <x v="1"/>
    <n v="193.2"/>
  </r>
  <r>
    <x v="0"/>
    <x v="9"/>
    <x v="6"/>
    <x v="2"/>
    <n v="544"/>
  </r>
  <r>
    <x v="0"/>
    <x v="9"/>
    <x v="6"/>
    <x v="3"/>
    <n v="168.4"/>
  </r>
  <r>
    <x v="0"/>
    <x v="9"/>
    <x v="6"/>
    <x v="4"/>
    <n v="179.6"/>
  </r>
  <r>
    <x v="0"/>
    <x v="9"/>
    <x v="6"/>
    <x v="5"/>
    <n v="1201.2"/>
  </r>
  <r>
    <x v="1"/>
    <x v="9"/>
    <x v="6"/>
    <x v="0"/>
    <n v="2291.6"/>
  </r>
  <r>
    <x v="1"/>
    <x v="9"/>
    <x v="6"/>
    <x v="1"/>
    <n v="198.6"/>
  </r>
  <r>
    <x v="1"/>
    <x v="9"/>
    <x v="6"/>
    <x v="2"/>
    <n v="502"/>
  </r>
  <r>
    <x v="1"/>
    <x v="9"/>
    <x v="6"/>
    <x v="3"/>
    <n v="167.8"/>
  </r>
  <r>
    <x v="1"/>
    <x v="9"/>
    <x v="6"/>
    <x v="4"/>
    <n v="179.5"/>
  </r>
  <r>
    <x v="1"/>
    <x v="9"/>
    <x v="6"/>
    <x v="5"/>
    <n v="1160.4000000000001"/>
  </r>
  <r>
    <x v="2"/>
    <x v="9"/>
    <x v="6"/>
    <x v="0"/>
    <n v="2266.3000000000002"/>
  </r>
  <r>
    <x v="2"/>
    <x v="9"/>
    <x v="6"/>
    <x v="1"/>
    <n v="194.6"/>
  </r>
  <r>
    <x v="2"/>
    <x v="9"/>
    <x v="6"/>
    <x v="2"/>
    <n v="526.90000000000009"/>
  </r>
  <r>
    <x v="2"/>
    <x v="9"/>
    <x v="6"/>
    <x v="3"/>
    <n v="167.8"/>
  </r>
  <r>
    <x v="2"/>
    <x v="9"/>
    <x v="6"/>
    <x v="4"/>
    <n v="179.6"/>
  </r>
  <r>
    <x v="2"/>
    <x v="9"/>
    <x v="6"/>
    <x v="5"/>
    <n v="1180.9000000000001"/>
  </r>
  <r>
    <x v="0"/>
    <x v="9"/>
    <x v="7"/>
    <x v="0"/>
    <n v="2255.7999999999997"/>
  </r>
  <r>
    <x v="0"/>
    <x v="9"/>
    <x v="7"/>
    <x v="1"/>
    <n v="193.7"/>
  </r>
  <r>
    <x v="0"/>
    <x v="9"/>
    <x v="7"/>
    <x v="2"/>
    <n v="547.9"/>
  </r>
  <r>
    <x v="0"/>
    <x v="9"/>
    <x v="7"/>
    <x v="3"/>
    <n v="169.3"/>
  </r>
  <r>
    <x v="0"/>
    <x v="9"/>
    <x v="7"/>
    <x v="4"/>
    <n v="179.1"/>
  </r>
  <r>
    <x v="0"/>
    <x v="9"/>
    <x v="7"/>
    <x v="5"/>
    <n v="1207"/>
  </r>
  <r>
    <x v="1"/>
    <x v="9"/>
    <x v="7"/>
    <x v="0"/>
    <n v="2293.6999999999998"/>
  </r>
  <r>
    <x v="1"/>
    <x v="9"/>
    <x v="7"/>
    <x v="1"/>
    <n v="198.7"/>
  </r>
  <r>
    <x v="1"/>
    <x v="9"/>
    <x v="7"/>
    <x v="2"/>
    <n v="505.29999999999995"/>
  </r>
  <r>
    <x v="1"/>
    <x v="9"/>
    <x v="7"/>
    <x v="3"/>
    <n v="169"/>
  </r>
  <r>
    <x v="1"/>
    <x v="9"/>
    <x v="7"/>
    <x v="4"/>
    <n v="178.4"/>
  </r>
  <r>
    <x v="1"/>
    <x v="9"/>
    <x v="7"/>
    <x v="5"/>
    <n v="1166.3"/>
  </r>
  <r>
    <x v="2"/>
    <x v="9"/>
    <x v="7"/>
    <x v="0"/>
    <n v="2269.2000000000003"/>
  </r>
  <r>
    <x v="2"/>
    <x v="9"/>
    <x v="7"/>
    <x v="1"/>
    <n v="195"/>
  </r>
  <r>
    <x v="2"/>
    <x v="9"/>
    <x v="7"/>
    <x v="2"/>
    <n v="530.70000000000005"/>
  </r>
  <r>
    <x v="2"/>
    <x v="9"/>
    <x v="7"/>
    <x v="3"/>
    <n v="169"/>
  </r>
  <r>
    <x v="2"/>
    <x v="9"/>
    <x v="7"/>
    <x v="4"/>
    <n v="178.8"/>
  </r>
  <r>
    <x v="2"/>
    <x v="9"/>
    <x v="7"/>
    <x v="5"/>
    <n v="1186.7"/>
  </r>
  <r>
    <x v="0"/>
    <x v="9"/>
    <x v="8"/>
    <x v="0"/>
    <n v="2267.8000000000002"/>
  </r>
  <r>
    <x v="0"/>
    <x v="9"/>
    <x v="8"/>
    <x v="1"/>
    <n v="194.5"/>
  </r>
  <r>
    <x v="0"/>
    <x v="9"/>
    <x v="8"/>
    <x v="2"/>
    <n v="552.5"/>
  </r>
  <r>
    <x v="0"/>
    <x v="9"/>
    <x v="8"/>
    <x v="3"/>
    <n v="170.4"/>
  </r>
  <r>
    <x v="0"/>
    <x v="9"/>
    <x v="8"/>
    <x v="4"/>
    <n v="179.7"/>
  </r>
  <r>
    <x v="0"/>
    <x v="9"/>
    <x v="8"/>
    <x v="5"/>
    <n v="1210.7999999999997"/>
  </r>
  <r>
    <x v="1"/>
    <x v="9"/>
    <x v="8"/>
    <x v="0"/>
    <n v="2306.4"/>
  </r>
  <r>
    <x v="1"/>
    <x v="9"/>
    <x v="8"/>
    <x v="1"/>
    <n v="199.7"/>
  </r>
  <r>
    <x v="1"/>
    <x v="9"/>
    <x v="8"/>
    <x v="2"/>
    <n v="509.7"/>
  </r>
  <r>
    <x v="1"/>
    <x v="9"/>
    <x v="8"/>
    <x v="3"/>
    <n v="169.5"/>
  </r>
  <r>
    <x v="1"/>
    <x v="9"/>
    <x v="8"/>
    <x v="4"/>
    <n v="179.2"/>
  </r>
  <r>
    <x v="1"/>
    <x v="9"/>
    <x v="8"/>
    <x v="5"/>
    <n v="1170.8999999999999"/>
  </r>
  <r>
    <x v="2"/>
    <x v="9"/>
    <x v="8"/>
    <x v="0"/>
    <n v="2280.9"/>
  </r>
  <r>
    <x v="2"/>
    <x v="9"/>
    <x v="8"/>
    <x v="1"/>
    <n v="195.9"/>
  </r>
  <r>
    <x v="2"/>
    <x v="9"/>
    <x v="8"/>
    <x v="2"/>
    <n v="535.1"/>
  </r>
  <r>
    <x v="2"/>
    <x v="9"/>
    <x v="8"/>
    <x v="3"/>
    <n v="169.5"/>
  </r>
  <r>
    <x v="2"/>
    <x v="9"/>
    <x v="8"/>
    <x v="4"/>
    <n v="179.5"/>
  </r>
  <r>
    <x v="2"/>
    <x v="9"/>
    <x v="8"/>
    <x v="5"/>
    <n v="1190.9000000000001"/>
  </r>
  <r>
    <x v="0"/>
    <x v="9"/>
    <x v="9"/>
    <x v="0"/>
    <n v="2284.5"/>
  </r>
  <r>
    <x v="0"/>
    <x v="9"/>
    <x v="9"/>
    <x v="1"/>
    <n v="194.9"/>
  </r>
  <r>
    <x v="0"/>
    <x v="9"/>
    <x v="9"/>
    <x v="2"/>
    <n v="556.4"/>
  </r>
  <r>
    <x v="0"/>
    <x v="9"/>
    <x v="9"/>
    <x v="3"/>
    <n v="171.5"/>
  </r>
  <r>
    <x v="0"/>
    <x v="9"/>
    <x v="9"/>
    <x v="4"/>
    <n v="180.8"/>
  </r>
  <r>
    <x v="0"/>
    <x v="9"/>
    <x v="9"/>
    <x v="5"/>
    <n v="1216"/>
  </r>
  <r>
    <x v="1"/>
    <x v="9"/>
    <x v="9"/>
    <x v="0"/>
    <n v="2322.3000000000002"/>
  </r>
  <r>
    <x v="1"/>
    <x v="9"/>
    <x v="9"/>
    <x v="1"/>
    <n v="200.1"/>
  </r>
  <r>
    <x v="1"/>
    <x v="9"/>
    <x v="9"/>
    <x v="2"/>
    <n v="511.70000000000005"/>
  </r>
  <r>
    <x v="1"/>
    <x v="9"/>
    <x v="9"/>
    <x v="3"/>
    <n v="171.2"/>
  </r>
  <r>
    <x v="1"/>
    <x v="9"/>
    <x v="9"/>
    <x v="4"/>
    <n v="180"/>
  </r>
  <r>
    <x v="1"/>
    <x v="9"/>
    <x v="9"/>
    <x v="5"/>
    <n v="1176.0999999999999"/>
  </r>
  <r>
    <x v="2"/>
    <x v="9"/>
    <x v="9"/>
    <x v="0"/>
    <n v="2297.3000000000002"/>
  </r>
  <r>
    <x v="2"/>
    <x v="9"/>
    <x v="9"/>
    <x v="1"/>
    <n v="196.3"/>
  </r>
  <r>
    <x v="2"/>
    <x v="9"/>
    <x v="9"/>
    <x v="2"/>
    <n v="538.20000000000005"/>
  </r>
  <r>
    <x v="2"/>
    <x v="9"/>
    <x v="9"/>
    <x v="3"/>
    <n v="171.2"/>
  </r>
  <r>
    <x v="2"/>
    <x v="9"/>
    <x v="9"/>
    <x v="4"/>
    <n v="180.5"/>
  </r>
  <r>
    <x v="2"/>
    <x v="9"/>
    <x v="9"/>
    <x v="5"/>
    <n v="1196.2"/>
  </r>
  <r>
    <x v="0"/>
    <x v="9"/>
    <x v="11"/>
    <x v="0"/>
    <n v="2287.6999999999998"/>
  </r>
  <r>
    <x v="0"/>
    <x v="9"/>
    <x v="11"/>
    <x v="1"/>
    <n v="195.5"/>
  </r>
  <r>
    <x v="0"/>
    <x v="9"/>
    <x v="11"/>
    <x v="2"/>
    <n v="559.29999999999995"/>
  </r>
  <r>
    <x v="0"/>
    <x v="9"/>
    <x v="11"/>
    <x v="3"/>
    <n v="171.3"/>
  </r>
  <r>
    <x v="0"/>
    <x v="9"/>
    <x v="11"/>
    <x v="4"/>
    <n v="181.9"/>
  </r>
  <r>
    <x v="0"/>
    <x v="9"/>
    <x v="11"/>
    <x v="5"/>
    <n v="1220.9999999999998"/>
  </r>
  <r>
    <x v="1"/>
    <x v="9"/>
    <x v="11"/>
    <x v="0"/>
    <n v="2314.4"/>
  </r>
  <r>
    <x v="1"/>
    <x v="9"/>
    <x v="11"/>
    <x v="1"/>
    <n v="200.6"/>
  </r>
  <r>
    <x v="1"/>
    <x v="9"/>
    <x v="11"/>
    <x v="2"/>
    <n v="514.9"/>
  </r>
  <r>
    <x v="1"/>
    <x v="9"/>
    <x v="11"/>
    <x v="3"/>
    <n v="171.8"/>
  </r>
  <r>
    <x v="1"/>
    <x v="9"/>
    <x v="11"/>
    <x v="4"/>
    <n v="180.3"/>
  </r>
  <r>
    <x v="1"/>
    <x v="9"/>
    <x v="11"/>
    <x v="5"/>
    <n v="1181"/>
  </r>
  <r>
    <x v="2"/>
    <x v="9"/>
    <x v="11"/>
    <x v="0"/>
    <n v="2296.8000000000002"/>
  </r>
  <r>
    <x v="2"/>
    <x v="9"/>
    <x v="11"/>
    <x v="1"/>
    <n v="196.9"/>
  </r>
  <r>
    <x v="2"/>
    <x v="9"/>
    <x v="11"/>
    <x v="2"/>
    <n v="541.4"/>
  </r>
  <r>
    <x v="2"/>
    <x v="9"/>
    <x v="11"/>
    <x v="3"/>
    <n v="171.8"/>
  </r>
  <r>
    <x v="2"/>
    <x v="9"/>
    <x v="11"/>
    <x v="4"/>
    <n v="181.3"/>
  </r>
  <r>
    <x v="2"/>
    <x v="9"/>
    <x v="11"/>
    <x v="5"/>
    <n v="1201.0999999999999"/>
  </r>
  <r>
    <x v="0"/>
    <x v="9"/>
    <x v="12"/>
    <x v="0"/>
    <n v="2277.1"/>
  </r>
  <r>
    <x v="0"/>
    <x v="9"/>
    <x v="12"/>
    <x v="1"/>
    <n v="195.9"/>
  </r>
  <r>
    <x v="0"/>
    <x v="9"/>
    <x v="12"/>
    <x v="2"/>
    <n v="561.79999999999995"/>
  </r>
  <r>
    <x v="0"/>
    <x v="9"/>
    <x v="12"/>
    <x v="3"/>
    <n v="171.4"/>
  </r>
  <r>
    <x v="0"/>
    <x v="9"/>
    <x v="12"/>
    <x v="4"/>
    <n v="182.8"/>
  </r>
  <r>
    <x v="0"/>
    <x v="9"/>
    <x v="12"/>
    <x v="5"/>
    <n v="1227.4000000000001"/>
  </r>
  <r>
    <x v="1"/>
    <x v="9"/>
    <x v="12"/>
    <x v="0"/>
    <n v="2295.7999999999997"/>
  </r>
  <r>
    <x v="1"/>
    <x v="9"/>
    <x v="12"/>
    <x v="1"/>
    <n v="201.1"/>
  </r>
  <r>
    <x v="1"/>
    <x v="9"/>
    <x v="12"/>
    <x v="2"/>
    <n v="517.9"/>
  </r>
  <r>
    <x v="1"/>
    <x v="9"/>
    <x v="12"/>
    <x v="3"/>
    <n v="170.7"/>
  </r>
  <r>
    <x v="1"/>
    <x v="9"/>
    <x v="12"/>
    <x v="4"/>
    <n v="180.6"/>
  </r>
  <r>
    <x v="1"/>
    <x v="9"/>
    <x v="12"/>
    <x v="5"/>
    <n v="1187"/>
  </r>
  <r>
    <x v="2"/>
    <x v="9"/>
    <x v="12"/>
    <x v="0"/>
    <n v="2283.4"/>
  </r>
  <r>
    <x v="2"/>
    <x v="9"/>
    <x v="12"/>
    <x v="1"/>
    <n v="197.3"/>
  </r>
  <r>
    <x v="2"/>
    <x v="9"/>
    <x v="12"/>
    <x v="2"/>
    <n v="544"/>
  </r>
  <r>
    <x v="2"/>
    <x v="9"/>
    <x v="12"/>
    <x v="3"/>
    <n v="170.7"/>
  </r>
  <r>
    <x v="2"/>
    <x v="9"/>
    <x v="12"/>
    <x v="4"/>
    <n v="182"/>
  </r>
  <r>
    <x v="2"/>
    <x v="9"/>
    <x v="12"/>
    <x v="5"/>
    <n v="1207.4000000000001"/>
  </r>
  <r>
    <x v="0"/>
    <x v="10"/>
    <x v="0"/>
    <x v="0"/>
    <n v="2283.2000000000003"/>
  </r>
  <r>
    <x v="0"/>
    <x v="10"/>
    <x v="0"/>
    <x v="1"/>
    <n v="196.9"/>
  </r>
  <r>
    <x v="0"/>
    <x v="10"/>
    <x v="0"/>
    <x v="2"/>
    <n v="563.9"/>
  </r>
  <r>
    <x v="0"/>
    <x v="10"/>
    <x v="0"/>
    <x v="3"/>
    <n v="172.8"/>
  </r>
  <r>
    <x v="0"/>
    <x v="10"/>
    <x v="0"/>
    <x v="4"/>
    <n v="183.2"/>
  </r>
  <r>
    <x v="0"/>
    <x v="10"/>
    <x v="0"/>
    <x v="5"/>
    <n v="1234.5999999999999"/>
  </r>
  <r>
    <x v="1"/>
    <x v="10"/>
    <x v="0"/>
    <x v="0"/>
    <n v="2310.2000000000003"/>
  </r>
  <r>
    <x v="1"/>
    <x v="10"/>
    <x v="0"/>
    <x v="1"/>
    <n v="201.6"/>
  </r>
  <r>
    <x v="1"/>
    <x v="10"/>
    <x v="0"/>
    <x v="2"/>
    <n v="520.6"/>
  </r>
  <r>
    <x v="1"/>
    <x v="10"/>
    <x v="0"/>
    <x v="3"/>
    <n v="172.1"/>
  </r>
  <r>
    <x v="1"/>
    <x v="10"/>
    <x v="0"/>
    <x v="4"/>
    <n v="180.1"/>
  </r>
  <r>
    <x v="1"/>
    <x v="10"/>
    <x v="0"/>
    <x v="5"/>
    <n v="1193.3"/>
  </r>
  <r>
    <x v="2"/>
    <x v="10"/>
    <x v="0"/>
    <x v="0"/>
    <n v="2292.6999999999998"/>
  </r>
  <r>
    <x v="2"/>
    <x v="10"/>
    <x v="0"/>
    <x v="1"/>
    <n v="198.2"/>
  </r>
  <r>
    <x v="2"/>
    <x v="10"/>
    <x v="0"/>
    <x v="2"/>
    <n v="546.29999999999995"/>
  </r>
  <r>
    <x v="2"/>
    <x v="10"/>
    <x v="0"/>
    <x v="3"/>
    <n v="172.1"/>
  </r>
  <r>
    <x v="2"/>
    <x v="10"/>
    <x v="0"/>
    <x v="4"/>
    <n v="182"/>
  </r>
  <r>
    <x v="2"/>
    <x v="10"/>
    <x v="0"/>
    <x v="5"/>
    <n v="1214"/>
  </r>
  <r>
    <x v="0"/>
    <x v="10"/>
    <x v="1"/>
    <x v="0"/>
    <n v="2265.6999999999998"/>
  </r>
  <r>
    <x v="0"/>
    <x v="10"/>
    <x v="1"/>
    <x v="1"/>
    <n v="198.3"/>
  </r>
  <r>
    <x v="0"/>
    <x v="10"/>
    <x v="1"/>
    <x v="2"/>
    <n v="566.6"/>
  </r>
  <r>
    <x v="0"/>
    <x v="10"/>
    <x v="1"/>
    <x v="3"/>
    <n v="173.5"/>
  </r>
  <r>
    <x v="0"/>
    <x v="10"/>
    <x v="1"/>
    <x v="4"/>
    <n v="181.6"/>
  </r>
  <r>
    <x v="0"/>
    <x v="10"/>
    <x v="1"/>
    <x v="5"/>
    <n v="1244.1000000000001"/>
  </r>
  <r>
    <x v="1"/>
    <x v="10"/>
    <x v="1"/>
    <x v="0"/>
    <n v="2303.1999999999998"/>
  </r>
  <r>
    <x v="1"/>
    <x v="10"/>
    <x v="1"/>
    <x v="1"/>
    <n v="202.7"/>
  </r>
  <r>
    <x v="1"/>
    <x v="10"/>
    <x v="1"/>
    <x v="2"/>
    <n v="525.5"/>
  </r>
  <r>
    <x v="1"/>
    <x v="10"/>
    <x v="1"/>
    <x v="3"/>
    <n v="173.5"/>
  </r>
  <r>
    <x v="1"/>
    <x v="10"/>
    <x v="1"/>
    <x v="4"/>
    <n v="182.8"/>
  </r>
  <r>
    <x v="1"/>
    <x v="10"/>
    <x v="1"/>
    <x v="5"/>
    <n v="1202.1000000000001"/>
  </r>
  <r>
    <x v="2"/>
    <x v="10"/>
    <x v="1"/>
    <x v="0"/>
    <n v="2279.1"/>
  </r>
  <r>
    <x v="2"/>
    <x v="10"/>
    <x v="1"/>
    <x v="1"/>
    <n v="199.5"/>
  </r>
  <r>
    <x v="2"/>
    <x v="10"/>
    <x v="1"/>
    <x v="2"/>
    <n v="550"/>
  </r>
  <r>
    <x v="2"/>
    <x v="10"/>
    <x v="1"/>
    <x v="3"/>
    <n v="173.5"/>
  </r>
  <r>
    <x v="2"/>
    <x v="10"/>
    <x v="1"/>
    <x v="4"/>
    <n v="182.1"/>
  </r>
  <r>
    <x v="2"/>
    <x v="10"/>
    <x v="1"/>
    <x v="5"/>
    <n v="1223.1999999999998"/>
  </r>
  <r>
    <x v="0"/>
    <x v="10"/>
    <x v="2"/>
    <x v="0"/>
    <n v="2265.8000000000002"/>
  </r>
  <r>
    <x v="0"/>
    <x v="10"/>
    <x v="2"/>
    <x v="1"/>
    <n v="198.4"/>
  </r>
  <r>
    <x v="0"/>
    <x v="10"/>
    <x v="2"/>
    <x v="2"/>
    <n v="566.6"/>
  </r>
  <r>
    <x v="0"/>
    <x v="10"/>
    <x v="2"/>
    <x v="3"/>
    <n v="174.4"/>
  </r>
  <r>
    <x v="0"/>
    <x v="10"/>
    <x v="2"/>
    <x v="4"/>
    <n v="181.4"/>
  </r>
  <r>
    <x v="0"/>
    <x v="10"/>
    <x v="2"/>
    <x v="5"/>
    <n v="1244.1000000000001"/>
  </r>
  <r>
    <x v="1"/>
    <x v="10"/>
    <x v="2"/>
    <x v="0"/>
    <n v="2303.4"/>
  </r>
  <r>
    <x v="1"/>
    <x v="10"/>
    <x v="2"/>
    <x v="1"/>
    <n v="202.7"/>
  </r>
  <r>
    <x v="1"/>
    <x v="10"/>
    <x v="2"/>
    <x v="2"/>
    <n v="525.4"/>
  </r>
  <r>
    <x v="1"/>
    <x v="10"/>
    <x v="2"/>
    <x v="3"/>
    <n v="173.5"/>
  </r>
  <r>
    <x v="1"/>
    <x v="10"/>
    <x v="2"/>
    <x v="4"/>
    <n v="182.6"/>
  </r>
  <r>
    <x v="1"/>
    <x v="10"/>
    <x v="2"/>
    <x v="5"/>
    <n v="1202.2"/>
  </r>
  <r>
    <x v="2"/>
    <x v="10"/>
    <x v="2"/>
    <x v="0"/>
    <n v="2279.1999999999998"/>
  </r>
  <r>
    <x v="2"/>
    <x v="10"/>
    <x v="2"/>
    <x v="1"/>
    <n v="199.5"/>
  </r>
  <r>
    <x v="2"/>
    <x v="10"/>
    <x v="2"/>
    <x v="2"/>
    <n v="549.9"/>
  </r>
  <r>
    <x v="2"/>
    <x v="10"/>
    <x v="2"/>
    <x v="3"/>
    <n v="173.5"/>
  </r>
  <r>
    <x v="2"/>
    <x v="10"/>
    <x v="2"/>
    <x v="4"/>
    <n v="181.9"/>
  </r>
  <r>
    <x v="2"/>
    <x v="10"/>
    <x v="2"/>
    <x v="5"/>
    <n v="1223.1999999999998"/>
  </r>
  <r>
    <x v="0"/>
    <x v="10"/>
    <x v="3"/>
    <x v="0"/>
    <n v="2274.1999999999998"/>
  </r>
  <r>
    <x v="0"/>
    <x v="10"/>
    <x v="3"/>
    <x v="1"/>
    <n v="199.5"/>
  </r>
  <r>
    <x v="0"/>
    <x v="10"/>
    <x v="3"/>
    <x v="2"/>
    <n v="568.20000000000005"/>
  </r>
  <r>
    <x v="0"/>
    <x v="10"/>
    <x v="3"/>
    <x v="3"/>
    <n v="174.4"/>
  </r>
  <r>
    <x v="0"/>
    <x v="10"/>
    <x v="3"/>
    <x v="4"/>
    <n v="181.5"/>
  </r>
  <r>
    <x v="0"/>
    <x v="10"/>
    <x v="3"/>
    <x v="5"/>
    <n v="1251"/>
  </r>
  <r>
    <x v="1"/>
    <x v="10"/>
    <x v="3"/>
    <x v="0"/>
    <n v="2317.7000000000003"/>
  </r>
  <r>
    <x v="1"/>
    <x v="10"/>
    <x v="3"/>
    <x v="1"/>
    <n v="203.5"/>
  </r>
  <r>
    <x v="1"/>
    <x v="10"/>
    <x v="3"/>
    <x v="2"/>
    <n v="527.6"/>
  </r>
  <r>
    <x v="1"/>
    <x v="10"/>
    <x v="3"/>
    <x v="3"/>
    <n v="175.2"/>
  </r>
  <r>
    <x v="1"/>
    <x v="10"/>
    <x v="3"/>
    <x v="4"/>
    <n v="182.1"/>
  </r>
  <r>
    <x v="1"/>
    <x v="10"/>
    <x v="3"/>
    <x v="5"/>
    <n v="1209.5000000000002"/>
  </r>
  <r>
    <x v="2"/>
    <x v="10"/>
    <x v="3"/>
    <x v="0"/>
    <n v="2289.6000000000004"/>
  </r>
  <r>
    <x v="2"/>
    <x v="10"/>
    <x v="3"/>
    <x v="1"/>
    <n v="200.6"/>
  </r>
  <r>
    <x v="2"/>
    <x v="10"/>
    <x v="3"/>
    <x v="2"/>
    <n v="551.79999999999995"/>
  </r>
  <r>
    <x v="2"/>
    <x v="10"/>
    <x v="3"/>
    <x v="3"/>
    <n v="175.2"/>
  </r>
  <r>
    <x v="2"/>
    <x v="10"/>
    <x v="3"/>
    <x v="4"/>
    <n v="181.7"/>
  </r>
  <r>
    <x v="2"/>
    <x v="10"/>
    <x v="3"/>
    <x v="5"/>
    <n v="1230.1999999999998"/>
  </r>
  <r>
    <x v="0"/>
    <x v="10"/>
    <x v="4"/>
    <x v="0"/>
    <n v="2290.7000000000007"/>
  </r>
  <r>
    <x v="0"/>
    <x v="10"/>
    <x v="4"/>
    <x v="1"/>
    <n v="199.9"/>
  </r>
  <r>
    <x v="0"/>
    <x v="10"/>
    <x v="4"/>
    <x v="2"/>
    <n v="569.90000000000009"/>
  </r>
  <r>
    <x v="0"/>
    <x v="10"/>
    <x v="4"/>
    <x v="3"/>
    <n v="175.3"/>
  </r>
  <r>
    <x v="0"/>
    <x v="10"/>
    <x v="4"/>
    <x v="4"/>
    <n v="182.5"/>
  </r>
  <r>
    <x v="0"/>
    <x v="10"/>
    <x v="4"/>
    <x v="5"/>
    <n v="1255.8"/>
  </r>
  <r>
    <x v="1"/>
    <x v="10"/>
    <x v="4"/>
    <x v="0"/>
    <n v="2335.1"/>
  </r>
  <r>
    <x v="1"/>
    <x v="10"/>
    <x v="4"/>
    <x v="1"/>
    <n v="204.2"/>
  </r>
  <r>
    <x v="1"/>
    <x v="10"/>
    <x v="4"/>
    <x v="2"/>
    <n v="528.70000000000005"/>
  </r>
  <r>
    <x v="1"/>
    <x v="10"/>
    <x v="4"/>
    <x v="3"/>
    <n v="175.6"/>
  </r>
  <r>
    <x v="1"/>
    <x v="10"/>
    <x v="4"/>
    <x v="4"/>
    <n v="183.4"/>
  </r>
  <r>
    <x v="1"/>
    <x v="10"/>
    <x v="4"/>
    <x v="5"/>
    <n v="1213.8999999999996"/>
  </r>
  <r>
    <x v="2"/>
    <x v="10"/>
    <x v="4"/>
    <x v="0"/>
    <n v="2306.9"/>
  </r>
  <r>
    <x v="2"/>
    <x v="10"/>
    <x v="4"/>
    <x v="1"/>
    <n v="201"/>
  </r>
  <r>
    <x v="2"/>
    <x v="10"/>
    <x v="4"/>
    <x v="2"/>
    <n v="553.20000000000005"/>
  </r>
  <r>
    <x v="2"/>
    <x v="10"/>
    <x v="4"/>
    <x v="3"/>
    <n v="175.6"/>
  </r>
  <r>
    <x v="2"/>
    <x v="10"/>
    <x v="4"/>
    <x v="4"/>
    <n v="182.8"/>
  </r>
  <r>
    <x v="2"/>
    <x v="10"/>
    <x v="4"/>
    <x v="5"/>
    <n v="1234.9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s v="January"/>
    <n v="1371.6999999999998"/>
    <n v="105.1"/>
    <n v="318.70000000000005"/>
    <n v="100.4"/>
    <n v="105.5"/>
    <n v="728"/>
    <x v="0"/>
  </r>
  <r>
    <s v="Urban"/>
    <x v="0"/>
    <s v="January"/>
    <n v="1376.4"/>
    <n v="105.2"/>
    <n v="316.7"/>
    <n v="100.3"/>
    <n v="105.4"/>
    <n v="726.5"/>
    <x v="1"/>
  </r>
  <r>
    <s v="Rural+Urban"/>
    <x v="0"/>
    <s v="January"/>
    <n v="1373.3000000000002"/>
    <n v="105.1"/>
    <n v="318"/>
    <n v="100.3"/>
    <n v="105.5"/>
    <n v="727.1"/>
    <x v="2"/>
  </r>
  <r>
    <s v="Rural"/>
    <x v="0"/>
    <s v="February"/>
    <n v="1380.3999999999999"/>
    <n v="105.6"/>
    <n v="320.39999999999998"/>
    <n v="100.4"/>
    <n v="106.2"/>
    <n v="730.6"/>
    <x v="3"/>
  </r>
  <r>
    <s v="Urban"/>
    <x v="0"/>
    <s v="February"/>
    <n v="1390.6000000000001"/>
    <n v="106"/>
    <n v="318.5"/>
    <n v="100.4"/>
    <n v="105.7"/>
    <n v="729.9"/>
    <x v="4"/>
  </r>
  <r>
    <s v="Rural+Urban"/>
    <x v="0"/>
    <s v="February"/>
    <n v="1384.2"/>
    <n v="105.7"/>
    <n v="319.7"/>
    <n v="100.4"/>
    <n v="106"/>
    <n v="730.3"/>
    <x v="5"/>
  </r>
  <r>
    <s v="Rural"/>
    <x v="0"/>
    <s v="March"/>
    <n v="1382.2"/>
    <n v="106.5"/>
    <n v="321.89999999999998"/>
    <n v="100.5"/>
    <n v="106.1"/>
    <n v="732.09999999999991"/>
    <x v="6"/>
  </r>
  <r>
    <s v="Urban"/>
    <x v="0"/>
    <s v="March"/>
    <n v="1386.8"/>
    <n v="106.8"/>
    <n v="320.2"/>
    <n v="100.4"/>
    <n v="106"/>
    <n v="732.8"/>
    <x v="7"/>
  </r>
  <r>
    <s v="Rural+Urban"/>
    <x v="0"/>
    <s v="March"/>
    <n v="1384.0000000000002"/>
    <n v="106.6"/>
    <n v="321.2"/>
    <n v="100.4"/>
    <n v="106.1"/>
    <n v="732.3"/>
    <x v="8"/>
  </r>
  <r>
    <s v="Rural"/>
    <x v="0"/>
    <s v="April"/>
    <n v="1385.8"/>
    <n v="107.1"/>
    <n v="323.5"/>
    <n v="100.5"/>
    <n v="106.5"/>
    <n v="732.2"/>
    <x v="9"/>
  </r>
  <r>
    <s v="Urban"/>
    <x v="0"/>
    <s v="April"/>
    <n v="1397.6999999999998"/>
    <n v="108.5"/>
    <n v="322"/>
    <n v="100.5"/>
    <n v="106.4"/>
    <n v="734.7"/>
    <x v="10"/>
  </r>
  <r>
    <s v="Rural+Urban"/>
    <x v="0"/>
    <s v="April"/>
    <n v="1390.2"/>
    <n v="107.5"/>
    <n v="322.89999999999998"/>
    <n v="100.5"/>
    <n v="106.5"/>
    <n v="733.19999999999993"/>
    <x v="11"/>
  </r>
  <r>
    <s v="Rural"/>
    <x v="0"/>
    <s v="May"/>
    <n v="1394"/>
    <n v="108.1"/>
    <n v="325.29999999999995"/>
    <n v="103.6"/>
    <n v="107.5"/>
    <n v="734"/>
    <x v="12"/>
  </r>
  <r>
    <s v="Urban"/>
    <x v="0"/>
    <s v="May"/>
    <n v="1417.1999999999998"/>
    <n v="109.8"/>
    <n v="323.5"/>
    <n v="100.5"/>
    <n v="107.2"/>
    <n v="735.00000000000011"/>
    <x v="13"/>
  </r>
  <r>
    <s v="Rural+Urban"/>
    <x v="0"/>
    <s v="May"/>
    <n v="1402.1999999999998"/>
    <n v="108.6"/>
    <n v="324.60000000000002"/>
    <n v="100.5"/>
    <n v="107.4"/>
    <n v="734.3"/>
    <x v="14"/>
  </r>
  <r>
    <s v="Rural"/>
    <x v="0"/>
    <s v="June"/>
    <n v="1420"/>
    <n v="109"/>
    <n v="328"/>
    <n v="107.2"/>
    <n v="108.5"/>
    <n v="738.9"/>
    <x v="15"/>
  </r>
  <r>
    <s v="Urban"/>
    <x v="0"/>
    <s v="June"/>
    <n v="1464.6000000000001"/>
    <n v="110.9"/>
    <n v="325.3"/>
    <n v="106.6"/>
    <n v="108"/>
    <n v="742.09999999999991"/>
    <x v="16"/>
  </r>
  <r>
    <s v="Rural+Urban"/>
    <x v="0"/>
    <s v="June"/>
    <n v="1436"/>
    <n v="109.5"/>
    <n v="326.89999999999998"/>
    <n v="106.6"/>
    <n v="108.3"/>
    <n v="740.49999999999989"/>
    <x v="17"/>
  </r>
  <r>
    <s v="Rural"/>
    <x v="0"/>
    <s v="July"/>
    <n v="1445.8999999999996"/>
    <n v="109.8"/>
    <n v="330.3"/>
    <n v="108.3"/>
    <n v="109.5"/>
    <n v="745.19999999999993"/>
    <x v="18"/>
  </r>
  <r>
    <s v="Urban"/>
    <x v="0"/>
    <s v="July"/>
    <n v="1489.4"/>
    <n v="111.7"/>
    <n v="327.10000000000002"/>
    <n v="107.7"/>
    <n v="108.6"/>
    <n v="749"/>
    <x v="19"/>
  </r>
  <r>
    <s v="Rural+Urban"/>
    <x v="0"/>
    <s v="July"/>
    <n v="1461.3999999999999"/>
    <n v="110.3"/>
    <n v="329"/>
    <n v="107.7"/>
    <n v="109.2"/>
    <n v="747.19999999999993"/>
    <x v="20"/>
  </r>
  <r>
    <s v="Rural"/>
    <x v="0"/>
    <s v="August"/>
    <n v="1462.5"/>
    <n v="110.7"/>
    <n v="332.6"/>
    <n v="109.3"/>
    <n v="109.9"/>
    <n v="752"/>
    <x v="21"/>
  </r>
  <r>
    <s v="Urban"/>
    <x v="0"/>
    <s v="August"/>
    <n v="1506.1000000000001"/>
    <n v="112.4"/>
    <n v="329.09999999999997"/>
    <n v="108.9"/>
    <n v="109.3"/>
    <n v="755.99999999999989"/>
    <x v="22"/>
  </r>
  <r>
    <s v="Rural+Urban"/>
    <x v="0"/>
    <s v="August"/>
    <n v="1477.4"/>
    <n v="111.2"/>
    <n v="331.1"/>
    <n v="108.9"/>
    <n v="109.7"/>
    <n v="753.99999999999989"/>
    <x v="23"/>
  </r>
  <r>
    <s v="Rural"/>
    <x v="0"/>
    <s v="September"/>
    <n v="1488.5000000000002"/>
    <n v="111.7"/>
    <n v="336.6"/>
    <n v="110.1"/>
    <n v="111.1"/>
    <n v="760.1"/>
    <x v="24"/>
  </r>
  <r>
    <s v="Urban"/>
    <x v="0"/>
    <s v="September"/>
    <n v="1500.4"/>
    <n v="112.9"/>
    <n v="331.5"/>
    <n v="109.7"/>
    <n v="109.5"/>
    <n v="762.8"/>
    <x v="25"/>
  </r>
  <r>
    <s v="Rural+Urban"/>
    <x v="0"/>
    <s v="September"/>
    <n v="1491.6999999999998"/>
    <n v="112"/>
    <n v="334.5"/>
    <n v="109.7"/>
    <n v="110.5"/>
    <n v="761.5"/>
    <x v="26"/>
  </r>
  <r>
    <s v="Rural"/>
    <x v="0"/>
    <s v="October"/>
    <n v="1508"/>
    <n v="112.2"/>
    <n v="339.29999999999995"/>
    <n v="110.8"/>
    <n v="111.6"/>
    <n v="763.7"/>
    <x v="27"/>
  </r>
  <r>
    <s v="Urban"/>
    <x v="0"/>
    <s v="October"/>
    <n v="1517.1999999999998"/>
    <n v="113.5"/>
    <n v="334.2"/>
    <n v="110.5"/>
    <n v="109.7"/>
    <n v="764.09999999999991"/>
    <x v="28"/>
  </r>
  <r>
    <s v="Rural+Urban"/>
    <x v="0"/>
    <s v="October"/>
    <n v="1510.2000000000003"/>
    <n v="112.5"/>
    <n v="337.2"/>
    <n v="110.5"/>
    <n v="110.9"/>
    <n v="763.9"/>
    <x v="29"/>
  </r>
  <r>
    <s v="Rural"/>
    <x v="0"/>
    <s v="November "/>
    <n v="1536.8"/>
    <n v="112.8"/>
    <n v="342.1"/>
    <n v="110.9"/>
    <n v="112.6"/>
    <n v="768.3"/>
    <x v="30"/>
  </r>
  <r>
    <s v="Urban"/>
    <x v="0"/>
    <s v="November"/>
    <n v="1544.6"/>
    <n v="114.1"/>
    <n v="336.8"/>
    <n v="111.1"/>
    <n v="110"/>
    <n v="766.3"/>
    <x v="31"/>
  </r>
  <r>
    <s v="Rural+Urban"/>
    <x v="0"/>
    <s v="November"/>
    <n v="1538.8"/>
    <n v="113.1"/>
    <n v="339.90000000000003"/>
    <n v="111.1"/>
    <n v="111.6"/>
    <n v="767.50000000000011"/>
    <x v="32"/>
  </r>
  <r>
    <s v="Rural"/>
    <x v="0"/>
    <s v="December"/>
    <n v="1509"/>
    <n v="113.6"/>
    <n v="345.3"/>
    <n v="111.2"/>
    <n v="112.8"/>
    <n v="771.1"/>
    <x v="27"/>
  </r>
  <r>
    <s v="Urban"/>
    <x v="0"/>
    <s v="December"/>
    <n v="1504.4"/>
    <n v="115"/>
    <n v="338.8"/>
    <n v="110.7"/>
    <n v="110.4"/>
    <n v="767.8"/>
    <x v="33"/>
  </r>
  <r>
    <s v="Rural+Urban"/>
    <x v="0"/>
    <s v="December"/>
    <n v="1507.3000000000002"/>
    <n v="114"/>
    <n v="342.7"/>
    <n v="110.7"/>
    <n v="111.9"/>
    <n v="769.6"/>
    <x v="34"/>
  </r>
  <r>
    <s v="Rural"/>
    <x v="1"/>
    <s v="January"/>
    <n v="1486.6000000000001"/>
    <n v="114"/>
    <n v="347.2"/>
    <n v="112.1"/>
    <n v="113"/>
    <n v="773.99999999999989"/>
    <x v="24"/>
  </r>
  <r>
    <s v="Urban"/>
    <x v="1"/>
    <s v="January"/>
    <n v="1484.3"/>
    <n v="115.7"/>
    <n v="340.4"/>
    <n v="111.6"/>
    <n v="111"/>
    <n v="772.2"/>
    <x v="35"/>
  </r>
  <r>
    <s v="Rural+Urban"/>
    <x v="1"/>
    <s v="January"/>
    <n v="1485.7999999999997"/>
    <n v="114.5"/>
    <n v="344.4"/>
    <n v="111.6"/>
    <n v="112.2"/>
    <n v="773.40000000000009"/>
    <x v="36"/>
  </r>
  <r>
    <s v="Rural"/>
    <x v="1"/>
    <s v="February"/>
    <n v="1482.2"/>
    <n v="114.2"/>
    <n v="348.3"/>
    <n v="112.9"/>
    <n v="113.2"/>
    <n v="776.1"/>
    <x v="28"/>
  </r>
  <r>
    <s v="Urban"/>
    <x v="1"/>
    <s v="February"/>
    <n v="1476"/>
    <n v="116.2"/>
    <n v="341.7"/>
    <n v="112.5"/>
    <n v="111.1"/>
    <n v="775.90000000000009"/>
    <x v="37"/>
  </r>
  <r>
    <s v="Rural+Urban"/>
    <x v="1"/>
    <s v="February"/>
    <n v="1480.1"/>
    <n v="114.7"/>
    <n v="345.6"/>
    <n v="112.5"/>
    <n v="112.4"/>
    <n v="776.1"/>
    <x v="36"/>
  </r>
  <r>
    <s v="Rural"/>
    <x v="1"/>
    <s v="March"/>
    <n v="1491.4"/>
    <n v="114.6"/>
    <n v="349.6"/>
    <n v="113.6"/>
    <n v="113.4"/>
    <n v="778.8"/>
    <x v="38"/>
  </r>
  <r>
    <s v="Urban"/>
    <x v="1"/>
    <s v="March"/>
    <n v="1483"/>
    <n v="116.7"/>
    <n v="343.09999999999997"/>
    <n v="113.2"/>
    <n v="110.9"/>
    <n v="778.69999999999993"/>
    <x v="26"/>
  </r>
  <r>
    <s v="Rural+Urban"/>
    <x v="1"/>
    <s v="Marcrh"/>
    <n v="1488.2999999999997"/>
    <n v="115.2"/>
    <n v="346.9"/>
    <n v="113.2"/>
    <n v="112.5"/>
    <n v="778.69999999999993"/>
    <x v="24"/>
  </r>
  <r>
    <s v="Rural"/>
    <x v="1"/>
    <s v="April"/>
    <n v="1504.1000000000001"/>
    <n v="115.4"/>
    <n v="352"/>
    <n v="114.1"/>
    <n v="113.4"/>
    <n v="780.6"/>
    <x v="39"/>
  </r>
  <r>
    <s v="Urban"/>
    <x v="1"/>
    <s v="April"/>
    <n v="1504.0000000000002"/>
    <n v="117.6"/>
    <n v="344.5"/>
    <n v="113.9"/>
    <n v="110.9"/>
    <n v="779.8"/>
    <x v="40"/>
  </r>
  <r>
    <s v="Rural+Urban"/>
    <x v="1"/>
    <s v="April"/>
    <n v="1504.1"/>
    <n v="116"/>
    <n v="349"/>
    <n v="113.9"/>
    <n v="112.5"/>
    <n v="780.40000000000009"/>
    <x v="41"/>
  </r>
  <r>
    <s v="Rural"/>
    <x v="1"/>
    <s v="May"/>
    <n v="1513.8999999999999"/>
    <n v="116.3"/>
    <n v="354"/>
    <n v="114.1"/>
    <n v="113.4"/>
    <n v="782.3"/>
    <x v="42"/>
  </r>
  <r>
    <s v="Urban"/>
    <x v="1"/>
    <s v="May"/>
    <n v="1525.3000000000002"/>
    <n v="118.3"/>
    <n v="345.9"/>
    <n v="114.3"/>
    <n v="111.1"/>
    <n v="782"/>
    <x v="43"/>
  </r>
  <r>
    <s v="Rural+Urban"/>
    <x v="1"/>
    <s v="May"/>
    <n v="1518.5000000000005"/>
    <n v="116.8"/>
    <n v="350.79999999999995"/>
    <n v="114.3"/>
    <n v="112.5"/>
    <n v="782.3"/>
    <x v="44"/>
  </r>
  <r>
    <s v="Rural"/>
    <x v="1"/>
    <s v="June"/>
    <n v="1525.6999999999998"/>
    <n v="117.3"/>
    <n v="356.3"/>
    <n v="114.4"/>
    <n v="114.4"/>
    <n v="785.89999999999986"/>
    <x v="45"/>
  </r>
  <r>
    <s v="Urban"/>
    <x v="1"/>
    <s v="June"/>
    <n v="1547"/>
    <n v="119"/>
    <n v="347.3"/>
    <n v="113.9"/>
    <n v="111.2"/>
    <n v="785.00000000000011"/>
    <x v="46"/>
  </r>
  <r>
    <s v="Rural+Urban"/>
    <x v="1"/>
    <s v="June"/>
    <n v="1533.7000000000003"/>
    <n v="117.8"/>
    <n v="352.7"/>
    <n v="113.9"/>
    <n v="113.2"/>
    <n v="785.69999999999982"/>
    <x v="47"/>
  </r>
  <r>
    <s v="Rural"/>
    <x v="1"/>
    <s v="July"/>
    <n v="1563.2"/>
    <n v="118"/>
    <n v="359.3"/>
    <n v="115.2"/>
    <n v="115.3"/>
    <n v="791.19999999999993"/>
    <x v="48"/>
  </r>
  <r>
    <s v="Urban"/>
    <x v="1"/>
    <s v="July"/>
    <n v="1599.5"/>
    <n v="121"/>
    <n v="349"/>
    <n v="114.8"/>
    <n v="111.6"/>
    <n v="792.8"/>
    <x v="49"/>
  </r>
  <r>
    <s v="Rural+Urban"/>
    <x v="1"/>
    <s v="July"/>
    <n v="1576.3"/>
    <n v="118.8"/>
    <n v="355"/>
    <n v="114.8"/>
    <n v="113.9"/>
    <n v="792.4"/>
    <x v="50"/>
  </r>
  <r>
    <s v="Rural"/>
    <x v="1"/>
    <s v="August"/>
    <n v="1582.2999999999997"/>
    <n v="118.8"/>
    <n v="360.4"/>
    <n v="115.8"/>
    <n v="115.4"/>
    <n v="794.4"/>
    <x v="51"/>
  </r>
  <r>
    <s v="Urban"/>
    <x v="1"/>
    <s v="August"/>
    <n v="1617"/>
    <n v="123"/>
    <n v="350.6"/>
    <n v="115.5"/>
    <n v="111.8"/>
    <n v="796.5"/>
    <x v="52"/>
  </r>
  <r>
    <s v="Rural+Urban"/>
    <x v="1"/>
    <s v="August"/>
    <n v="1594.4999999999998"/>
    <n v="119.9"/>
    <n v="356.4"/>
    <n v="115.5"/>
    <n v="114"/>
    <n v="795.9"/>
    <x v="53"/>
  </r>
  <r>
    <s v="Rural"/>
    <x v="1"/>
    <s v="September"/>
    <n v="1583.2"/>
    <n v="119.5"/>
    <n v="362.2"/>
    <n v="116.4"/>
    <n v="115.8"/>
    <n v="796.00000000000011"/>
    <x v="54"/>
  </r>
  <r>
    <s v="Urban"/>
    <x v="1"/>
    <s v="September"/>
    <n v="1593.7000000000003"/>
    <n v="124.3"/>
    <n v="352.1"/>
    <n v="116.1"/>
    <n v="111.8"/>
    <n v="796"/>
    <x v="50"/>
  </r>
  <r>
    <s v="Rural+Urban"/>
    <x v="1"/>
    <s v="September"/>
    <n v="1586.0999999999997"/>
    <n v="120.8"/>
    <n v="358"/>
    <n v="116.1"/>
    <n v="114.3"/>
    <n v="796.7"/>
    <x v="55"/>
  </r>
  <r>
    <s v="Rural"/>
    <x v="1"/>
    <s v="October"/>
    <n v="1581.1999999999998"/>
    <n v="120"/>
    <n v="365.3"/>
    <n v="116.9"/>
    <n v="116.4"/>
    <n v="798.59999999999991"/>
    <x v="56"/>
  </r>
  <r>
    <s v="Urban"/>
    <x v="1"/>
    <s v="October"/>
    <n v="1587.5"/>
    <n v="124.3"/>
    <n v="353.4"/>
    <n v="116.7"/>
    <n v="112"/>
    <n v="797.00000000000011"/>
    <x v="57"/>
  </r>
  <r>
    <s v="Rural+Urban"/>
    <x v="1"/>
    <s v="October"/>
    <n v="1582.7"/>
    <n v="121.1"/>
    <n v="360.6"/>
    <n v="116.7"/>
    <n v="114.7"/>
    <n v="798.4"/>
    <x v="55"/>
  </r>
  <r>
    <s v="Rural"/>
    <x v="1"/>
    <s v="November"/>
    <n v="1582"/>
    <n v="120.8"/>
    <n v="366.70000000000005"/>
    <n v="116.8"/>
    <n v="117.3"/>
    <n v="799.4"/>
    <x v="58"/>
  </r>
  <r>
    <s v="Urban"/>
    <x v="1"/>
    <s v="November"/>
    <n v="1587.8"/>
    <n v="125.8"/>
    <n v="355.2"/>
    <n v="117.1"/>
    <n v="112.6"/>
    <n v="796.4"/>
    <x v="59"/>
  </r>
  <r>
    <s v="Rural+Urban"/>
    <x v="1"/>
    <s v="November"/>
    <n v="1583.2"/>
    <n v="122.1"/>
    <n v="362.1"/>
    <n v="117.1"/>
    <n v="115.5"/>
    <n v="798.49999999999989"/>
    <x v="55"/>
  </r>
  <r>
    <s v="Rural"/>
    <x v="1"/>
    <s v="December"/>
    <n v="1569.6"/>
    <n v="121.7"/>
    <n v="367.7"/>
    <n v="116.9"/>
    <n v="117.4"/>
    <n v="800.5"/>
    <x v="53"/>
  </r>
  <r>
    <s v="Urban"/>
    <x v="1"/>
    <s v="December"/>
    <n v="1577.1999999999998"/>
    <n v="126.4"/>
    <n v="356.5"/>
    <n v="116.5"/>
    <n v="113"/>
    <n v="797.6"/>
    <x v="60"/>
  </r>
  <r>
    <s v="Rural+Urban"/>
    <x v="1"/>
    <s v="December"/>
    <n v="1571.6999999999998"/>
    <n v="123"/>
    <n v="363.2"/>
    <n v="116.5"/>
    <n v="115.7"/>
    <n v="799.69999999999993"/>
    <x v="61"/>
  </r>
  <r>
    <s v="Rural"/>
    <x v="2"/>
    <s v="January"/>
    <n v="1568.1"/>
    <n v="122.7"/>
    <n v="370"/>
    <n v="117.7"/>
    <n v="118.4"/>
    <n v="803.40000000000009"/>
    <x v="53"/>
  </r>
  <r>
    <s v="Urban"/>
    <x v="2"/>
    <s v="January"/>
    <n v="1574.8999999999999"/>
    <n v="127.4"/>
    <n v="357.3"/>
    <n v="117.3"/>
    <n v="113.4"/>
    <n v="798.99999999999989"/>
    <x v="62"/>
  </r>
  <r>
    <s v="Rural+Urban"/>
    <x v="2"/>
    <s v="January"/>
    <n v="1569.3"/>
    <n v="124"/>
    <n v="364.9"/>
    <n v="117.3"/>
    <n v="116.5"/>
    <n v="801.7"/>
    <x v="48"/>
  </r>
  <r>
    <s v="Rural"/>
    <x v="2"/>
    <s v="February"/>
    <n v="1570.5999999999997"/>
    <n v="124.2"/>
    <n v="373.1"/>
    <n v="118.4"/>
    <n v="120"/>
    <n v="807.5"/>
    <x v="63"/>
  </r>
  <r>
    <s v="Urban"/>
    <x v="2"/>
    <s v="February"/>
    <n v="1571.1000000000001"/>
    <n v="128.1"/>
    <n v="358.4"/>
    <n v="118.1"/>
    <n v="114"/>
    <n v="798.80000000000007"/>
    <x v="64"/>
  </r>
  <r>
    <s v="Rural+Urban"/>
    <x v="2"/>
    <s v="February"/>
    <n v="1569.3999999999996"/>
    <n v="125.2"/>
    <n v="367.2"/>
    <n v="118.1"/>
    <n v="117.7"/>
    <n v="803.60000000000014"/>
    <x v="65"/>
  </r>
  <r>
    <s v="Rural"/>
    <x v="2"/>
    <s v="March"/>
    <n v="1571.5"/>
    <n v="124.7"/>
    <n v="374.4"/>
    <n v="118.9"/>
    <n v="120.6"/>
    <n v="811.19999999999993"/>
    <x v="58"/>
  </r>
  <r>
    <s v="Urban"/>
    <x v="2"/>
    <s v="March"/>
    <n v="1568.0000000000002"/>
    <n v="128.80000000000001"/>
    <n v="359.5"/>
    <n v="118.6"/>
    <n v="114.4"/>
    <n v="801.8"/>
    <x v="57"/>
  </r>
  <r>
    <s v="Rural+Urban"/>
    <x v="2"/>
    <s v="March"/>
    <n v="1569.1"/>
    <n v="125.8"/>
    <n v="368.4"/>
    <n v="118.6"/>
    <n v="118.3"/>
    <n v="807.00000000000011"/>
    <x v="66"/>
  </r>
  <r>
    <s v="Rural"/>
    <x v="2"/>
    <s v="April"/>
    <n v="1577.2"/>
    <n v="125.7"/>
    <n v="375.7"/>
    <n v="119.4"/>
    <n v="121.2"/>
    <n v="815.1"/>
    <x v="67"/>
  </r>
  <r>
    <s v="Urban"/>
    <x v="2"/>
    <s v="April"/>
    <n v="1576.1"/>
    <n v="130.1"/>
    <n v="360.6"/>
    <n v="119.2"/>
    <n v="114.7"/>
    <n v="804.7"/>
    <x v="65"/>
  </r>
  <r>
    <s v="Rural+Urban"/>
    <x v="2"/>
    <s v="April"/>
    <n v="1575.7"/>
    <n v="126.9"/>
    <n v="369.6"/>
    <n v="119.2"/>
    <n v="118.7"/>
    <n v="810.6"/>
    <x v="51"/>
  </r>
  <r>
    <s v="Rural"/>
    <x v="2"/>
    <s v="May"/>
    <n v="1587.7"/>
    <n v="126.7"/>
    <n v="378.2"/>
    <n v="119.3"/>
    <n v="121.9"/>
    <n v="820.59999999999991"/>
    <x v="68"/>
  </r>
  <r>
    <s v="Urban"/>
    <x v="2"/>
    <s v="May"/>
    <n v="1598.9"/>
    <n v="131.30000000000001"/>
    <n v="361.4"/>
    <n v="119.6"/>
    <n v="114.9"/>
    <n v="810.00000000000011"/>
    <x v="51"/>
  </r>
  <r>
    <s v="Rural+Urban"/>
    <x v="2"/>
    <s v="May"/>
    <n v="1590.4"/>
    <n v="127.9"/>
    <n v="371.4"/>
    <n v="119.6"/>
    <n v="119.2"/>
    <n v="816"/>
    <x v="69"/>
  </r>
  <r>
    <s v="Rural"/>
    <x v="2"/>
    <s v="June"/>
    <n v="1617.8999999999999"/>
    <n v="128.19999999999999"/>
    <n v="381.5"/>
    <n v="119.5"/>
    <n v="122.6"/>
    <n v="828.19999999999993"/>
    <x v="70"/>
  </r>
  <r>
    <s v="Urban"/>
    <x v="2"/>
    <s v="June"/>
    <n v="1636.6"/>
    <n v="132.1"/>
    <n v="363.1"/>
    <n v="119"/>
    <n v="115.1"/>
    <n v="814.8"/>
    <x v="71"/>
  </r>
  <r>
    <s v="Rural+Urban"/>
    <x v="2"/>
    <s v="June"/>
    <n v="1623.5"/>
    <n v="129.19999999999999"/>
    <n v="374.1"/>
    <n v="119"/>
    <n v="119.8"/>
    <n v="822.3"/>
    <x v="72"/>
  </r>
  <r>
    <s v="Rural"/>
    <x v="2"/>
    <s v="July"/>
    <n v="1625.3"/>
    <n v="129.4"/>
    <n v="382.6"/>
    <n v="120.4"/>
    <n v="123"/>
    <n v="829.6"/>
    <x v="73"/>
  </r>
  <r>
    <s v="Urban"/>
    <x v="2"/>
    <s v="July"/>
    <n v="1642.8999999999999"/>
    <n v="133.1"/>
    <n v="364.1"/>
    <n v="119.9"/>
    <n v="115.3"/>
    <n v="817"/>
    <x v="68"/>
  </r>
  <r>
    <s v="Rural+Urban"/>
    <x v="2"/>
    <s v="July"/>
    <n v="1630.6000000000001"/>
    <n v="130.4"/>
    <n v="375.1"/>
    <n v="119.9"/>
    <n v="120.1"/>
    <n v="824.1"/>
    <x v="74"/>
  </r>
  <r>
    <s v="Rural"/>
    <x v="2"/>
    <s v="August"/>
    <n v="1646.6"/>
    <n v="130.1"/>
    <n v="384.8"/>
    <n v="121.3"/>
    <n v="123.8"/>
    <n v="831.2"/>
    <x v="75"/>
  </r>
  <r>
    <s v="Urban"/>
    <x v="2"/>
    <s v="August"/>
    <n v="1658.8999999999999"/>
    <n v="134.19999999999999"/>
    <n v="364.8"/>
    <n v="120.9"/>
    <n v="115.3"/>
    <n v="818.1"/>
    <x v="76"/>
  </r>
  <r>
    <s v="Rural+Urban"/>
    <x v="2"/>
    <s v="August"/>
    <n v="1649.6"/>
    <n v="131.19999999999999"/>
    <n v="376.70000000000005"/>
    <n v="120.9"/>
    <n v="120.6"/>
    <n v="825.5"/>
    <x v="77"/>
  </r>
  <r>
    <s v="Rural"/>
    <x v="2"/>
    <s v="September"/>
    <n v="1657.6000000000001"/>
    <n v="131"/>
    <n v="387.1"/>
    <n v="122"/>
    <n v="123.7"/>
    <n v="836.3"/>
    <x v="78"/>
  </r>
  <r>
    <s v="Urban"/>
    <x v="2"/>
    <s v="September"/>
    <n v="1664.8"/>
    <n v="134.69999999999999"/>
    <n v="365.8"/>
    <n v="121.6"/>
    <n v="115.1"/>
    <n v="819.50000000000011"/>
    <x v="79"/>
  </r>
  <r>
    <s v="Rural+Urban"/>
    <x v="2"/>
    <s v="September"/>
    <n v="1658.3000000000002"/>
    <n v="132"/>
    <n v="378.5"/>
    <n v="121.6"/>
    <n v="120.4"/>
    <n v="828.6"/>
    <x v="80"/>
  </r>
  <r>
    <s v="Rural"/>
    <x v="2"/>
    <s v="October"/>
    <n v="1674.6"/>
    <n v="131.5"/>
    <n v="389"/>
    <n v="122.7"/>
    <n v="124.4"/>
    <n v="839.50000000000011"/>
    <x v="81"/>
  </r>
  <r>
    <s v="Urban"/>
    <x v="2"/>
    <s v="October"/>
    <n v="1692.8000000000002"/>
    <n v="135.30000000000001"/>
    <n v="366.79999999999995"/>
    <n v="122.4"/>
    <n v="114.9"/>
    <n v="821.9"/>
    <x v="82"/>
  </r>
  <r>
    <s v="Rural+Urban"/>
    <x v="2"/>
    <s v="October"/>
    <n v="1678.9999999999998"/>
    <n v="132.5"/>
    <n v="380.1"/>
    <n v="122.4"/>
    <n v="120.8"/>
    <n v="831.19999999999993"/>
    <x v="75"/>
  </r>
  <r>
    <s v="Rural"/>
    <x v="2"/>
    <s v="November"/>
    <n v="1686.3"/>
    <n v="132.19999999999999"/>
    <n v="391.79999999999995"/>
    <n v="122.7"/>
    <n v="125.6"/>
    <n v="842.7"/>
    <x v="83"/>
  </r>
  <r>
    <s v="Urban"/>
    <x v="2"/>
    <s v="November"/>
    <n v="1708.4999999999998"/>
    <n v="137.6"/>
    <n v="368.5"/>
    <n v="122.9"/>
    <n v="115.1"/>
    <n v="822.8"/>
    <x v="84"/>
  </r>
  <r>
    <s v="Rural+Urban"/>
    <x v="2"/>
    <s v="November"/>
    <n v="1692.1"/>
    <n v="133.6"/>
    <n v="382.4"/>
    <n v="122.9"/>
    <n v="121.6"/>
    <n v="833.19999999999993"/>
    <x v="85"/>
  </r>
  <r>
    <s v="Rural"/>
    <x v="2"/>
    <s v="December"/>
    <n v="1682.3000000000002"/>
    <n v="133.1"/>
    <n v="392.9"/>
    <n v="122.9"/>
    <n v="125.7"/>
    <n v="844.2"/>
    <x v="86"/>
  </r>
  <r>
    <s v="Urban"/>
    <x v="2"/>
    <s v="December"/>
    <n v="1698.8"/>
    <n v="138.19999999999999"/>
    <n v="369.4"/>
    <n v="122.4"/>
    <n v="116"/>
    <n v="823.50000000000011"/>
    <x v="87"/>
  </r>
  <r>
    <s v="Rural+Urban"/>
    <x v="2"/>
    <s v="December"/>
    <n v="1686.1000000000001"/>
    <n v="134.5"/>
    <n v="383.5"/>
    <n v="122.4"/>
    <n v="122"/>
    <n v="834.30000000000007"/>
    <x v="75"/>
  </r>
  <r>
    <s v="Rural"/>
    <x v="3"/>
    <s v="January"/>
    <n v="1690.1000000000001"/>
    <n v="133.6"/>
    <n v="394.70000000000005"/>
    <n v="123.9"/>
    <n v="126.2"/>
    <n v="846.5"/>
    <x v="88"/>
  </r>
  <r>
    <s v="Urban"/>
    <x v="3"/>
    <s v="January"/>
    <n v="1701.4"/>
    <n v="139.5"/>
    <n v="370.5"/>
    <n v="123.4"/>
    <n v="116.9"/>
    <n v="825.3"/>
    <x v="82"/>
  </r>
  <r>
    <s v="Rural+Urban"/>
    <x v="3"/>
    <s v="January"/>
    <n v="1691.7"/>
    <n v="135.19999999999999"/>
    <n v="384.9"/>
    <n v="123.4"/>
    <n v="122.7"/>
    <n v="836.4"/>
    <x v="89"/>
  </r>
  <r>
    <s v="Rural"/>
    <x v="3"/>
    <s v="February"/>
    <n v="1682.6"/>
    <n v="134.4"/>
    <n v="397.1"/>
    <n v="124.7"/>
    <n v="127.5"/>
    <n v="852.39999999999986"/>
    <x v="86"/>
  </r>
  <r>
    <s v="Urban"/>
    <x v="3"/>
    <s v="February"/>
    <n v="1676.1"/>
    <n v="140"/>
    <n v="371.6"/>
    <n v="124.4"/>
    <n v="116"/>
    <n v="828.90000000000009"/>
    <x v="90"/>
  </r>
  <r>
    <s v="Rural+Urban"/>
    <x v="3"/>
    <s v="February"/>
    <n v="1678.1"/>
    <n v="135.9"/>
    <n v="386.9"/>
    <n v="124.4"/>
    <n v="123.1"/>
    <n v="841.1"/>
    <x v="91"/>
  </r>
  <r>
    <s v="Rural"/>
    <x v="3"/>
    <s v="March"/>
    <n v="1682.7000000000003"/>
    <n v="135"/>
    <n v="398.40000000000003"/>
    <n v="125.3"/>
    <n v="127"/>
    <n v="854.6"/>
    <x v="92"/>
  </r>
  <r>
    <s v="Urban"/>
    <x v="3"/>
    <s v="March"/>
    <n v="1667.6000000000001"/>
    <n v="140.6"/>
    <n v="372.2"/>
    <n v="124.9"/>
    <n v="114.8"/>
    <n v="830.4"/>
    <x v="90"/>
  </r>
  <r>
    <s v="Rural+Urban"/>
    <x v="3"/>
    <s v="March"/>
    <n v="1675.2"/>
    <n v="136.5"/>
    <n v="387.9"/>
    <n v="124.9"/>
    <n v="122.4"/>
    <n v="842.99999999999989"/>
    <x v="91"/>
  </r>
  <r>
    <s v="Rural"/>
    <x v="3"/>
    <s v="April"/>
    <n v="1701.6000000000004"/>
    <n v="135.5"/>
    <n v="400"/>
    <n v="125.8"/>
    <n v="127"/>
    <n v="858.80000000000007"/>
    <x v="93"/>
  </r>
  <r>
    <s v="Urban"/>
    <x v="3"/>
    <s v="April"/>
    <n v="1706.3"/>
    <n v="141.5"/>
    <n v="373.1"/>
    <n v="125.6"/>
    <n v="114.6"/>
    <n v="835.7"/>
    <x v="94"/>
  </r>
  <r>
    <s v="Rural+Urban"/>
    <x v="3"/>
    <s v="April"/>
    <n v="1701.3"/>
    <n v="137.1"/>
    <n v="389.20000000000005"/>
    <n v="125.6"/>
    <n v="122.3"/>
    <n v="847.7"/>
    <x v="95"/>
  </r>
  <r>
    <s v="Rural"/>
    <x v="3"/>
    <s v="May"/>
    <n v="1723.6999999999998"/>
    <n v="136"/>
    <n v="401.3"/>
    <n v="125.8"/>
    <n v="127.4"/>
    <n v="864.30000000000007"/>
    <x v="96"/>
  </r>
  <r>
    <s v="Urban"/>
    <x v="3"/>
    <s v="May"/>
    <n v="1746.7999999999997"/>
    <n v="142.19999999999999"/>
    <n v="374.1"/>
    <n v="126"/>
    <n v="115"/>
    <n v="839.2"/>
    <x v="85"/>
  </r>
  <r>
    <s v="Rural+Urban"/>
    <x v="3"/>
    <s v="May"/>
    <n v="1730.4"/>
    <n v="137.69999999999999"/>
    <n v="390.4"/>
    <n v="126"/>
    <n v="122.7"/>
    <n v="852.40000000000009"/>
    <x v="97"/>
  </r>
  <r>
    <s v="Rural"/>
    <x v="3"/>
    <s v="June"/>
    <n v="1748.6"/>
    <n v="137.19999999999999"/>
    <n v="403.5"/>
    <n v="126"/>
    <n v="128"/>
    <n v="869.29999999999984"/>
    <x v="98"/>
  </r>
  <r>
    <s v="Urban"/>
    <x v="3"/>
    <s v="June"/>
    <n v="1787.0000000000002"/>
    <n v="142.69999999999999"/>
    <n v="375.29999999999995"/>
    <n v="125.5"/>
    <n v="115.5"/>
    <n v="843.69999999999993"/>
    <x v="88"/>
  </r>
  <r>
    <s v="Rural+Urban"/>
    <x v="3"/>
    <s v="June"/>
    <n v="1760.6"/>
    <n v="138.69999999999999"/>
    <n v="392.1"/>
    <n v="125.5"/>
    <n v="123.3"/>
    <n v="856.99999999999989"/>
    <x v="99"/>
  </r>
  <r>
    <s v="Rural"/>
    <x v="3"/>
    <s v="July"/>
    <n v="1770.2999999999997"/>
    <n v="138"/>
    <n v="405.9"/>
    <n v="126.9"/>
    <n v="128.19999999999999"/>
    <n v="873.8"/>
    <x v="100"/>
  </r>
  <r>
    <s v="Urban"/>
    <x v="3"/>
    <s v="July"/>
    <n v="1811.5000000000002"/>
    <n v="142.9"/>
    <n v="375.9"/>
    <n v="126.4"/>
    <n v="115.5"/>
    <n v="847.1"/>
    <x v="93"/>
  </r>
  <r>
    <s v="Rural+Urban"/>
    <x v="3"/>
    <s v="July"/>
    <n v="1783.5"/>
    <n v="139.30000000000001"/>
    <n v="393.8"/>
    <n v="126.4"/>
    <n v="123.4"/>
    <n v="860.9"/>
    <x v="101"/>
  </r>
  <r>
    <s v="Rural"/>
    <x v="3"/>
    <s v="August"/>
    <n v="1777.4999999999998"/>
    <n v="138.9"/>
    <n v="407.9"/>
    <n v="127.6"/>
    <n v="129.1"/>
    <n v="877.2"/>
    <x v="102"/>
  </r>
  <r>
    <s v="Urban"/>
    <x v="3"/>
    <s v="August"/>
    <n v="1783.9999999999995"/>
    <n v="143.6"/>
    <n v="377"/>
    <n v="127.3"/>
    <n v="114.7"/>
    <n v="848.4"/>
    <x v="103"/>
  </r>
  <r>
    <s v="Rural+Urban"/>
    <x v="3"/>
    <s v="August"/>
    <n v="1777.9"/>
    <n v="140.19999999999999"/>
    <n v="395.49999999999994"/>
    <n v="127.3"/>
    <n v="123.6"/>
    <n v="863.3"/>
    <x v="101"/>
  </r>
  <r>
    <s v="Rural"/>
    <x v="3"/>
    <s v="September"/>
    <n v="1770.7"/>
    <n v="139.9"/>
    <n v="409.8"/>
    <n v="128.30000000000001"/>
    <n v="129.69999999999999"/>
    <n v="881.49999999999989"/>
    <x v="104"/>
  </r>
  <r>
    <s v="Urban"/>
    <x v="3"/>
    <s v="September"/>
    <n v="1756.3999999999996"/>
    <n v="143.9"/>
    <n v="378"/>
    <n v="127.9"/>
    <n v="114.8"/>
    <n v="851.6"/>
    <x v="92"/>
  </r>
  <r>
    <s v="Rural+Urban"/>
    <x v="3"/>
    <s v="September"/>
    <n v="1763.6999999999998"/>
    <n v="141"/>
    <n v="397"/>
    <n v="127.9"/>
    <n v="124.1"/>
    <n v="867.19999999999993"/>
    <x v="105"/>
  </r>
  <r>
    <s v="Rural"/>
    <x v="3"/>
    <s v="October"/>
    <n v="1771.8000000000002"/>
    <n v="140.9"/>
    <n v="412.7"/>
    <n v="128.9"/>
    <n v="129.80000000000001"/>
    <n v="886.5"/>
    <x v="106"/>
  </r>
  <r>
    <s v="Urban"/>
    <x v="3"/>
    <s v="October"/>
    <n v="1762.8999999999999"/>
    <n v="144.30000000000001"/>
    <n v="379"/>
    <n v="128.69999999999999"/>
    <n v="115.2"/>
    <n v="853.9"/>
    <x v="97"/>
  </r>
  <r>
    <s v="Rural+Urban"/>
    <x v="3"/>
    <s v="October"/>
    <n v="1766.7999999999995"/>
    <n v="141.80000000000001"/>
    <n v="399.1"/>
    <n v="128.69999999999999"/>
    <n v="124.3"/>
    <n v="871.1"/>
    <x v="107"/>
  </r>
  <r>
    <s v="Rural"/>
    <x v="3"/>
    <s v="November"/>
    <n v="1764.6"/>
    <n v="141.19999999999999"/>
    <n v="413.59999999999997"/>
    <n v="128.80000000000001"/>
    <n v="130.30000000000001"/>
    <n v="889.6"/>
    <x v="108"/>
  </r>
  <r>
    <s v="Urban"/>
    <x v="3"/>
    <s v="November"/>
    <n v="1755.2"/>
    <n v="144.30000000000001"/>
    <n v="380.2"/>
    <n v="129.1"/>
    <n v="116.2"/>
    <n v="856.59999999999991"/>
    <x v="109"/>
  </r>
  <r>
    <s v="Rural+Urban"/>
    <x v="3"/>
    <s v="November"/>
    <n v="1759.8"/>
    <n v="142"/>
    <n v="400.1"/>
    <n v="129.1"/>
    <n v="125"/>
    <n v="873.9"/>
    <x v="110"/>
  </r>
  <r>
    <s v="Rural"/>
    <x v="3"/>
    <s v="December"/>
    <n v="1749.1"/>
    <n v="142.4"/>
    <n v="415.3"/>
    <n v="129.1"/>
    <n v="132"/>
    <n v="890.9"/>
    <x v="111"/>
  </r>
  <r>
    <s v="Urban"/>
    <x v="3"/>
    <s v="December"/>
    <n v="1729.8"/>
    <n v="145"/>
    <n v="381"/>
    <n v="128.5"/>
    <n v="117.8"/>
    <n v="856.4"/>
    <x v="112"/>
  </r>
  <r>
    <s v="Rural+Urban"/>
    <x v="3"/>
    <s v="December"/>
    <n v="1740.7"/>
    <n v="143.1"/>
    <n v="401.5"/>
    <n v="128.5"/>
    <n v="126.6"/>
    <n v="874.4"/>
    <x v="113"/>
  </r>
  <r>
    <s v="Rural"/>
    <x v="4"/>
    <s v="January"/>
    <n v="1737.3000000000002"/>
    <n v="143.1"/>
    <n v="416.5"/>
    <n v="130.1"/>
    <n v="132.1"/>
    <n v="892.7"/>
    <x v="114"/>
  </r>
  <r>
    <s v="Urban"/>
    <x v="4"/>
    <s v="January"/>
    <n v="1713.2"/>
    <n v="145.6"/>
    <n v="381.5"/>
    <n v="129.6"/>
    <n v="118"/>
    <n v="860.3"/>
    <x v="115"/>
  </r>
  <r>
    <s v="Rural+Urban"/>
    <x v="4"/>
    <s v="January"/>
    <n v="1727.2999999999995"/>
    <n v="143.80000000000001"/>
    <n v="402.4"/>
    <n v="129.6"/>
    <n v="126.8"/>
    <n v="877.1"/>
    <x v="96"/>
  </r>
  <r>
    <s v="Rural"/>
    <x v="4"/>
    <s v="February"/>
    <n v="1734.5000000000002"/>
    <n v="143.69999999999999"/>
    <n v="416.90000000000003"/>
    <n v="130.80000000000001"/>
    <n v="133.19999999999999"/>
    <n v="896"/>
    <x v="116"/>
  </r>
  <r>
    <s v="Urban"/>
    <x v="4"/>
    <s v="February"/>
    <n v="1705.3000000000002"/>
    <n v="146.30000000000001"/>
    <n v="382.3"/>
    <n v="130.5"/>
    <n v="119.2"/>
    <n v="862.4"/>
    <x v="117"/>
  </r>
  <r>
    <s v="Rural+Urban"/>
    <x v="4"/>
    <s v="February"/>
    <n v="1722.3000000000002"/>
    <n v="144.4"/>
    <n v="403"/>
    <n v="130.5"/>
    <n v="127.9"/>
    <n v="879.9"/>
    <x v="118"/>
  </r>
  <r>
    <s v="Rural"/>
    <x v="4"/>
    <s v="March"/>
    <n v="1728.5000000000002"/>
    <n v="144.19999999999999"/>
    <n v="418.59999999999997"/>
    <n v="131.4"/>
    <n v="134.19999999999999"/>
    <n v="898.69999999999993"/>
    <x v="111"/>
  </r>
  <r>
    <s v="Urban"/>
    <x v="4"/>
    <s v="March"/>
    <n v="1705.6999999999998"/>
    <n v="147.5"/>
    <n v="383.20000000000005"/>
    <n v="131.1"/>
    <n v="120.8"/>
    <n v="863.80000000000007"/>
    <x v="119"/>
  </r>
  <r>
    <s v="Rural+Urban"/>
    <x v="4"/>
    <s v="March"/>
    <n v="1718.9"/>
    <n v="145.1"/>
    <n v="404.29999999999995"/>
    <n v="131.1"/>
    <n v="129.1"/>
    <n v="882"/>
    <x v="105"/>
  </r>
  <r>
    <s v="Rural"/>
    <x v="4"/>
    <s v="April"/>
    <n v="1726.3"/>
    <n v="144.4"/>
    <n v="420.80000000000007"/>
    <n v="131.9"/>
    <n v="135"/>
    <n v="899.7"/>
    <x v="120"/>
  </r>
  <r>
    <s v="Urban"/>
    <x v="4"/>
    <s v="April"/>
    <n v="1708.1"/>
    <n v="148"/>
    <n v="384.2"/>
    <n v="131.69999999999999"/>
    <n v="121.4"/>
    <n v="864.6"/>
    <x v="121"/>
  </r>
  <r>
    <s v="Rural+Urban"/>
    <x v="4"/>
    <s v="April"/>
    <n v="1718.4"/>
    <n v="145.4"/>
    <n v="406.1"/>
    <n v="131.69999999999999"/>
    <n v="129.80000000000001"/>
    <n v="882.90000000000009"/>
    <x v="101"/>
  </r>
  <r>
    <s v="Rural"/>
    <x v="4"/>
    <s v="May"/>
    <n v="1727.4999999999995"/>
    <n v="145.5"/>
    <n v="421.6"/>
    <n v="131.80000000000001"/>
    <n v="135"/>
    <n v="903.00000000000011"/>
    <x v="122"/>
  </r>
  <r>
    <s v="Urban"/>
    <x v="4"/>
    <s v="May"/>
    <n v="1709.6"/>
    <n v="148.30000000000001"/>
    <n v="384.9"/>
    <n v="132.1"/>
    <n v="120.1"/>
    <n v="865.6"/>
    <x v="123"/>
  </r>
  <r>
    <s v="Rural+Urban"/>
    <x v="4"/>
    <s v="May"/>
    <n v="1719.6000000000001"/>
    <n v="146.19999999999999"/>
    <n v="406.8"/>
    <n v="132.1"/>
    <n v="129.4"/>
    <n v="884.8"/>
    <x v="107"/>
  </r>
  <r>
    <s v="Rural"/>
    <x v="4"/>
    <s v="June"/>
    <n v="1738.8000000000002"/>
    <n v="145.80000000000001"/>
    <n v="423.09999999999997"/>
    <n v="132"/>
    <n v="134.80000000000001"/>
    <n v="904.80000000000007"/>
    <x v="124"/>
  </r>
  <r>
    <s v="Urban"/>
    <x v="4"/>
    <s v="June"/>
    <n v="1731.0000000000002"/>
    <n v="148.6"/>
    <n v="384.9"/>
    <n v="131.4"/>
    <n v="119"/>
    <n v="866.90000000000009"/>
    <x v="125"/>
  </r>
  <r>
    <s v="Rural+Urban"/>
    <x v="4"/>
    <s v="June"/>
    <n v="1734.7"/>
    <n v="146.5"/>
    <n v="407.7"/>
    <n v="131.4"/>
    <n v="128.80000000000001"/>
    <n v="886.4"/>
    <x v="126"/>
  </r>
  <r>
    <s v="Rural"/>
    <x v="4"/>
    <s v="July"/>
    <n v="1772.9"/>
    <n v="147.4"/>
    <n v="425.9"/>
    <n v="133.5"/>
    <n v="135.30000000000001"/>
    <n v="909.5"/>
    <x v="127"/>
  </r>
  <r>
    <s v="Urban"/>
    <x v="4"/>
    <s v="July"/>
    <n v="1768.1"/>
    <n v="150.5"/>
    <n v="385.70000000000005"/>
    <n v="132.6"/>
    <n v="119.7"/>
    <n v="869.8"/>
    <x v="128"/>
  </r>
  <r>
    <s v="Rural+Urban"/>
    <x v="4"/>
    <s v="July"/>
    <n v="1769.3999999999999"/>
    <n v="148.19999999999999"/>
    <n v="409.7"/>
    <n v="132.6"/>
    <n v="129.4"/>
    <n v="890.2"/>
    <x v="129"/>
  </r>
  <r>
    <s v="Rural"/>
    <x v="4"/>
    <s v="August"/>
    <n v="1792.4999999999998"/>
    <n v="149"/>
    <n v="429"/>
    <n v="135.1"/>
    <n v="136.4"/>
    <n v="917.39999999999986"/>
    <x v="130"/>
  </r>
  <r>
    <s v="Urban"/>
    <x v="4"/>
    <s v="August"/>
    <n v="1772.9999999999998"/>
    <n v="152.1"/>
    <n v="388.4"/>
    <n v="134.4"/>
    <n v="118.9"/>
    <n v="874.89999999999986"/>
    <x v="131"/>
  </r>
  <r>
    <s v="Rural+Urban"/>
    <x v="4"/>
    <s v="August"/>
    <n v="1783.8"/>
    <n v="149.80000000000001"/>
    <n v="412.6"/>
    <n v="134.4"/>
    <n v="129.80000000000001"/>
    <n v="896.5"/>
    <x v="132"/>
  </r>
  <r>
    <s v="Rural"/>
    <x v="4"/>
    <s v="September"/>
    <n v="1784.3"/>
    <n v="149.80000000000001"/>
    <n v="430.99999999999994"/>
    <n v="136.5"/>
    <n v="137.4"/>
    <n v="921.40000000000009"/>
    <x v="133"/>
  </r>
  <r>
    <s v="Urban"/>
    <x v="4"/>
    <s v="September"/>
    <n v="1749.7"/>
    <n v="153.6"/>
    <n v="389.9"/>
    <n v="135.69999999999999"/>
    <n v="120.6"/>
    <n v="879.19999999999993"/>
    <x v="114"/>
  </r>
  <r>
    <s v="Rural+Urban"/>
    <x v="4"/>
    <s v="September"/>
    <n v="1769.9999999999998"/>
    <n v="150.80000000000001"/>
    <n v="414.5"/>
    <n v="135.69999999999999"/>
    <n v="131"/>
    <n v="900.7"/>
    <x v="134"/>
  </r>
  <r>
    <s v="Rural"/>
    <x v="4"/>
    <s v="October"/>
    <n v="1790.8999999999999"/>
    <n v="150.5"/>
    <n v="433.99999999999994"/>
    <n v="138"/>
    <n v="138.1"/>
    <n v="924.8"/>
    <x v="135"/>
  </r>
  <r>
    <s v="Urban"/>
    <x v="4"/>
    <s v="October"/>
    <n v="1765.6999999999998"/>
    <n v="154.6"/>
    <n v="391.5"/>
    <n v="137.30000000000001"/>
    <n v="122.6"/>
    <n v="880.1"/>
    <x v="102"/>
  </r>
  <r>
    <s v="Rural+Urban"/>
    <x v="4"/>
    <s v="October"/>
    <n v="1779.6999999999998"/>
    <n v="151.6"/>
    <n v="416.90000000000003"/>
    <n v="137.30000000000001"/>
    <n v="132.19999999999999"/>
    <n v="902.90000000000009"/>
    <x v="136"/>
  </r>
  <r>
    <s v="Rural"/>
    <x v="4"/>
    <s v="November"/>
    <n v="1817.7000000000003"/>
    <n v="152.1"/>
    <n v="437"/>
    <n v="138.9"/>
    <n v="141.1"/>
    <n v="931.8"/>
    <x v="137"/>
  </r>
  <r>
    <s v="Urban"/>
    <x v="4"/>
    <s v="November"/>
    <n v="1796.7"/>
    <n v="156.19999999999999"/>
    <n v="393.9"/>
    <n v="138.6"/>
    <n v="125.7"/>
    <n v="883"/>
    <x v="138"/>
  </r>
  <r>
    <s v="Rural+Urban"/>
    <x v="4"/>
    <s v="November"/>
    <n v="1808.2"/>
    <n v="153.19999999999999"/>
    <n v="419.6"/>
    <n v="138.6"/>
    <n v="135.30000000000001"/>
    <n v="908"/>
    <x v="133"/>
  </r>
  <r>
    <s v="Rural"/>
    <x v="4"/>
    <s v="December"/>
    <n v="1813.6000000000001"/>
    <n v="153.19999999999999"/>
    <n v="437.09999999999997"/>
    <n v="139.80000000000001"/>
    <n v="142.6"/>
    <n v="931.8"/>
    <x v="139"/>
  </r>
  <r>
    <s v="Urban"/>
    <x v="4"/>
    <s v="December"/>
    <n v="1767.5"/>
    <n v="157"/>
    <n v="395.2"/>
    <n v="139.1"/>
    <n v="126.8"/>
    <n v="884.8"/>
    <x v="140"/>
  </r>
  <r>
    <s v="Rural+Urban"/>
    <x v="4"/>
    <s v="December"/>
    <n v="1794.9999999999998"/>
    <n v="154.19999999999999"/>
    <n v="420.2"/>
    <n v="139.1"/>
    <n v="136.6"/>
    <n v="908.9"/>
    <x v="141"/>
  </r>
  <r>
    <s v="Rural"/>
    <x v="5"/>
    <s v="January"/>
    <n v="1800.7"/>
    <n v="153.6"/>
    <n v="438.1"/>
    <n v="140.9"/>
    <n v="142.30000000000001"/>
    <n v="935.3"/>
    <x v="142"/>
  </r>
  <r>
    <s v="Urban"/>
    <x v="5"/>
    <s v="January"/>
    <n v="1748.3000000000002"/>
    <n v="157.69999999999999"/>
    <n v="396.29999999999995"/>
    <n v="140.4"/>
    <n v="127.3"/>
    <n v="889.4"/>
    <x v="140"/>
  </r>
  <r>
    <s v="Rural+Urban"/>
    <x v="5"/>
    <s v="January"/>
    <n v="1779.9"/>
    <n v="154.69999999999999"/>
    <n v="421.3"/>
    <n v="140.4"/>
    <n v="136.6"/>
    <n v="912.6"/>
    <x v="143"/>
  </r>
  <r>
    <s v="Rural"/>
    <x v="5"/>
    <s v="February"/>
    <n v="1781.5"/>
    <n v="153.30000000000001"/>
    <n v="438.90000000000003"/>
    <n v="141.69999999999999"/>
    <n v="142.4"/>
    <n v="936.5"/>
    <x v="144"/>
  </r>
  <r>
    <s v="Urban"/>
    <x v="5"/>
    <s v="February"/>
    <n v="1727.9"/>
    <n v="159.30000000000001"/>
    <n v="397.09999999999997"/>
    <n v="141.30000000000001"/>
    <n v="127.3"/>
    <n v="893.5"/>
    <x v="145"/>
  </r>
  <r>
    <s v="Rural+Urban"/>
    <x v="5"/>
    <s v="February"/>
    <n v="1760.3999999999996"/>
    <n v="154.9"/>
    <n v="422"/>
    <n v="141.30000000000001"/>
    <n v="136.69999999999999"/>
    <n v="915.40000000000009"/>
    <x v="146"/>
  </r>
  <r>
    <s v="Rural"/>
    <x v="5"/>
    <s v="March"/>
    <n v="1781.9999999999998"/>
    <n v="155.1"/>
    <n v="440.5"/>
    <n v="142.5"/>
    <n v="142.6"/>
    <n v="941.59999999999991"/>
    <x v="147"/>
  </r>
  <r>
    <s v="Urban"/>
    <x v="5"/>
    <s v="March"/>
    <n v="1715.5"/>
    <n v="159.69999999999999"/>
    <n v="398.59999999999997"/>
    <n v="142"/>
    <n v="126.4"/>
    <n v="897.50000000000011"/>
    <x v="145"/>
  </r>
  <r>
    <s v="Rural+Urban"/>
    <x v="5"/>
    <s v="March"/>
    <n v="1756"/>
    <n v="156.30000000000001"/>
    <n v="423.6"/>
    <n v="142"/>
    <n v="136.5"/>
    <n v="919.59999999999991"/>
    <x v="148"/>
  </r>
  <r>
    <s v="Rural"/>
    <x v="5"/>
    <s v="April"/>
    <n v="1780"/>
    <n v="156.1"/>
    <n v="442.5"/>
    <n v="143.1"/>
    <n v="143.80000000000001"/>
    <n v="948.09999999999991"/>
    <x v="149"/>
  </r>
  <r>
    <s v="Urban"/>
    <x v="5"/>
    <s v="April"/>
    <n v="1720.0000000000002"/>
    <n v="159.19999999999999"/>
    <n v="401.40000000000003"/>
    <n v="142.9"/>
    <n v="124.6"/>
    <n v="905.09999999999991"/>
    <x v="138"/>
  </r>
  <r>
    <s v="Rural+Urban"/>
    <x v="5"/>
    <s v="April"/>
    <n v="1757.1000000000001"/>
    <n v="156.9"/>
    <n v="426"/>
    <n v="142.9"/>
    <n v="136.5"/>
    <n v="926.89999999999986"/>
    <x v="150"/>
  </r>
  <r>
    <s v="Rural"/>
    <x v="5"/>
    <s v="May"/>
    <n v="1782.4"/>
    <n v="157"/>
    <n v="444.7"/>
    <n v="142.9"/>
    <n v="144.30000000000001"/>
    <n v="954.1"/>
    <x v="139"/>
  </r>
  <r>
    <s v="Urban"/>
    <x v="5"/>
    <s v="May"/>
    <n v="1722.8999999999999"/>
    <n v="160.30000000000001"/>
    <n v="403.5"/>
    <n v="143.19999999999999"/>
    <n v="124.7"/>
    <n v="909.69999999999993"/>
    <x v="132"/>
  </r>
  <r>
    <s v="Rural+Urban"/>
    <x v="5"/>
    <s v="May"/>
    <n v="1759.8"/>
    <n v="157.9"/>
    <n v="428.09999999999997"/>
    <n v="143.19999999999999"/>
    <n v="136.9"/>
    <n v="932.19999999999993"/>
    <x v="130"/>
  </r>
  <r>
    <s v="Rural"/>
    <x v="5"/>
    <s v="June"/>
    <n v="1790.2999999999997"/>
    <n v="157.30000000000001"/>
    <n v="446.3"/>
    <n v="143.1"/>
    <n v="145.1"/>
    <n v="957.9"/>
    <x v="151"/>
  </r>
  <r>
    <s v="Urban"/>
    <x v="5"/>
    <s v="June"/>
    <n v="1747.3000000000002"/>
    <n v="161"/>
    <n v="405"/>
    <n v="142.5"/>
    <n v="126.5"/>
    <n v="913.5"/>
    <x v="127"/>
  </r>
  <r>
    <s v="Rural+Urban"/>
    <x v="5"/>
    <s v="June"/>
    <n v="1774.1000000000001"/>
    <n v="158.30000000000001"/>
    <n v="429.7"/>
    <n v="142.5"/>
    <n v="138.1"/>
    <n v="935.90000000000009"/>
    <x v="144"/>
  </r>
  <r>
    <s v="Rural"/>
    <x v="5"/>
    <s v="July"/>
    <n v="1810.5000000000002"/>
    <n v="156.1"/>
    <n v="447.20000000000005"/>
    <n v="144.1"/>
    <n v="146.80000000000001"/>
    <n v="961.19999999999993"/>
    <x v="152"/>
  </r>
  <r>
    <s v="Urban"/>
    <x v="5"/>
    <s v="July"/>
    <n v="1771.1"/>
    <n v="161.4"/>
    <n v="406.4"/>
    <n v="143.6"/>
    <n v="128.1"/>
    <n v="918.7"/>
    <x v="153"/>
  </r>
  <r>
    <s v="Rural+Urban"/>
    <x v="5"/>
    <s v="July"/>
    <n v="1795.3"/>
    <n v="157.5"/>
    <n v="430.80000000000007"/>
    <n v="143.6"/>
    <n v="139.69999999999999"/>
    <n v="940.3"/>
    <x v="139"/>
  </r>
  <r>
    <s v="Rural"/>
    <x v="5"/>
    <s v="August"/>
    <n v="1818.8"/>
    <n v="156.4"/>
    <n v="449.2"/>
    <n v="145"/>
    <n v="147.69999999999999"/>
    <n v="964.9"/>
    <x v="154"/>
  </r>
  <r>
    <s v="Urban"/>
    <x v="5"/>
    <s v="August"/>
    <n v="1767.6"/>
    <n v="162.1"/>
    <n v="407.3"/>
    <n v="144.6"/>
    <n v="129.80000000000001"/>
    <n v="924.39999999999986"/>
    <x v="155"/>
  </r>
  <r>
    <s v="Rural+Urban"/>
    <x v="5"/>
    <s v="August"/>
    <n v="1798.7000000000003"/>
    <n v="157.9"/>
    <n v="432.20000000000005"/>
    <n v="144.6"/>
    <n v="140.9"/>
    <n v="945"/>
    <x v="156"/>
  </r>
  <r>
    <s v="Rural"/>
    <x v="5"/>
    <s v="September"/>
    <n v="1799.8000000000002"/>
    <n v="157.69999999999999"/>
    <n v="449.5"/>
    <n v="146"/>
    <n v="149"/>
    <n v="970.9"/>
    <x v="157"/>
  </r>
  <r>
    <s v="Urban"/>
    <x v="5"/>
    <s v="September"/>
    <n v="1748.4"/>
    <n v="163.30000000000001"/>
    <n v="409.20000000000005"/>
    <n v="145.30000000000001"/>
    <n v="131.19999999999999"/>
    <n v="929.69999999999993"/>
    <x v="158"/>
  </r>
  <r>
    <s v="Rural+Urban"/>
    <x v="5"/>
    <s v="September"/>
    <n v="1779.5"/>
    <n v="159.19999999999999"/>
    <n v="433.29999999999995"/>
    <n v="145.30000000000001"/>
    <n v="142.30000000000001"/>
    <n v="950.39999999999986"/>
    <x v="159"/>
  </r>
  <r>
    <s v="Rural"/>
    <x v="5"/>
    <s v="October"/>
    <n v="1782.2"/>
    <n v="159.6"/>
    <n v="445"/>
    <n v="146.80000000000001"/>
    <n v="149.69999999999999"/>
    <n v="985.40000000000009"/>
    <x v="160"/>
  </r>
  <r>
    <s v="Urban"/>
    <x v="5"/>
    <s v="October"/>
    <n v="1754.1"/>
    <n v="164"/>
    <n v="411"/>
    <n v="146.30000000000001"/>
    <n v="133.4"/>
    <n v="933.69999999999993"/>
    <x v="161"/>
  </r>
  <r>
    <s v="Rural+Urban"/>
    <x v="5"/>
    <s v="October"/>
    <n v="1776.2"/>
    <n v="162.6"/>
    <n v="434"/>
    <n v="146.9"/>
    <n v="145.30000000000001"/>
    <n v="962.39999999999986"/>
    <x v="162"/>
  </r>
  <r>
    <s v="Rural"/>
    <x v="5"/>
    <s v="November"/>
    <n v="1787.4999999999995"/>
    <n v="161.9"/>
    <n v="448"/>
    <n v="146.69999999999999"/>
    <n v="150.30000000000001"/>
    <n v="990.2"/>
    <x v="163"/>
  </r>
  <r>
    <s v="Urban"/>
    <x v="5"/>
    <s v="November"/>
    <n v="1757.4999999999998"/>
    <n v="164.4"/>
    <n v="413.1"/>
    <n v="146.9"/>
    <n v="136.69999999999999"/>
    <n v="933.90000000000009"/>
    <x v="164"/>
  </r>
  <r>
    <s v="Rural+Urban"/>
    <x v="5"/>
    <s v="November"/>
    <n v="1775.7000000000003"/>
    <n v="162.6"/>
    <n v="433.8"/>
    <n v="146.9"/>
    <n v="145.1"/>
    <n v="962.39999999999986"/>
    <x v="162"/>
  </r>
  <r>
    <s v="Rural"/>
    <x v="5"/>
    <s v="December"/>
    <n v="1773.1000000000001"/>
    <n v="162.4"/>
    <n v="448.3"/>
    <n v="147.1"/>
    <n v="149"/>
    <n v="1001.1999999999999"/>
    <x v="165"/>
  </r>
  <r>
    <s v="Urban"/>
    <x v="5"/>
    <s v="December"/>
    <n v="1746.6"/>
    <n v="164.6"/>
    <n v="413.8"/>
    <n v="146.5"/>
    <n v="132.4"/>
    <n v="933"/>
    <x v="155"/>
  </r>
  <r>
    <s v="Rural+Urban"/>
    <x v="5"/>
    <s v="December"/>
    <n v="1762.7999999999997"/>
    <n v="163"/>
    <n v="434.3"/>
    <n v="146.5"/>
    <n v="142.69999999999999"/>
    <n v="967.59999999999991"/>
    <x v="166"/>
  </r>
  <r>
    <s v="Rural"/>
    <x v="6"/>
    <s v="January"/>
    <n v="1759.6000000000001"/>
    <n v="162.69999999999999"/>
    <n v="445.6"/>
    <n v="148.1"/>
    <n v="146.19999999999999"/>
    <n v="1001.5999999999999"/>
    <x v="167"/>
  </r>
  <r>
    <s v="Urban"/>
    <x v="6"/>
    <s v="January"/>
    <n v="1744.3000000000002"/>
    <n v="164.7"/>
    <n v="414.5"/>
    <n v="147.69999999999999"/>
    <n v="128.6"/>
    <n v="934.7"/>
    <x v="155"/>
  </r>
  <r>
    <s v="Rural+Urban"/>
    <x v="6"/>
    <s v="January"/>
    <n v="1753.3999999999999"/>
    <n v="163.19999999999999"/>
    <n v="433"/>
    <n v="147.69999999999999"/>
    <n v="139.5"/>
    <n v="968.6"/>
    <x v="168"/>
  </r>
  <r>
    <s v="Rural"/>
    <x v="6"/>
    <s v="February"/>
    <n v="1759.8000000000002"/>
    <n v="162.80000000000001"/>
    <n v="446.5"/>
    <n v="148.80000000000001"/>
    <n v="145.30000000000001"/>
    <n v="1005.2"/>
    <x v="167"/>
  </r>
  <r>
    <s v="Urban"/>
    <x v="6"/>
    <s v="February"/>
    <n v="1754.4"/>
    <n v="164.9"/>
    <n v="415.5"/>
    <n v="148.5"/>
    <n v="127.1"/>
    <n v="938.5"/>
    <x v="169"/>
  </r>
  <r>
    <s v="Rural+Urban"/>
    <x v="6"/>
    <s v="February"/>
    <n v="1757.1"/>
    <n v="163.4"/>
    <n v="433.9"/>
    <n v="148.5"/>
    <n v="138.4"/>
    <n v="972.09999999999991"/>
    <x v="170"/>
  </r>
  <r>
    <s v="Rural"/>
    <x v="6"/>
    <s v="March"/>
    <n v="1761.2000000000003"/>
    <n v="162.9"/>
    <n v="447"/>
    <n v="149.6"/>
    <n v="146.4"/>
    <n v="1005.9999999999999"/>
    <x v="171"/>
  </r>
  <r>
    <s v="Urban"/>
    <x v="6"/>
    <s v="March"/>
    <n v="1768.4"/>
    <n v="165.3"/>
    <n v="416.29999999999995"/>
    <n v="149"/>
    <n v="128.80000000000001"/>
    <n v="940.89999999999986"/>
    <x v="172"/>
  </r>
  <r>
    <s v="Rural+Urban"/>
    <x v="6"/>
    <s v="March"/>
    <n v="1762.9"/>
    <n v="163.5"/>
    <n v="434.5"/>
    <n v="149"/>
    <n v="139.69999999999999"/>
    <n v="973.69999999999982"/>
    <x v="156"/>
  </r>
  <r>
    <s v="Rural"/>
    <x v="6"/>
    <s v="May"/>
    <n v="1782.1000000000001"/>
    <n v="163.30000000000001"/>
    <n v="448.59999999999997"/>
    <n v="149.80000000000001"/>
    <n v="146.9"/>
    <n v="1010.3999999999999"/>
    <x v="163"/>
  </r>
  <r>
    <s v="Urban"/>
    <x v="6"/>
    <s v="May"/>
    <n v="1811.5000000000002"/>
    <n v="166.2"/>
    <n v="417.9"/>
    <n v="150.1"/>
    <n v="129.4"/>
    <n v="945"/>
    <x v="173"/>
  </r>
  <r>
    <s v="Rural+Urban"/>
    <x v="6"/>
    <s v="May"/>
    <n v="1791.9000000000003"/>
    <n v="164.1"/>
    <n v="436.1"/>
    <n v="150.1"/>
    <n v="140.30000000000001"/>
    <n v="977.90000000000009"/>
    <x v="174"/>
  </r>
  <r>
    <s v="Rural"/>
    <x v="6"/>
    <s v="June"/>
    <n v="1804.1999999999998"/>
    <n v="164.2"/>
    <n v="448.59999999999997"/>
    <n v="150"/>
    <n v="147.80000000000001"/>
    <n v="1013.6999999999998"/>
    <x v="175"/>
  </r>
  <r>
    <s v="Urban"/>
    <x v="6"/>
    <s v="June"/>
    <n v="1833.2999999999997"/>
    <n v="166.7"/>
    <n v="418.4"/>
    <n v="149.4"/>
    <n v="130.5"/>
    <n v="947.80000000000007"/>
    <x v="157"/>
  </r>
  <r>
    <s v="Rural+Urban"/>
    <x v="6"/>
    <s v="June"/>
    <n v="1814.1000000000001"/>
    <n v="164.9"/>
    <n v="436.4"/>
    <n v="149.4"/>
    <n v="141.19999999999999"/>
    <n v="980.80000000000007"/>
    <x v="176"/>
  </r>
  <r>
    <s v="Rural"/>
    <x v="6"/>
    <s v="July"/>
    <n v="1826.8999999999999"/>
    <n v="164.5"/>
    <n v="449.1"/>
    <n v="151.1"/>
    <n v="146.80000000000001"/>
    <n v="1020.3"/>
    <x v="177"/>
  </r>
  <r>
    <s v="Urban"/>
    <x v="6"/>
    <s v="July"/>
    <n v="1857.3999999999999"/>
    <n v="167.2"/>
    <n v="419.3"/>
    <n v="150.6"/>
    <n v="127"/>
    <n v="954.1"/>
    <x v="178"/>
  </r>
  <r>
    <s v="Rural+Urban"/>
    <x v="6"/>
    <s v="July"/>
    <n v="1837.5"/>
    <n v="165.2"/>
    <n v="437"/>
    <n v="150.6"/>
    <n v="139.30000000000001"/>
    <n v="987.40000000000009"/>
    <x v="179"/>
  </r>
  <r>
    <s v="Rural"/>
    <x v="6"/>
    <s v="August"/>
    <n v="1834.5000000000002"/>
    <n v="165.1"/>
    <n v="449.5"/>
    <n v="151.9"/>
    <n v="146.4"/>
    <n v="1025.7"/>
    <x v="180"/>
  </r>
  <r>
    <s v="Urban"/>
    <x v="6"/>
    <s v="August"/>
    <n v="1869.1"/>
    <n v="167.9"/>
    <n v="420.2"/>
    <n v="151.6"/>
    <n v="125.5"/>
    <n v="960.40000000000009"/>
    <x v="179"/>
  </r>
  <r>
    <s v="Rural+Urban"/>
    <x v="6"/>
    <s v="August"/>
    <n v="1846.5"/>
    <n v="165.8"/>
    <n v="437.6"/>
    <n v="151.6"/>
    <n v="138.5"/>
    <n v="993.2"/>
    <x v="181"/>
  </r>
  <r>
    <s v="Rural"/>
    <x v="6"/>
    <s v="September"/>
    <n v="1848.7"/>
    <n v="165.7"/>
    <n v="449.29999999999995"/>
    <n v="152.6"/>
    <n v="146.9"/>
    <n v="1029.4000000000003"/>
    <x v="182"/>
  </r>
  <r>
    <s v="Urban"/>
    <x v="6"/>
    <s v="September"/>
    <n v="1874.9"/>
    <n v="168.6"/>
    <n v="420.8"/>
    <n v="152.19999999999999"/>
    <n v="126.6"/>
    <n v="963.60000000000014"/>
    <x v="183"/>
  </r>
  <r>
    <s v="Rural+Urban"/>
    <x v="6"/>
    <s v="September"/>
    <n v="1857.6999999999998"/>
    <n v="166.5"/>
    <n v="437.69999999999993"/>
    <n v="152.19999999999999"/>
    <n v="139.19999999999999"/>
    <n v="996.60000000000014"/>
    <x v="184"/>
  </r>
  <r>
    <s v="Rural"/>
    <x v="6"/>
    <s v="October"/>
    <n v="1876.8999999999996"/>
    <n v="166.3"/>
    <n v="449.4"/>
    <n v="153.30000000000001"/>
    <n v="147.69999999999999"/>
    <n v="1031.3999999999999"/>
    <x v="185"/>
  </r>
  <r>
    <s v="Urban"/>
    <x v="6"/>
    <s v="October"/>
    <n v="1902.6000000000001"/>
    <n v="169.3"/>
    <n v="422.20000000000005"/>
    <n v="153"/>
    <n v="128.9"/>
    <n v="966"/>
    <x v="186"/>
  </r>
  <r>
    <s v="Rural+Urban"/>
    <x v="6"/>
    <s v="October"/>
    <n v="1885.5999999999997"/>
    <n v="167.1"/>
    <n v="438.40000000000003"/>
    <n v="153"/>
    <n v="140.6"/>
    <n v="998.8"/>
    <x v="187"/>
  </r>
  <r>
    <s v="Rural"/>
    <x v="6"/>
    <s v="November"/>
    <n v="1904.6000000000001"/>
    <n v="167.2"/>
    <n v="450.8"/>
    <n v="153.19999999999999"/>
    <n v="148.4"/>
    <n v="1033.9000000000001"/>
    <x v="188"/>
  </r>
  <r>
    <s v="Urban"/>
    <x v="6"/>
    <s v="November"/>
    <n v="1923.9999999999998"/>
    <n v="169.9"/>
    <n v="423.09999999999997"/>
    <n v="153.5"/>
    <n v="132.19999999999999"/>
    <n v="968.19999999999982"/>
    <x v="189"/>
  </r>
  <r>
    <s v="Rural+Urban"/>
    <x v="6"/>
    <s v="November"/>
    <n v="1910.9"/>
    <n v="167.9"/>
    <n v="439.5"/>
    <n v="153.5"/>
    <n v="142.30000000000001"/>
    <n v="1001"/>
    <x v="190"/>
  </r>
  <r>
    <s v="Rural"/>
    <x v="6"/>
    <s v="December"/>
    <n v="1940.9999999999995"/>
    <n v="167.8"/>
    <n v="451.79999999999995"/>
    <n v="153.4"/>
    <n v="149.9"/>
    <n v="1039.3"/>
    <x v="191"/>
  </r>
  <r>
    <s v="Urban"/>
    <x v="6"/>
    <s v="December"/>
    <n v="1956.7"/>
    <n v="170.4"/>
    <n v="424.20000000000005"/>
    <n v="152.80000000000001"/>
    <n v="133.6"/>
    <n v="974.8"/>
    <x v="185"/>
  </r>
  <r>
    <s v="Rural+Urban"/>
    <x v="6"/>
    <s v="December"/>
    <n v="1946.1000000000001"/>
    <n v="168.5"/>
    <n v="440.6"/>
    <n v="152.80000000000001"/>
    <n v="143.69999999999999"/>
    <n v="1006.9"/>
    <x v="192"/>
  </r>
  <r>
    <s v="Rural"/>
    <x v="7"/>
    <s v="January"/>
    <n v="1938.6"/>
    <n v="168.6"/>
    <n v="452.30000000000007"/>
    <n v="154.4"/>
    <n v="150.4"/>
    <n v="1046.0999999999999"/>
    <x v="193"/>
  </r>
  <r>
    <s v="Urban"/>
    <x v="7"/>
    <s v="January"/>
    <n v="1945.3999999999999"/>
    <n v="170.8"/>
    <n v="425.1"/>
    <n v="153.9"/>
    <n v="135.1"/>
    <n v="979.80000000000007"/>
    <x v="194"/>
  </r>
  <r>
    <s v="Rural+Urban"/>
    <x v="7"/>
    <s v="January"/>
    <n v="1940.3999999999999"/>
    <n v="169.2"/>
    <n v="441.2"/>
    <n v="153.9"/>
    <n v="144.6"/>
    <n v="1012.9"/>
    <x v="195"/>
  </r>
  <r>
    <s v="Rural"/>
    <x v="7"/>
    <s v="February"/>
    <n v="1909.7999999999997"/>
    <n v="169.4"/>
    <n v="452.8"/>
    <n v="154.69999999999999"/>
    <n v="152.30000000000001"/>
    <n v="1048.0999999999999"/>
    <x v="192"/>
  </r>
  <r>
    <s v="Urban"/>
    <x v="7"/>
    <s v="February"/>
    <n v="1916.6"/>
    <n v="172"/>
    <n v="426"/>
    <n v="154.80000000000001"/>
    <n v="138.9"/>
    <n v="981.80000000000007"/>
    <x v="196"/>
  </r>
  <r>
    <s v="Rural+Urban"/>
    <x v="7"/>
    <s v="February"/>
    <n v="1911.6"/>
    <n v="170.1"/>
    <n v="442"/>
    <n v="154.80000000000001"/>
    <n v="147.19999999999999"/>
    <n v="1014.8"/>
    <x v="197"/>
  </r>
  <r>
    <s v="Rural"/>
    <x v="7"/>
    <s v="March"/>
    <n v="1894.5999999999997"/>
    <n v="170.5"/>
    <n v="453.5"/>
    <n v="155.1"/>
    <n v="153.4"/>
    <n v="1050.1000000000001"/>
    <x v="198"/>
  </r>
  <r>
    <s v="Urban"/>
    <x v="7"/>
    <s v="March"/>
    <n v="1898.5"/>
    <n v="173.3"/>
    <n v="427.1"/>
    <n v="154.5"/>
    <n v="141.4"/>
    <n v="984.8"/>
    <x v="199"/>
  </r>
  <r>
    <s v="Rural+Urban"/>
    <x v="7"/>
    <s v="March"/>
    <n v="1895.4"/>
    <n v="171.2"/>
    <n v="442.90000000000003"/>
    <n v="154.5"/>
    <n v="148.9"/>
    <n v="1017.3999999999999"/>
    <x v="190"/>
  </r>
  <r>
    <s v="Rural"/>
    <x v="7"/>
    <s v="April"/>
    <n v="1966.9"/>
    <n v="182.4"/>
    <n v="458.79999999999995"/>
    <n v="155.6"/>
    <n v="148.4"/>
    <n v="1065.3"/>
    <x v="200"/>
  </r>
  <r>
    <s v="Urban"/>
    <x v="7"/>
    <s v="April"/>
    <n v="1992.2"/>
    <n v="184.6"/>
    <n v="445.90000000000003"/>
    <n v="155.6"/>
    <n v="137.1"/>
    <n v="1031"/>
    <x v="201"/>
  </r>
  <r>
    <s v="Rural+Urban"/>
    <x v="7"/>
    <s v="April"/>
    <n v="1977.8"/>
    <n v="184.2"/>
    <n v="446.69999999999993"/>
    <n v="155.6"/>
    <n v="144.1"/>
    <n v="1036.3"/>
    <x v="201"/>
  </r>
  <r>
    <s v="Rural"/>
    <x v="7"/>
    <s v="May"/>
    <n v="1966.1000000000001"/>
    <n v="183.8"/>
    <n v="449.8"/>
    <n v="154.69999999999999"/>
    <n v="142.19999999999999"/>
    <n v="1046.7"/>
    <x v="202"/>
  </r>
  <r>
    <s v="Urban"/>
    <x v="7"/>
    <s v="May"/>
    <n v="1971.6999999999998"/>
    <n v="184.3"/>
    <n v="446.3"/>
    <n v="154.69999999999999"/>
    <n v="141.19999999999999"/>
    <n v="1039.1000000000001"/>
    <x v="201"/>
  </r>
  <r>
    <s v="Rural+Urban"/>
    <x v="7"/>
    <s v="May"/>
    <n v="1971"/>
    <n v="184.2"/>
    <n v="446.69999999999993"/>
    <n v="154.69999999999999"/>
    <n v="141.30000000000001"/>
    <n v="1039.2"/>
    <x v="201"/>
  </r>
  <r>
    <s v="Rural"/>
    <x v="7"/>
    <s v="June"/>
    <n v="1951"/>
    <n v="182.4"/>
    <n v="458.79999999999995"/>
    <n v="154.69999999999999"/>
    <n v="144.9"/>
    <n v="1069.2"/>
    <x v="200"/>
  </r>
  <r>
    <s v="Urban"/>
    <x v="7"/>
    <s v="June"/>
    <n v="1994.9999999999998"/>
    <n v="186.7"/>
    <n v="432.9"/>
    <n v="154.69999999999999"/>
    <n v="137.1"/>
    <n v="1009"/>
    <x v="203"/>
  </r>
  <r>
    <s v="Rural+Urban"/>
    <x v="7"/>
    <s v="June"/>
    <n v="1966.8000000000002"/>
    <n v="183.5"/>
    <n v="448.29999999999995"/>
    <n v="154.69999999999999"/>
    <n v="141.9"/>
    <n v="1039.0999999999999"/>
    <x v="201"/>
  </r>
  <r>
    <s v="Rural"/>
    <x v="7"/>
    <s v="July"/>
    <n v="1951"/>
    <n v="182.4"/>
    <n v="458.79999999999995"/>
    <n v="155.1"/>
    <n v="144.9"/>
    <n v="1069.2"/>
    <x v="200"/>
  </r>
  <r>
    <s v="Urban"/>
    <x v="7"/>
    <s v="July"/>
    <n v="1994.9999999999998"/>
    <n v="186.7"/>
    <n v="432.9"/>
    <n v="154.69999999999999"/>
    <n v="137.1"/>
    <n v="1009"/>
    <x v="203"/>
  </r>
  <r>
    <s v="Rural+Urban"/>
    <x v="7"/>
    <s v="July"/>
    <n v="1966.8000000000002"/>
    <n v="183.5"/>
    <n v="448.29999999999995"/>
    <n v="154.69999999999999"/>
    <n v="141.9"/>
    <n v="1039.0999999999999"/>
    <x v="201"/>
  </r>
  <r>
    <s v="Rural"/>
    <x v="7"/>
    <s v="August"/>
    <n v="1978.6"/>
    <n v="180.9"/>
    <n v="458.7"/>
    <n v="155.9"/>
    <n v="145.80000000000001"/>
    <n v="1075.8000000000002"/>
    <x v="204"/>
  </r>
  <r>
    <s v="Urban"/>
    <x v="7"/>
    <s v="August"/>
    <n v="2024.8999999999999"/>
    <n v="187.2"/>
    <n v="433"/>
    <n v="155.5"/>
    <n v="138.30000000000001"/>
    <n v="1023.8"/>
    <x v="205"/>
  </r>
  <r>
    <s v="Rural+Urban"/>
    <x v="7"/>
    <s v="August"/>
    <n v="1995.1999999999998"/>
    <n v="182.6"/>
    <n v="448.2"/>
    <n v="155.5"/>
    <n v="143"/>
    <n v="1049.7"/>
    <x v="206"/>
  </r>
  <r>
    <s v="Rural"/>
    <x v="7"/>
    <s v="September"/>
    <n v="1987.3999999999999"/>
    <n v="182.9"/>
    <n v="459.9"/>
    <n v="156.4"/>
    <n v="146.4"/>
    <n v="1080.3"/>
    <x v="207"/>
  </r>
  <r>
    <s v="Urban"/>
    <x v="7"/>
    <s v="September"/>
    <n v="2041.6000000000001"/>
    <n v="188.7"/>
    <n v="434.6"/>
    <n v="156.30000000000001"/>
    <n v="137.19999999999999"/>
    <n v="1033"/>
    <x v="208"/>
  </r>
  <r>
    <s v="Rural+Urban"/>
    <x v="7"/>
    <s v="September"/>
    <n v="2007"/>
    <n v="184.4"/>
    <n v="449.70000000000005"/>
    <n v="156.30000000000001"/>
    <n v="142.9"/>
    <n v="1056.4000000000001"/>
    <x v="204"/>
  </r>
  <r>
    <s v="Rural"/>
    <x v="7"/>
    <s v="October"/>
    <n v="2030.9"/>
    <n v="182.7"/>
    <n v="461.29999999999995"/>
    <n v="157.30000000000001"/>
    <n v="146.80000000000001"/>
    <n v="1083.3"/>
    <x v="209"/>
  </r>
  <r>
    <s v="Urban"/>
    <x v="7"/>
    <s v="October"/>
    <n v="2080.1999999999998"/>
    <n v="188.7"/>
    <n v="434.90000000000003"/>
    <n v="156.5"/>
    <n v="137.1"/>
    <n v="1033.5"/>
    <x v="210"/>
  </r>
  <r>
    <s v="Rural+Urban"/>
    <x v="7"/>
    <s v="October"/>
    <n v="2048.6000000000004"/>
    <n v="184.3"/>
    <n v="450.59999999999997"/>
    <n v="156.5"/>
    <n v="143.1"/>
    <n v="1058"/>
    <x v="211"/>
  </r>
  <r>
    <s v="Rural"/>
    <x v="7"/>
    <s v="November"/>
    <n v="2082.4"/>
    <n v="183.4"/>
    <n v="462.8"/>
    <n v="158.19999999999999"/>
    <n v="147.5"/>
    <n v="1085.2"/>
    <x v="212"/>
  </r>
  <r>
    <s v="Urban"/>
    <x v="7"/>
    <s v="November"/>
    <n v="2120.6999999999998"/>
    <n v="188.8"/>
    <n v="436.3"/>
    <n v="158"/>
    <n v="137.30000000000001"/>
    <n v="1037.5999999999999"/>
    <x v="213"/>
  </r>
  <r>
    <s v="Rural+Urban"/>
    <x v="7"/>
    <s v="November"/>
    <n v="2095.6"/>
    <n v="184.8"/>
    <n v="452.00000000000006"/>
    <n v="158"/>
    <n v="143.6"/>
    <n v="1061.3999999999999"/>
    <x v="214"/>
  </r>
  <r>
    <s v="Rural"/>
    <x v="7"/>
    <s v="December"/>
    <n v="2100.5"/>
    <n v="183.6"/>
    <n v="464.90000000000003"/>
    <n v="158.1"/>
    <n v="148.69999999999999"/>
    <n v="1090"/>
    <x v="215"/>
  </r>
  <r>
    <s v="Urban"/>
    <x v="7"/>
    <s v="December"/>
    <n v="2125.4"/>
    <n v="190.2"/>
    <n v="438.20000000000005"/>
    <n v="158.4"/>
    <n v="137.9"/>
    <n v="1039.9000000000001"/>
    <x v="216"/>
  </r>
  <r>
    <s v="Rural+Urban"/>
    <x v="7"/>
    <s v="December"/>
    <n v="2109.1"/>
    <n v="185.4"/>
    <n v="454"/>
    <n v="158.4"/>
    <n v="144.6"/>
    <n v="1064.9000000000001"/>
    <x v="217"/>
  </r>
  <r>
    <s v="Rural"/>
    <x v="8"/>
    <s v="January"/>
    <n v="2065.6999999999998"/>
    <n v="184.6"/>
    <n v="466.7"/>
    <n v="158.80000000000001"/>
    <n v="150.9"/>
    <n v="1094.6000000000001"/>
    <x v="218"/>
  </r>
  <r>
    <s v="Urban"/>
    <x v="8"/>
    <s v="January"/>
    <n v="2097"/>
    <n v="191.8"/>
    <n v="440"/>
    <n v="157.69999999999999"/>
    <n v="142.9"/>
    <n v="1043.4999999999998"/>
    <x v="219"/>
  </r>
  <r>
    <s v="Rural+Urban"/>
    <x v="8"/>
    <s v="January"/>
    <n v="2076.5"/>
    <n v="186.5"/>
    <n v="455.8"/>
    <n v="157.69999999999999"/>
    <n v="147.9"/>
    <n v="1068.7"/>
    <x v="220"/>
  </r>
  <r>
    <s v="Rural"/>
    <x v="8"/>
    <s v="February"/>
    <n v="2025.3"/>
    <n v="186.5"/>
    <n v="471.4"/>
    <n v="159.9"/>
    <n v="154.4"/>
    <n v="1102.3"/>
    <x v="213"/>
  </r>
  <r>
    <s v="Urban"/>
    <x v="8"/>
    <s v="February"/>
    <n v="2066"/>
    <n v="193.3"/>
    <n v="444.2"/>
    <n v="159.80000000000001"/>
    <n v="149.1"/>
    <n v="1053.2"/>
    <x v="221"/>
  </r>
  <r>
    <s v="Rural+Urban"/>
    <x v="8"/>
    <s v="February"/>
    <n v="2039.3000000000002"/>
    <n v="188.3"/>
    <n v="460.40000000000003"/>
    <n v="159.80000000000001"/>
    <n v="152.4"/>
    <n v="1077.5000000000002"/>
    <x v="222"/>
  </r>
  <r>
    <s v="Rural"/>
    <x v="8"/>
    <s v="March"/>
    <n v="2025.7"/>
    <n v="186.1"/>
    <n v="472.9"/>
    <n v="0"/>
    <n v="156"/>
    <n v="1102.7"/>
    <x v="213"/>
  </r>
  <r>
    <s v="Urban"/>
    <x v="8"/>
    <s v="March"/>
    <n v="2064.4999999999995"/>
    <n v="193.5"/>
    <n v="446.4"/>
    <n v="159.9"/>
    <n v="154.80000000000001"/>
    <n v="1056.9000000000001"/>
    <x v="216"/>
  </r>
  <r>
    <s v="Rural+Urban"/>
    <x v="8"/>
    <s v="March"/>
    <n v="2039.3999999999999"/>
    <n v="188.1"/>
    <n v="462.1"/>
    <n v="159.9"/>
    <n v="155.5"/>
    <n v="1079.4999999999998"/>
    <x v="223"/>
  </r>
  <r>
    <s v="Rural"/>
    <x v="8"/>
    <s v="April"/>
    <n v="2049.5"/>
    <n v="186.8"/>
    <n v="475.69999999999993"/>
    <n v="0"/>
    <n v="156"/>
    <n v="1107.8000000000002"/>
    <x v="224"/>
  </r>
  <r>
    <s v="Urban"/>
    <x v="8"/>
    <s v="April"/>
    <n v="2089.6"/>
    <n v="194.4"/>
    <n v="448.6"/>
    <n v="161.4"/>
    <n v="154.9"/>
    <n v="1061"/>
    <x v="225"/>
  </r>
  <r>
    <s v="Rural+Urban"/>
    <x v="8"/>
    <s v="April"/>
    <n v="2064.1"/>
    <n v="188.8"/>
    <n v="464.6"/>
    <n v="161.4"/>
    <n v="155.6"/>
    <n v="1084"/>
    <x v="226"/>
  </r>
  <r>
    <s v="Rural"/>
    <x v="8"/>
    <s v="May"/>
    <n v="2095.2999999999997"/>
    <n v="189.6"/>
    <n v="490.4"/>
    <n v="161.1"/>
    <n v="161.69999999999999"/>
    <n v="1129.0999999999999"/>
    <x v="227"/>
  </r>
  <r>
    <s v="Urban"/>
    <x v="8"/>
    <s v="May"/>
    <n v="2124.7000000000003"/>
    <n v="198.2"/>
    <n v="450.79999999999995"/>
    <n v="161.6"/>
    <n v="155.5"/>
    <n v="1074.5"/>
    <x v="228"/>
  </r>
  <r>
    <s v="Rural+Urban"/>
    <x v="8"/>
    <s v="May"/>
    <n v="2105.7000000000003"/>
    <n v="191.9"/>
    <n v="474.29999999999995"/>
    <n v="161.6"/>
    <n v="159.4"/>
    <n v="1101.8000000000002"/>
    <x v="229"/>
  </r>
  <r>
    <s v="Rural"/>
    <x v="8"/>
    <s v="June"/>
    <n v="2122.6"/>
    <n v="189.1"/>
    <n v="489.80000000000007"/>
    <n v="161"/>
    <n v="162.1"/>
    <n v="1131.1999999999998"/>
    <x v="230"/>
  </r>
  <r>
    <s v="Urban"/>
    <x v="8"/>
    <s v="June"/>
    <n v="2154.1999999999998"/>
    <n v="195.6"/>
    <n v="452.6"/>
    <n v="160.5"/>
    <n v="156.1"/>
    <n v="1078.3"/>
    <x v="229"/>
  </r>
  <r>
    <s v="Rural+Urban"/>
    <x v="8"/>
    <s v="June"/>
    <n v="2133.9"/>
    <n v="190.8"/>
    <n v="474.7"/>
    <n v="160.5"/>
    <n v="159.80000000000001"/>
    <n v="1104.8"/>
    <x v="231"/>
  </r>
  <r>
    <s v="Rural"/>
    <x v="8"/>
    <s v="July"/>
    <n v="2132.4"/>
    <n v="189.7"/>
    <n v="492.40000000000003"/>
    <n v="161.80000000000001"/>
    <n v="162.5"/>
    <n v="1138.9000000000001"/>
    <x v="232"/>
  </r>
  <r>
    <s v="Urban"/>
    <x v="8"/>
    <s v="July"/>
    <n v="2171.8000000000002"/>
    <n v="195.5"/>
    <n v="455.3"/>
    <n v="161.5"/>
    <n v="157.69999999999999"/>
    <n v="1087.8000000000002"/>
    <x v="233"/>
  </r>
  <r>
    <s v="Rural+Urban"/>
    <x v="8"/>
    <s v="July"/>
    <n v="2147"/>
    <n v="191.2"/>
    <n v="477.29999999999995"/>
    <n v="161.5"/>
    <n v="160.69999999999999"/>
    <n v="1113.5"/>
    <x v="234"/>
  </r>
  <r>
    <s v="Rural"/>
    <x v="8"/>
    <s v="August"/>
    <n v="2130.8000000000002"/>
    <n v="190.2"/>
    <n v="495.90000000000003"/>
    <n v="162.1"/>
    <n v="163.1"/>
    <n v="1141.8999999999999"/>
    <x v="235"/>
  </r>
  <r>
    <s v="Urban"/>
    <x v="8"/>
    <s v="August"/>
    <n v="2157.9"/>
    <n v="196.5"/>
    <n v="460.7"/>
    <n v="162.1"/>
    <n v="160.69999999999999"/>
    <n v="1096.0999999999999"/>
    <x v="236"/>
  </r>
  <r>
    <s v="Rural+Urban"/>
    <x v="8"/>
    <s v="August"/>
    <n v="2142"/>
    <n v="192.1"/>
    <n v="483"/>
    <n v="162.1"/>
    <n v="162.6"/>
    <n v="1121.3"/>
    <x v="232"/>
  </r>
  <r>
    <s v="Rural"/>
    <x v="8"/>
    <s v="September"/>
    <n v="2133.6"/>
    <n v="190.5"/>
    <n v="498.4"/>
    <n v="162.9"/>
    <n v="163.69999999999999"/>
    <n v="1146.2"/>
    <x v="237"/>
  </r>
  <r>
    <s v="Urban"/>
    <x v="8"/>
    <s v="September"/>
    <n v="2157.9"/>
    <n v="196.5"/>
    <n v="460.79999999999995"/>
    <n v="162.1"/>
    <n v="160.80000000000001"/>
    <n v="1096.4000000000001"/>
    <x v="236"/>
  </r>
  <r>
    <s v="Rural+Urban"/>
    <x v="8"/>
    <s v="September"/>
    <n v="2142"/>
    <n v="192.1"/>
    <n v="483.2"/>
    <n v="162.1"/>
    <n v="162.6"/>
    <n v="1121.3"/>
    <x v="232"/>
  </r>
  <r>
    <s v="Rural"/>
    <x v="8"/>
    <s v="October"/>
    <n v="2164.1999999999998"/>
    <n v="191.2"/>
    <n v="502.00000000000006"/>
    <n v="163.9"/>
    <n v="165.5"/>
    <n v="1152"/>
    <x v="238"/>
  </r>
  <r>
    <s v="Urban"/>
    <x v="8"/>
    <s v="October"/>
    <n v="2198.4000000000005"/>
    <n v="197"/>
    <n v="463.50000000000006"/>
    <n v="163.6"/>
    <n v="162.19999999999999"/>
    <n v="1102.7"/>
    <x v="239"/>
  </r>
  <r>
    <s v="Rural+Urban"/>
    <x v="8"/>
    <s v="October"/>
    <n v="2175.5"/>
    <n v="192.7"/>
    <n v="486.3"/>
    <n v="163.6"/>
    <n v="164.2"/>
    <n v="1127.5"/>
    <x v="240"/>
  </r>
  <r>
    <s v="Rural"/>
    <x v="8"/>
    <s v="November"/>
    <n v="2182"/>
    <n v="191.4"/>
    <n v="506.2"/>
    <n v="163.80000000000001"/>
    <n v="165.3"/>
    <n v="1155.8999999999999"/>
    <x v="241"/>
  </r>
  <r>
    <s v="Urban"/>
    <x v="8"/>
    <s v="November"/>
    <n v="2217.8999999999996"/>
    <n v="197"/>
    <n v="467.3"/>
    <n v="164.2"/>
    <n v="161.6"/>
    <n v="1107.1999999999998"/>
    <x v="242"/>
  </r>
  <r>
    <s v="Rural+Urban"/>
    <x v="8"/>
    <s v="November"/>
    <n v="2194.1"/>
    <n v="192.9"/>
    <n v="490.40000000000003"/>
    <n v="164.2"/>
    <n v="163.9"/>
    <n v="1131.7000000000003"/>
    <x v="243"/>
  </r>
  <r>
    <s v="Rural"/>
    <x v="8"/>
    <s v="December"/>
    <n v="2168.1999999999998"/>
    <n v="190.8"/>
    <n v="510.3"/>
    <n v="164"/>
    <n v="165.6"/>
    <n v="1161"/>
    <x v="244"/>
  </r>
  <r>
    <s v="Urban"/>
    <x v="8"/>
    <s v="December"/>
    <n v="2206.3000000000002"/>
    <n v="196.8"/>
    <n v="470.7"/>
    <n v="163.4"/>
    <n v="161.69999999999999"/>
    <n v="1111.3"/>
    <x v="245"/>
  </r>
  <r>
    <s v="Rural+Urban"/>
    <x v="8"/>
    <s v="December"/>
    <n v="2180.9"/>
    <n v="192.4"/>
    <n v="494.2"/>
    <n v="163.4"/>
    <n v="164.1"/>
    <n v="1136.0999999999999"/>
    <x v="246"/>
  </r>
  <r>
    <s v="Rural"/>
    <x v="9"/>
    <s v="January"/>
    <n v="2153"/>
    <n v="190.7"/>
    <n v="515.20000000000005"/>
    <n v="165"/>
    <n v="165.8"/>
    <n v="1165"/>
    <x v="247"/>
  </r>
  <r>
    <s v="Urban"/>
    <x v="9"/>
    <s v="January"/>
    <n v="2186.6999999999998"/>
    <n v="196.4"/>
    <n v="475.4"/>
    <n v="164.5"/>
    <n v="161.6"/>
    <n v="1116.3999999999999"/>
    <x v="248"/>
  </r>
  <r>
    <s v="Rural+Urban"/>
    <x v="9"/>
    <s v="January"/>
    <n v="2164.1999999999998"/>
    <n v="192.2"/>
    <n v="499.1"/>
    <n v="164.5"/>
    <n v="164.2"/>
    <n v="1140.6000000000001"/>
    <x v="249"/>
  </r>
  <r>
    <s v="Rural"/>
    <x v="9"/>
    <s v="February"/>
    <n v="2150.4"/>
    <n v="191.5"/>
    <n v="518.79999999999995"/>
    <n v="165.4"/>
    <n v="167.4"/>
    <n v="1169.8"/>
    <x v="243"/>
  </r>
  <r>
    <s v="Urban"/>
    <x v="9"/>
    <s v="February"/>
    <n v="2183.5"/>
    <n v="196.5"/>
    <n v="479.5"/>
    <n v="165.5"/>
    <n v="163"/>
    <n v="1122.8000000000002"/>
    <x v="240"/>
  </r>
  <r>
    <s v="Rural+Urban"/>
    <x v="9"/>
    <s v="February"/>
    <n v="2161.2000000000003"/>
    <n v="192.8"/>
    <n v="502.80000000000007"/>
    <n v="165.5"/>
    <n v="165.7"/>
    <n v="1146.3"/>
    <x v="250"/>
  </r>
  <r>
    <s v="Rural"/>
    <x v="9"/>
    <s v="March"/>
    <n v="2179.1000000000004"/>
    <n v="192.3"/>
    <n v="523.70000000000005"/>
    <n v="166.2"/>
    <n v="168.9"/>
    <n v="1177.4000000000001"/>
    <x v="251"/>
  </r>
  <r>
    <s v="Urban"/>
    <x v="9"/>
    <s v="March"/>
    <n v="2196.3000000000002"/>
    <n v="197.5"/>
    <n v="484.6"/>
    <n v="165.3"/>
    <n v="164.5"/>
    <n v="1131.8999999999999"/>
    <x v="252"/>
  </r>
  <r>
    <s v="Rural+Urban"/>
    <x v="9"/>
    <s v="March"/>
    <n v="2184.2000000000003"/>
    <n v="193.7"/>
    <n v="507.79999999999995"/>
    <n v="165.3"/>
    <n v="167.2"/>
    <n v="1154.8"/>
    <x v="253"/>
  </r>
  <r>
    <s v="Rural"/>
    <x v="9"/>
    <s v="April"/>
    <n v="2206.6"/>
    <n v="192.8"/>
    <n v="529.70000000000005"/>
    <n v="167.3"/>
    <n v="173.3"/>
    <n v="1188.1999999999998"/>
    <x v="254"/>
  </r>
  <r>
    <s v="Urban"/>
    <x v="9"/>
    <s v="April"/>
    <n v="2230.4"/>
    <n v="197.1"/>
    <n v="489.2"/>
    <n v="167"/>
    <n v="170.5"/>
    <n v="1145.8"/>
    <x v="255"/>
  </r>
  <r>
    <s v="Rural+Urban"/>
    <x v="9"/>
    <s v="April"/>
    <n v="2214.3000000000002"/>
    <n v="193.9"/>
    <n v="513.20000000000005"/>
    <n v="167"/>
    <n v="172.2"/>
    <n v="1167.5"/>
    <x v="256"/>
  </r>
  <r>
    <s v="Rural"/>
    <x v="9"/>
    <s v="May"/>
    <n v="2226.8000000000002"/>
    <n v="192.9"/>
    <n v="535.5"/>
    <n v="167.2"/>
    <n v="175.3"/>
    <n v="1192.5000000000002"/>
    <x v="257"/>
  </r>
  <r>
    <s v="Urban"/>
    <x v="9"/>
    <s v="May"/>
    <n v="2262.2000000000003"/>
    <n v="197.5"/>
    <n v="493.7"/>
    <n v="167.5"/>
    <n v="173.5"/>
    <n v="1151"/>
    <x v="254"/>
  </r>
  <r>
    <s v="Rural+Urban"/>
    <x v="9"/>
    <s v="May"/>
    <n v="2238.9000000000005"/>
    <n v="194.1"/>
    <n v="518.6"/>
    <n v="167.5"/>
    <n v="174.6"/>
    <n v="1171.9000000000001"/>
    <x v="258"/>
  </r>
  <r>
    <s v="Rural"/>
    <x v="9"/>
    <s v="June"/>
    <n v="2248.3000000000002"/>
    <n v="192.9"/>
    <n v="539.79999999999995"/>
    <n v="167.3"/>
    <n v="176.7"/>
    <n v="1195.0999999999999"/>
    <x v="259"/>
  </r>
  <r>
    <s v="Urban"/>
    <x v="9"/>
    <s v="June"/>
    <n v="2287.5"/>
    <n v="198.3"/>
    <n v="498.4"/>
    <n v="166.8"/>
    <n v="174.9"/>
    <n v="1153.8"/>
    <x v="260"/>
  </r>
  <r>
    <s v="Rural+Urban"/>
    <x v="9"/>
    <s v="June"/>
    <n v="2261.9"/>
    <n v="194.3"/>
    <n v="523"/>
    <n v="166.8"/>
    <n v="176"/>
    <n v="1174.5999999999999"/>
    <x v="261"/>
  </r>
  <r>
    <s v="Rural"/>
    <x v="9"/>
    <s v="July"/>
    <n v="2252.5"/>
    <n v="193.2"/>
    <n v="544"/>
    <n v="168.4"/>
    <n v="179.6"/>
    <n v="1201.2"/>
    <x v="262"/>
  </r>
  <r>
    <s v="Urban"/>
    <x v="9"/>
    <s v="July"/>
    <n v="2291.6"/>
    <n v="198.6"/>
    <n v="502"/>
    <n v="167.8"/>
    <n v="179.5"/>
    <n v="1160.4000000000001"/>
    <x v="263"/>
  </r>
  <r>
    <s v="Rural+Urban"/>
    <x v="9"/>
    <s v="July"/>
    <n v="2266.3000000000002"/>
    <n v="194.6"/>
    <n v="526.90000000000009"/>
    <n v="167.8"/>
    <n v="179.6"/>
    <n v="1180.9000000000001"/>
    <x v="264"/>
  </r>
  <r>
    <s v="Rural"/>
    <x v="9"/>
    <s v="August"/>
    <n v="2255.7999999999997"/>
    <n v="193.7"/>
    <n v="547.9"/>
    <n v="169.3"/>
    <n v="179.1"/>
    <n v="1207"/>
    <x v="265"/>
  </r>
  <r>
    <s v="Urban"/>
    <x v="9"/>
    <s v="August"/>
    <n v="2293.6999999999998"/>
    <n v="198.7"/>
    <n v="505.29999999999995"/>
    <n v="169"/>
    <n v="178.4"/>
    <n v="1166.3"/>
    <x v="266"/>
  </r>
  <r>
    <s v="Rural+Urban"/>
    <x v="9"/>
    <s v="August"/>
    <n v="2269.2000000000003"/>
    <n v="195"/>
    <n v="530.70000000000005"/>
    <n v="169"/>
    <n v="178.8"/>
    <n v="1186.7"/>
    <x v="262"/>
  </r>
  <r>
    <s v="Rural"/>
    <x v="9"/>
    <s v="September"/>
    <n v="2267.8000000000002"/>
    <n v="194.5"/>
    <n v="552.5"/>
    <n v="170.4"/>
    <n v="179.7"/>
    <n v="1210.7999999999997"/>
    <x v="267"/>
  </r>
  <r>
    <s v="Urban"/>
    <x v="9"/>
    <s v="September"/>
    <n v="2306.4"/>
    <n v="199.7"/>
    <n v="509.7"/>
    <n v="169.5"/>
    <n v="179.2"/>
    <n v="1170.8999999999999"/>
    <x v="268"/>
  </r>
  <r>
    <s v="Rural+Urban"/>
    <x v="9"/>
    <s v="September"/>
    <n v="2280.9"/>
    <n v="195.9"/>
    <n v="535.1"/>
    <n v="169.5"/>
    <n v="179.5"/>
    <n v="1190.9000000000001"/>
    <x v="265"/>
  </r>
  <r>
    <s v="Rural"/>
    <x v="9"/>
    <s v="October"/>
    <n v="2284.5"/>
    <n v="194.9"/>
    <n v="556.4"/>
    <n v="171.5"/>
    <n v="180.8"/>
    <n v="1216"/>
    <x v="269"/>
  </r>
  <r>
    <s v="Urban"/>
    <x v="9"/>
    <s v="October"/>
    <n v="2322.3000000000002"/>
    <n v="200.1"/>
    <n v="511.70000000000005"/>
    <n v="171.2"/>
    <n v="180"/>
    <n v="1176.0999999999999"/>
    <x v="265"/>
  </r>
  <r>
    <s v="Rural+Urban"/>
    <x v="9"/>
    <s v="October"/>
    <n v="2297.3000000000002"/>
    <n v="196.3"/>
    <n v="538.20000000000005"/>
    <n v="171.2"/>
    <n v="180.5"/>
    <n v="1196.2"/>
    <x v="270"/>
  </r>
  <r>
    <s v="Rural"/>
    <x v="9"/>
    <s v="November"/>
    <n v="2287.6999999999998"/>
    <n v="195.5"/>
    <n v="559.29999999999995"/>
    <n v="171.3"/>
    <n v="181.9"/>
    <n v="1220.9999999999998"/>
    <x v="271"/>
  </r>
  <r>
    <s v="Urban"/>
    <x v="9"/>
    <s v="November"/>
    <n v="2314.4"/>
    <n v="200.6"/>
    <n v="514.9"/>
    <n v="171.8"/>
    <n v="180.3"/>
    <n v="1181"/>
    <x v="268"/>
  </r>
  <r>
    <s v="Rural+Urban"/>
    <x v="9"/>
    <s v="November"/>
    <n v="2296.8000000000002"/>
    <n v="196.9"/>
    <n v="541.4"/>
    <n v="171.8"/>
    <n v="181.3"/>
    <n v="1201.0999999999999"/>
    <x v="272"/>
  </r>
  <r>
    <s v="Rural"/>
    <x v="9"/>
    <s v="December"/>
    <n v="2277.1"/>
    <n v="195.9"/>
    <n v="561.79999999999995"/>
    <n v="171.4"/>
    <n v="182.8"/>
    <n v="1227.4000000000001"/>
    <x v="273"/>
  </r>
  <r>
    <s v="Urban"/>
    <x v="9"/>
    <s v="December"/>
    <n v="2295.7999999999997"/>
    <n v="201.1"/>
    <n v="517.9"/>
    <n v="170.7"/>
    <n v="180.6"/>
    <n v="1187"/>
    <x v="268"/>
  </r>
  <r>
    <s v="Rural+Urban"/>
    <x v="9"/>
    <s v="December"/>
    <n v="2283.4"/>
    <n v="197.3"/>
    <n v="544"/>
    <n v="170.7"/>
    <n v="182"/>
    <n v="1207.4000000000001"/>
    <x v="274"/>
  </r>
  <r>
    <s v="Rural"/>
    <x v="10"/>
    <s v="January"/>
    <n v="2283.2000000000003"/>
    <n v="196.9"/>
    <n v="563.9"/>
    <n v="172.8"/>
    <n v="183.2"/>
    <n v="1234.5999999999999"/>
    <x v="271"/>
  </r>
  <r>
    <s v="Urban"/>
    <x v="10"/>
    <s v="January"/>
    <n v="2310.2000000000003"/>
    <n v="201.6"/>
    <n v="520.6"/>
    <n v="172.1"/>
    <n v="180.1"/>
    <n v="1193.3"/>
    <x v="275"/>
  </r>
  <r>
    <s v="Rural+Urban"/>
    <x v="10"/>
    <s v="January"/>
    <n v="2292.6999999999998"/>
    <n v="198.2"/>
    <n v="546.29999999999995"/>
    <n v="172.1"/>
    <n v="182"/>
    <n v="1214"/>
    <x v="272"/>
  </r>
  <r>
    <s v="Rural"/>
    <x v="10"/>
    <s v="February"/>
    <n v="2265.6999999999998"/>
    <n v="198.3"/>
    <n v="566.6"/>
    <n v="173.5"/>
    <n v="181.6"/>
    <n v="1244.1000000000001"/>
    <x v="276"/>
  </r>
  <r>
    <s v="Urban"/>
    <x v="10"/>
    <s v="February"/>
    <n v="2303.1999999999998"/>
    <n v="202.7"/>
    <n v="525.5"/>
    <n v="173.5"/>
    <n v="182.8"/>
    <n v="1202.1000000000001"/>
    <x v="277"/>
  </r>
  <r>
    <s v="Rural+Urban"/>
    <x v="10"/>
    <s v="February"/>
    <n v="2279.1"/>
    <n v="199.5"/>
    <n v="550"/>
    <n v="173.5"/>
    <n v="182.1"/>
    <n v="1223.1999999999998"/>
    <x v="278"/>
  </r>
  <r>
    <s v="Rural"/>
    <x v="10"/>
    <s v="March"/>
    <n v="2265.8000000000002"/>
    <n v="198.4"/>
    <n v="566.6"/>
    <n v="174.4"/>
    <n v="181.4"/>
    <n v="1244.1000000000001"/>
    <x v="276"/>
  </r>
  <r>
    <s v="Urban"/>
    <x v="10"/>
    <s v="March"/>
    <n v="2303.4"/>
    <n v="202.7"/>
    <n v="525.4"/>
    <n v="173.5"/>
    <n v="182.6"/>
    <n v="1202.2"/>
    <x v="277"/>
  </r>
  <r>
    <s v="Rural+Urban"/>
    <x v="10"/>
    <s v="March"/>
    <n v="2279.1999999999998"/>
    <n v="199.5"/>
    <n v="549.9"/>
    <n v="173.5"/>
    <n v="181.9"/>
    <n v="1223.1999999999998"/>
    <x v="278"/>
  </r>
  <r>
    <s v="Rural"/>
    <x v="10"/>
    <s v="April"/>
    <n v="2274.1999999999998"/>
    <n v="199.5"/>
    <n v="568.20000000000005"/>
    <n v="174.4"/>
    <n v="181.5"/>
    <n v="1251"/>
    <x v="279"/>
  </r>
  <r>
    <s v="Urban"/>
    <x v="10"/>
    <s v="April"/>
    <n v="2317.7000000000003"/>
    <n v="203.5"/>
    <n v="527.6"/>
    <n v="175.2"/>
    <n v="182.1"/>
    <n v="1209.5000000000002"/>
    <x v="280"/>
  </r>
  <r>
    <s v="Rural+Urban"/>
    <x v="10"/>
    <s v="April"/>
    <n v="2289.6000000000004"/>
    <n v="200.6"/>
    <n v="551.79999999999995"/>
    <n v="175.2"/>
    <n v="181.7"/>
    <n v="1230.1999999999998"/>
    <x v="281"/>
  </r>
  <r>
    <s v="Rural"/>
    <x v="10"/>
    <s v="May"/>
    <n v="2290.7000000000007"/>
    <n v="199.9"/>
    <n v="569.90000000000009"/>
    <n v="175.3"/>
    <n v="182.5"/>
    <n v="1255.8"/>
    <x v="282"/>
  </r>
  <r>
    <s v="Urban"/>
    <x v="10"/>
    <s v="May"/>
    <n v="2335.1"/>
    <n v="204.2"/>
    <n v="528.70000000000005"/>
    <n v="175.6"/>
    <n v="183.4"/>
    <n v="1213.8999999999996"/>
    <x v="283"/>
  </r>
  <r>
    <s v="Rural+Urban"/>
    <x v="10"/>
    <s v="May"/>
    <n v="2306.9"/>
    <n v="201"/>
    <n v="553.20000000000005"/>
    <n v="175.6"/>
    <n v="182.8"/>
    <n v="1234.9000000000001"/>
    <x v="2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DBF04A-D55F-4CFD-B2B8-357D4707282D}" name="PivotTable9"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 rowHeaderCaption="Categories">
  <location ref="H8:J17" firstHeaderRow="1" firstDataRow="3" firstDataCol="1" rowPageCount="2" colPageCount="1"/>
  <pivotFields count="5">
    <pivotField axis="axisCol" showAll="0">
      <items count="4">
        <item h="1" x="0"/>
        <item x="2"/>
        <item h="1" x="1"/>
        <item t="default"/>
      </items>
    </pivotField>
    <pivotField axis="axisPage" showAll="0">
      <items count="12">
        <item x="0"/>
        <item x="1"/>
        <item x="2"/>
        <item x="3"/>
        <item x="4"/>
        <item x="5"/>
        <item x="6"/>
        <item x="7"/>
        <item x="8"/>
        <item x="9"/>
        <item x="10"/>
        <item t="default"/>
      </items>
    </pivotField>
    <pivotField axis="axisPage" showAll="0">
      <items count="15">
        <item x="0"/>
        <item x="1"/>
        <item x="2"/>
        <item x="3"/>
        <item x="4"/>
        <item x="5"/>
        <item x="6"/>
        <item x="7"/>
        <item x="8"/>
        <item x="9"/>
        <item x="11"/>
        <item x="12"/>
        <item x="13"/>
        <item x="10"/>
        <item t="default"/>
      </items>
    </pivotField>
    <pivotField axis="axisRow" showAll="0">
      <items count="7">
        <item x="2"/>
        <item x="0"/>
        <item x="4"/>
        <item x="3"/>
        <item x="5"/>
        <item x="1"/>
        <item t="default"/>
      </items>
    </pivotField>
    <pivotField dataField="1" showAll="0"/>
  </pivotFields>
  <rowFields count="1">
    <field x="3"/>
  </rowFields>
  <rowItems count="7">
    <i>
      <x/>
    </i>
    <i>
      <x v="1"/>
    </i>
    <i>
      <x v="2"/>
    </i>
    <i>
      <x v="3"/>
    </i>
    <i>
      <x v="4"/>
    </i>
    <i>
      <x v="5"/>
    </i>
    <i t="grand">
      <x/>
    </i>
  </rowItems>
  <colFields count="2">
    <field x="0"/>
    <field x="-2"/>
  </colFields>
  <colItems count="2">
    <i>
      <x v="1"/>
      <x/>
    </i>
    <i r="1" i="1">
      <x v="1"/>
    </i>
  </colItems>
  <pageFields count="2">
    <pageField fld="1" item="10" hier="-1"/>
    <pageField fld="2" item="4" hier="-1"/>
  </pageFields>
  <dataFields count="2">
    <dataField name="Index values" fld="4" baseField="3" baseItem="0"/>
    <dataField name="Percentage" fld="4" showDataAs="percentOfTotal" baseField="0" baseItem="0" numFmtId="10"/>
  </dataFields>
  <formats count="19">
    <format dxfId="37">
      <pivotArea collapsedLevelsAreSubtotals="1" fieldPosition="0">
        <references count="3">
          <reference field="4294967294" count="1" selected="0">
            <x v="1"/>
          </reference>
          <reference field="0" count="0" selected="0"/>
          <reference field="3" count="0"/>
        </references>
      </pivotArea>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0" type="button" dataOnly="0" labelOnly="1" outline="0" axis="axisCol" fieldPosition="0"/>
    </format>
    <format dxfId="32">
      <pivotArea field="-2" type="button" dataOnly="0" labelOnly="1" outline="0" axis="axisCol" fieldPosition="1"/>
    </format>
    <format dxfId="31">
      <pivotArea field="3" type="button" dataOnly="0" labelOnly="1" outline="0" axis="axisRow" fieldPosition="0"/>
    </format>
    <format dxfId="30">
      <pivotArea dataOnly="0" labelOnly="1" fieldPosition="0">
        <references count="1">
          <reference field="3" count="0"/>
        </references>
      </pivotArea>
    </format>
    <format dxfId="29">
      <pivotArea dataOnly="0" labelOnly="1" grandRow="1" outline="0" fieldPosition="0"/>
    </format>
    <format dxfId="28">
      <pivotArea dataOnly="0" labelOnly="1" fieldPosition="0">
        <references count="1">
          <reference field="0" count="0"/>
        </references>
      </pivotArea>
    </format>
    <format dxfId="27">
      <pivotArea dataOnly="0" labelOnly="1" outline="0" fieldPosition="0">
        <references count="2">
          <reference field="4294967294" count="2">
            <x v="0"/>
            <x v="1"/>
          </reference>
          <reference field="0" count="0" selected="0"/>
        </references>
      </pivotArea>
    </format>
    <format dxfId="26">
      <pivotArea field="3" type="button" dataOnly="0" labelOnly="1" outline="0" axis="axisRow" fieldPosition="0"/>
    </format>
    <format dxfId="25">
      <pivotArea dataOnly="0" labelOnly="1" outline="0" fieldPosition="0">
        <references count="2">
          <reference field="4294967294" count="2">
            <x v="0"/>
            <x v="1"/>
          </reference>
          <reference field="0" count="0" selected="0"/>
        </references>
      </pivotArea>
    </format>
    <format dxfId="24">
      <pivotArea outline="0" collapsedLevelsAreSubtotals="1" fieldPosition="0"/>
    </format>
    <format dxfId="23">
      <pivotArea field="3" type="button" dataOnly="0" labelOnly="1" outline="0" axis="axisRow" fieldPosition="0"/>
    </format>
    <format dxfId="22">
      <pivotArea dataOnly="0" labelOnly="1" fieldPosition="0">
        <references count="1">
          <reference field="3" count="0"/>
        </references>
      </pivotArea>
    </format>
    <format dxfId="21">
      <pivotArea dataOnly="0" labelOnly="1" grandRow="1" outline="0" fieldPosition="0"/>
    </format>
    <format dxfId="20">
      <pivotArea dataOnly="0" labelOnly="1" outline="0" fieldPosition="0">
        <references count="2">
          <reference field="4294967294" count="2">
            <x v="0"/>
            <x v="1"/>
          </reference>
          <reference field="0" count="0" selected="0"/>
        </references>
      </pivotArea>
    </format>
    <format dxfId="19">
      <pivotArea field="0" type="button" dataOnly="0" labelOnly="1" outline="0" axis="axisCol" fieldPosition="0"/>
    </format>
  </formats>
  <conditionalFormats count="1">
    <conditionalFormat priority="1">
      <pivotAreas count="1">
        <pivotArea type="data" collapsedLevelsAreSubtotals="1" fieldPosition="0">
          <references count="3">
            <reference field="4294967294" count="1" selected="0">
              <x v="1"/>
            </reference>
            <reference field="0" count="1" selected="0">
              <x v="1"/>
            </reference>
            <reference field="3" count="6">
              <x v="0"/>
              <x v="1"/>
              <x v="2"/>
              <x v="3"/>
              <x v="4"/>
              <x v="5"/>
            </reference>
          </references>
        </pivotArea>
      </pivotAreas>
    </conditionalFormat>
  </conditionalFormats>
  <chartFormats count="14">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1"/>
          </reference>
          <reference field="0" count="1" selected="0">
            <x v="1"/>
          </reference>
        </references>
      </pivotArea>
    </chartFormat>
    <chartFormat chart="0" format="2">
      <pivotArea type="data" outline="0" fieldPosition="0">
        <references count="3">
          <reference field="4294967294" count="1" selected="0">
            <x v="0"/>
          </reference>
          <reference field="0" count="1" selected="0">
            <x v="1"/>
          </reference>
          <reference field="3" count="1" selected="0">
            <x v="0"/>
          </reference>
        </references>
      </pivotArea>
    </chartFormat>
    <chartFormat chart="0" format="3">
      <pivotArea type="data" outline="0" fieldPosition="0">
        <references count="3">
          <reference field="4294967294" count="1" selected="0">
            <x v="0"/>
          </reference>
          <reference field="0" count="1" selected="0">
            <x v="1"/>
          </reference>
          <reference field="3" count="1" selected="0">
            <x v="1"/>
          </reference>
        </references>
      </pivotArea>
    </chartFormat>
    <chartFormat chart="0" format="4">
      <pivotArea type="data" outline="0" fieldPosition="0">
        <references count="3">
          <reference field="4294967294" count="1" selected="0">
            <x v="0"/>
          </reference>
          <reference field="0" count="1" selected="0">
            <x v="1"/>
          </reference>
          <reference field="3" count="1" selected="0">
            <x v="2"/>
          </reference>
        </references>
      </pivotArea>
    </chartFormat>
    <chartFormat chart="0" format="5">
      <pivotArea type="data" outline="0" fieldPosition="0">
        <references count="3">
          <reference field="4294967294" count="1" selected="0">
            <x v="0"/>
          </reference>
          <reference field="0" count="1" selected="0">
            <x v="1"/>
          </reference>
          <reference field="3" count="1" selected="0">
            <x v="3"/>
          </reference>
        </references>
      </pivotArea>
    </chartFormat>
    <chartFormat chart="0" format="6">
      <pivotArea type="data" outline="0" fieldPosition="0">
        <references count="3">
          <reference field="4294967294" count="1" selected="0">
            <x v="0"/>
          </reference>
          <reference field="0" count="1" selected="0">
            <x v="1"/>
          </reference>
          <reference field="3" count="1" selected="0">
            <x v="4"/>
          </reference>
        </references>
      </pivotArea>
    </chartFormat>
    <chartFormat chart="0" format="7">
      <pivotArea type="data" outline="0" fieldPosition="0">
        <references count="3">
          <reference field="4294967294" count="1" selected="0">
            <x v="0"/>
          </reference>
          <reference field="0" count="1" selected="0">
            <x v="1"/>
          </reference>
          <reference field="3" count="1" selected="0">
            <x v="5"/>
          </reference>
        </references>
      </pivotArea>
    </chartFormat>
    <chartFormat chart="0" format="8">
      <pivotArea type="data" outline="0" fieldPosition="0">
        <references count="3">
          <reference field="4294967294" count="1" selected="0">
            <x v="1"/>
          </reference>
          <reference field="0" count="1" selected="0">
            <x v="1"/>
          </reference>
          <reference field="3" count="1" selected="0">
            <x v="0"/>
          </reference>
        </references>
      </pivotArea>
    </chartFormat>
    <chartFormat chart="0" format="9">
      <pivotArea type="data" outline="0" fieldPosition="0">
        <references count="3">
          <reference field="4294967294" count="1" selected="0">
            <x v="1"/>
          </reference>
          <reference field="0" count="1" selected="0">
            <x v="1"/>
          </reference>
          <reference field="3" count="1" selected="0">
            <x v="1"/>
          </reference>
        </references>
      </pivotArea>
    </chartFormat>
    <chartFormat chart="0" format="10">
      <pivotArea type="data" outline="0" fieldPosition="0">
        <references count="3">
          <reference field="4294967294" count="1" selected="0">
            <x v="1"/>
          </reference>
          <reference field="0" count="1" selected="0">
            <x v="1"/>
          </reference>
          <reference field="3" count="1" selected="0">
            <x v="2"/>
          </reference>
        </references>
      </pivotArea>
    </chartFormat>
    <chartFormat chart="0" format="11">
      <pivotArea type="data" outline="0" fieldPosition="0">
        <references count="3">
          <reference field="4294967294" count="1" selected="0">
            <x v="1"/>
          </reference>
          <reference field="0" count="1" selected="0">
            <x v="1"/>
          </reference>
          <reference field="3" count="1" selected="0">
            <x v="3"/>
          </reference>
        </references>
      </pivotArea>
    </chartFormat>
    <chartFormat chart="0" format="12">
      <pivotArea type="data" outline="0" fieldPosition="0">
        <references count="3">
          <reference field="4294967294" count="1" selected="0">
            <x v="1"/>
          </reference>
          <reference field="0" count="1" selected="0">
            <x v="1"/>
          </reference>
          <reference field="3" count="1" selected="0">
            <x v="4"/>
          </reference>
        </references>
      </pivotArea>
    </chartFormat>
    <chartFormat chart="0" format="13">
      <pivotArea type="data" outline="0" fieldPosition="0">
        <references count="3">
          <reference field="4294967294" count="1" selected="0">
            <x v="1"/>
          </reference>
          <reference field="0"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37D1D5-2953-4635-8AE5-98FEFBBF0E2C}"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Year">
  <location ref="A11:B20" firstHeaderRow="1" firstDataRow="1" firstDataCol="1"/>
  <pivotFields count="10">
    <pivotField showAll="0"/>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dataField="1" showAll="0">
      <items count="286">
        <item x="1"/>
        <item x="2"/>
        <item x="4"/>
        <item x="7"/>
        <item x="0"/>
        <item x="5"/>
        <item x="8"/>
        <item x="10"/>
        <item x="3"/>
        <item x="6"/>
        <item x="11"/>
        <item x="9"/>
        <item x="13"/>
        <item x="14"/>
        <item x="12"/>
        <item x="15"/>
        <item x="17"/>
        <item x="16"/>
        <item x="18"/>
        <item x="20"/>
        <item x="19"/>
        <item x="21"/>
        <item x="23"/>
        <item x="22"/>
        <item x="35"/>
        <item x="37"/>
        <item x="25"/>
        <item x="33"/>
        <item x="36"/>
        <item x="26"/>
        <item x="28"/>
        <item x="24"/>
        <item x="34"/>
        <item x="38"/>
        <item x="40"/>
        <item x="29"/>
        <item x="31"/>
        <item x="41"/>
        <item x="39"/>
        <item x="27"/>
        <item x="43"/>
        <item x="44"/>
        <item x="42"/>
        <item x="32"/>
        <item x="46"/>
        <item x="47"/>
        <item x="45"/>
        <item x="30"/>
        <item x="60"/>
        <item x="62"/>
        <item x="64"/>
        <item x="49"/>
        <item x="59"/>
        <item x="57"/>
        <item x="50"/>
        <item x="61"/>
        <item x="48"/>
        <item x="65"/>
        <item x="52"/>
        <item x="55"/>
        <item x="66"/>
        <item x="53"/>
        <item x="63"/>
        <item x="51"/>
        <item x="54"/>
        <item x="56"/>
        <item x="58"/>
        <item x="67"/>
        <item x="69"/>
        <item x="71"/>
        <item x="68"/>
        <item x="72"/>
        <item x="76"/>
        <item x="79"/>
        <item x="74"/>
        <item x="90"/>
        <item x="87"/>
        <item x="70"/>
        <item x="82"/>
        <item x="84"/>
        <item x="73"/>
        <item x="77"/>
        <item x="94"/>
        <item x="80"/>
        <item x="91"/>
        <item x="75"/>
        <item x="89"/>
        <item x="85"/>
        <item x="78"/>
        <item x="95"/>
        <item x="112"/>
        <item x="81"/>
        <item x="115"/>
        <item x="86"/>
        <item x="92"/>
        <item x="88"/>
        <item x="117"/>
        <item x="83"/>
        <item x="103"/>
        <item x="109"/>
        <item x="97"/>
        <item x="119"/>
        <item x="93"/>
        <item x="121"/>
        <item x="123"/>
        <item x="125"/>
        <item x="99"/>
        <item x="96"/>
        <item x="113"/>
        <item x="118"/>
        <item x="105"/>
        <item x="101"/>
        <item x="110"/>
        <item x="107"/>
        <item x="128"/>
        <item x="98"/>
        <item x="126"/>
        <item x="114"/>
        <item x="116"/>
        <item x="131"/>
        <item x="111"/>
        <item x="120"/>
        <item x="100"/>
        <item x="122"/>
        <item x="104"/>
        <item x="102"/>
        <item x="108"/>
        <item x="106"/>
        <item x="124"/>
        <item x="145"/>
        <item x="140"/>
        <item x="129"/>
        <item x="138"/>
        <item x="134"/>
        <item x="132"/>
        <item x="136"/>
        <item x="127"/>
        <item x="146"/>
        <item x="148"/>
        <item x="143"/>
        <item x="150"/>
        <item x="141"/>
        <item x="153"/>
        <item x="133"/>
        <item x="130"/>
        <item x="155"/>
        <item x="158"/>
        <item x="135"/>
        <item x="144"/>
        <item x="169"/>
        <item x="147"/>
        <item x="161"/>
        <item x="164"/>
        <item x="149"/>
        <item x="142"/>
        <item x="172"/>
        <item x="168"/>
        <item x="139"/>
        <item x="170"/>
        <item x="137"/>
        <item x="166"/>
        <item x="159"/>
        <item x="156"/>
        <item x="151"/>
        <item x="162"/>
        <item x="167"/>
        <item x="171"/>
        <item x="173"/>
        <item x="152"/>
        <item x="165"/>
        <item x="174"/>
        <item x="157"/>
        <item x="160"/>
        <item x="163"/>
        <item x="154"/>
        <item x="176"/>
        <item x="178"/>
        <item x="175"/>
        <item x="179"/>
        <item x="183"/>
        <item x="177"/>
        <item x="181"/>
        <item x="180"/>
        <item x="184"/>
        <item x="186"/>
        <item x="182"/>
        <item x="189"/>
        <item x="187"/>
        <item x="199"/>
        <item x="196"/>
        <item x="194"/>
        <item x="185"/>
        <item x="190"/>
        <item x="197"/>
        <item x="198"/>
        <item x="188"/>
        <item x="195"/>
        <item x="192"/>
        <item x="203"/>
        <item x="201"/>
        <item x="193"/>
        <item x="202"/>
        <item x="191"/>
        <item x="200"/>
        <item x="205"/>
        <item x="206"/>
        <item x="208"/>
        <item x="204"/>
        <item x="210"/>
        <item x="207"/>
        <item x="219"/>
        <item x="211"/>
        <item x="221"/>
        <item x="222"/>
        <item x="213"/>
        <item x="223"/>
        <item x="216"/>
        <item x="220"/>
        <item x="209"/>
        <item x="224"/>
        <item x="226"/>
        <item x="225"/>
        <item x="214"/>
        <item x="218"/>
        <item x="217"/>
        <item x="228"/>
        <item x="212"/>
        <item x="229"/>
        <item x="215"/>
        <item x="227"/>
        <item x="231"/>
        <item x="233"/>
        <item x="230"/>
        <item x="236"/>
        <item x="234"/>
        <item x="232"/>
        <item x="235"/>
        <item x="237"/>
        <item x="239"/>
        <item x="248"/>
        <item x="245"/>
        <item x="240"/>
        <item x="242"/>
        <item x="249"/>
        <item x="250"/>
        <item x="246"/>
        <item x="238"/>
        <item x="247"/>
        <item x="252"/>
        <item x="243"/>
        <item x="244"/>
        <item x="241"/>
        <item x="253"/>
        <item x="251"/>
        <item x="255"/>
        <item x="256"/>
        <item x="254"/>
        <item x="260"/>
        <item x="258"/>
        <item x="263"/>
        <item x="257"/>
        <item x="261"/>
        <item x="266"/>
        <item x="264"/>
        <item x="259"/>
        <item x="268"/>
        <item x="262"/>
        <item x="275"/>
        <item x="265"/>
        <item x="274"/>
        <item x="277"/>
        <item x="267"/>
        <item x="272"/>
        <item x="270"/>
        <item x="273"/>
        <item x="278"/>
        <item x="280"/>
        <item x="271"/>
        <item x="269"/>
        <item x="276"/>
        <item x="281"/>
        <item x="283"/>
        <item x="279"/>
        <item x="284"/>
        <item x="282"/>
        <item t="default"/>
      </items>
    </pivotField>
  </pivotFields>
  <rowFields count="1">
    <field x="1"/>
  </rowFields>
  <rowItems count="9">
    <i>
      <x v="3"/>
    </i>
    <i>
      <x v="4"/>
    </i>
    <i>
      <x v="5"/>
    </i>
    <i>
      <x v="6"/>
    </i>
    <i>
      <x v="7"/>
    </i>
    <i>
      <x v="8"/>
    </i>
    <i>
      <x v="9"/>
    </i>
    <i>
      <x v="10"/>
    </i>
    <i t="grand">
      <x/>
    </i>
  </rowItems>
  <colItems count="1">
    <i/>
  </colItems>
  <dataFields count="1">
    <dataField name="Y-O-Y difference" fld="9" subtotal="average" showDataAs="percentDiff" baseField="1" baseItem="1048828" numFmtId="10"/>
  </dataFields>
  <formats count="8">
    <format dxfId="7">
      <pivotArea outline="0" collapsedLevelsAreSubtotals="1" fieldPosition="0"/>
    </format>
    <format dxfId="6">
      <pivotArea outline="0" fieldPosition="0">
        <references count="1">
          <reference field="4294967294" count="1">
            <x v="0"/>
          </reference>
        </references>
      </pivotArea>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10">
              <x v="1"/>
              <x v="2"/>
              <x v="3"/>
              <x v="4"/>
              <x v="5"/>
              <x v="6"/>
              <x v="7"/>
              <x v="8"/>
              <x v="9"/>
              <x v="10"/>
            </reference>
          </references>
        </pivotArea>
      </pivotAreas>
    </conditionalFormat>
  </conditionalFormats>
  <chartFormats count="7">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5"/>
          </reference>
        </references>
      </pivotArea>
    </chartFormat>
    <chartFormat chart="10" format="2">
      <pivotArea type="data" outline="0" fieldPosition="0">
        <references count="2">
          <reference field="4294967294" count="1" selected="0">
            <x v="0"/>
          </reference>
          <reference field="1" count="1" selected="0">
            <x v="4"/>
          </reference>
        </references>
      </pivotArea>
    </chartFormat>
    <chartFormat chart="10" format="3">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907537-39C9-4A12-9126-E281A01DFC2E}"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Year">
  <location ref="A1:C10" firstHeaderRow="0" firstDataRow="1" firstDataCol="1"/>
  <pivotFields count="10">
    <pivotField showAll="0"/>
    <pivotField axis="axisRow" showAll="0">
      <items count="12">
        <item h="1" x="0"/>
        <item h="1" x="1"/>
        <item h="1" x="2"/>
        <item x="3"/>
        <item x="4"/>
        <item x="5"/>
        <item x="6"/>
        <item x="7"/>
        <item x="8"/>
        <item x="9"/>
        <item x="10"/>
        <item t="default"/>
      </items>
    </pivotField>
    <pivotField showAll="0"/>
    <pivotField showAll="0"/>
    <pivotField showAll="0"/>
    <pivotField showAll="0"/>
    <pivotField showAll="0"/>
    <pivotField showAll="0"/>
    <pivotField showAll="0"/>
    <pivotField dataField="1" showAll="0">
      <items count="286">
        <item x="1"/>
        <item x="2"/>
        <item x="4"/>
        <item x="7"/>
        <item x="0"/>
        <item x="5"/>
        <item x="8"/>
        <item x="10"/>
        <item x="3"/>
        <item x="6"/>
        <item x="11"/>
        <item x="9"/>
        <item x="13"/>
        <item x="14"/>
        <item x="12"/>
        <item x="15"/>
        <item x="17"/>
        <item x="16"/>
        <item x="18"/>
        <item x="20"/>
        <item x="19"/>
        <item x="21"/>
        <item x="23"/>
        <item x="22"/>
        <item x="35"/>
        <item x="37"/>
        <item x="25"/>
        <item x="33"/>
        <item x="36"/>
        <item x="26"/>
        <item x="28"/>
        <item x="24"/>
        <item x="34"/>
        <item x="38"/>
        <item x="40"/>
        <item x="29"/>
        <item x="31"/>
        <item x="41"/>
        <item x="39"/>
        <item x="27"/>
        <item x="43"/>
        <item x="44"/>
        <item x="42"/>
        <item x="32"/>
        <item x="46"/>
        <item x="47"/>
        <item x="45"/>
        <item x="30"/>
        <item x="60"/>
        <item x="62"/>
        <item x="64"/>
        <item x="49"/>
        <item x="59"/>
        <item x="57"/>
        <item x="50"/>
        <item x="61"/>
        <item x="48"/>
        <item x="65"/>
        <item x="52"/>
        <item x="55"/>
        <item x="66"/>
        <item x="53"/>
        <item x="63"/>
        <item x="51"/>
        <item x="54"/>
        <item x="56"/>
        <item x="58"/>
        <item x="67"/>
        <item x="69"/>
        <item x="71"/>
        <item x="68"/>
        <item x="72"/>
        <item x="76"/>
        <item x="79"/>
        <item x="74"/>
        <item x="90"/>
        <item x="87"/>
        <item x="70"/>
        <item x="82"/>
        <item x="84"/>
        <item x="73"/>
        <item x="77"/>
        <item x="94"/>
        <item x="80"/>
        <item x="91"/>
        <item x="75"/>
        <item x="89"/>
        <item x="85"/>
        <item x="78"/>
        <item x="95"/>
        <item x="112"/>
        <item x="81"/>
        <item x="115"/>
        <item x="86"/>
        <item x="92"/>
        <item x="88"/>
        <item x="117"/>
        <item x="83"/>
        <item x="103"/>
        <item x="109"/>
        <item x="97"/>
        <item x="119"/>
        <item x="93"/>
        <item x="121"/>
        <item x="123"/>
        <item x="125"/>
        <item x="99"/>
        <item x="96"/>
        <item x="113"/>
        <item x="118"/>
        <item x="105"/>
        <item x="101"/>
        <item x="110"/>
        <item x="107"/>
        <item x="128"/>
        <item x="98"/>
        <item x="126"/>
        <item x="114"/>
        <item x="116"/>
        <item x="131"/>
        <item x="111"/>
        <item x="120"/>
        <item x="100"/>
        <item x="122"/>
        <item x="104"/>
        <item x="102"/>
        <item x="108"/>
        <item x="106"/>
        <item x="124"/>
        <item x="145"/>
        <item x="140"/>
        <item x="129"/>
        <item x="138"/>
        <item x="134"/>
        <item x="132"/>
        <item x="136"/>
        <item x="127"/>
        <item x="146"/>
        <item x="148"/>
        <item x="143"/>
        <item x="150"/>
        <item x="141"/>
        <item x="153"/>
        <item x="133"/>
        <item x="130"/>
        <item x="155"/>
        <item x="158"/>
        <item x="135"/>
        <item x="144"/>
        <item x="169"/>
        <item x="147"/>
        <item x="161"/>
        <item x="164"/>
        <item x="149"/>
        <item x="142"/>
        <item x="172"/>
        <item x="168"/>
        <item x="139"/>
        <item x="170"/>
        <item x="137"/>
        <item x="166"/>
        <item x="159"/>
        <item x="156"/>
        <item x="151"/>
        <item x="162"/>
        <item x="167"/>
        <item x="171"/>
        <item x="173"/>
        <item x="152"/>
        <item x="165"/>
        <item x="174"/>
        <item x="157"/>
        <item x="160"/>
        <item x="163"/>
        <item x="154"/>
        <item x="176"/>
        <item x="178"/>
        <item x="175"/>
        <item x="179"/>
        <item x="183"/>
        <item x="177"/>
        <item x="181"/>
        <item x="180"/>
        <item x="184"/>
        <item x="186"/>
        <item x="182"/>
        <item x="189"/>
        <item x="187"/>
        <item x="199"/>
        <item x="196"/>
        <item x="194"/>
        <item x="185"/>
        <item x="190"/>
        <item x="197"/>
        <item x="198"/>
        <item x="188"/>
        <item x="195"/>
        <item x="192"/>
        <item x="203"/>
        <item x="201"/>
        <item x="193"/>
        <item x="202"/>
        <item x="191"/>
        <item x="200"/>
        <item x="205"/>
        <item x="206"/>
        <item x="208"/>
        <item x="204"/>
        <item x="210"/>
        <item x="207"/>
        <item x="219"/>
        <item x="211"/>
        <item x="221"/>
        <item x="222"/>
        <item x="213"/>
        <item x="223"/>
        <item x="216"/>
        <item x="220"/>
        <item x="209"/>
        <item x="224"/>
        <item x="226"/>
        <item x="225"/>
        <item x="214"/>
        <item x="218"/>
        <item x="217"/>
        <item x="228"/>
        <item x="212"/>
        <item x="229"/>
        <item x="215"/>
        <item x="227"/>
        <item x="231"/>
        <item x="233"/>
        <item x="230"/>
        <item x="236"/>
        <item x="234"/>
        <item x="232"/>
        <item x="235"/>
        <item x="237"/>
        <item x="239"/>
        <item x="248"/>
        <item x="245"/>
        <item x="240"/>
        <item x="242"/>
        <item x="249"/>
        <item x="250"/>
        <item x="246"/>
        <item x="238"/>
        <item x="247"/>
        <item x="252"/>
        <item x="243"/>
        <item x="244"/>
        <item x="241"/>
        <item x="253"/>
        <item x="251"/>
        <item x="255"/>
        <item x="256"/>
        <item x="254"/>
        <item x="260"/>
        <item x="258"/>
        <item x="263"/>
        <item x="257"/>
        <item x="261"/>
        <item x="266"/>
        <item x="264"/>
        <item x="259"/>
        <item x="268"/>
        <item x="262"/>
        <item x="275"/>
        <item x="265"/>
        <item x="274"/>
        <item x="277"/>
        <item x="267"/>
        <item x="272"/>
        <item x="270"/>
        <item x="273"/>
        <item x="278"/>
        <item x="280"/>
        <item x="271"/>
        <item x="269"/>
        <item x="276"/>
        <item x="281"/>
        <item x="283"/>
        <item x="279"/>
        <item x="284"/>
        <item x="282"/>
        <item t="default"/>
      </items>
    </pivotField>
  </pivotFields>
  <rowFields count="1">
    <field x="1"/>
  </rowFields>
  <rowItems count="9">
    <i>
      <x v="3"/>
    </i>
    <i>
      <x v="4"/>
    </i>
    <i>
      <x v="5"/>
    </i>
    <i>
      <x v="6"/>
    </i>
    <i>
      <x v="7"/>
    </i>
    <i>
      <x v="8"/>
    </i>
    <i>
      <x v="9"/>
    </i>
    <i>
      <x v="10"/>
    </i>
    <i t="grand">
      <x/>
    </i>
  </rowItems>
  <colFields count="1">
    <field x="-2"/>
  </colFields>
  <colItems count="2">
    <i>
      <x/>
    </i>
    <i i="1">
      <x v="1"/>
    </i>
  </colItems>
  <dataFields count="2">
    <dataField name="Y-O-Y difference" fld="9" subtotal="average" showDataAs="percentDiff" baseField="1" baseItem="1048828" numFmtId="10"/>
    <dataField name="Average of General index" fld="9" subtotal="average" baseField="1" baseItem="2" numFmtId="165"/>
  </dataFields>
  <formats count="8">
    <format dxfId="15">
      <pivotArea outline="0" collapsedLevelsAreSubtotals="1" fieldPosition="0"/>
    </format>
    <format dxfId="14">
      <pivotArea outline="0" fieldPosition="0">
        <references count="1">
          <reference field="4294967294" count="1">
            <x v="0"/>
          </reference>
        </references>
      </pivotArea>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outline="0" fieldPosition="0">
        <references count="1">
          <reference field="4294967294" count="2">
            <x v="0"/>
            <x v="1"/>
          </reference>
        </references>
      </pivotArea>
    </format>
  </formats>
  <conditionalFormats count="1">
    <conditionalFormat priority="2">
      <pivotAreas count="1">
        <pivotArea type="data" collapsedLevelsAreSubtotals="1" fieldPosition="0">
          <references count="2">
            <reference field="4294967294" count="1" selected="0">
              <x v="0"/>
            </reference>
            <reference field="1" count="10">
              <x v="1"/>
              <x v="2"/>
              <x v="3"/>
              <x v="4"/>
              <x v="5"/>
              <x v="6"/>
              <x v="7"/>
              <x v="8"/>
              <x v="9"/>
              <x v="10"/>
            </reference>
          </references>
        </pivotArea>
      </pivotAreas>
    </conditionalFormat>
  </conditionalFormat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9C337B9-14DF-404F-B525-CFACBDD3B749}" autoFormatId="16" applyNumberFormats="0" applyBorderFormats="0" applyFontFormats="0" applyPatternFormats="0" applyAlignmentFormats="0" applyWidthHeightFormats="0">
  <queryTableRefresh nextId="6">
    <queryTableFields count="5">
      <queryTableField id="1" name="Sector" tableColumnId="1"/>
      <queryTableField id="2" name="Year" tableColumnId="2"/>
      <queryTableField id="3" name="Month" tableColumnId="3"/>
      <queryTableField id="4" name="Attribute" tableColumnId="4"/>
      <queryTableField id="5" name="Value" tableColumnId="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3814D6D-2E91-491E-A6EB-F7D3D4EA46DD}" name="Table11" displayName="Table11" ref="A1:J373" totalsRowShown="0" headerRowDxfId="50" dataDxfId="49" tableBorderDxfId="48">
  <autoFilter ref="A1:J373" xr:uid="{53814D6D-2E91-491E-A6EB-F7D3D4EA46DD}"/>
  <tableColumns count="10">
    <tableColumn id="1" xr3:uid="{1B77F4AE-080D-4B8D-9A12-36222C4DE2CB}" name="Sector" dataDxfId="47"/>
    <tableColumn id="2" xr3:uid="{4ADC72F5-4EDF-40D3-92EB-78C871E4B000}" name="Year" dataDxfId="46"/>
    <tableColumn id="3" xr3:uid="{4F97B628-0E24-4681-AFC6-B42A99007446}" name="Month" dataDxfId="45"/>
    <tableColumn id="4" xr3:uid="{3D725CBB-F7D8-415C-809E-33C542764AC7}" name="Food &amp; Beverages" dataDxfId="44">
      <calculatedColumnFormula>SUM('Working sheet'!$D2:$P2)</calculatedColumnFormula>
    </tableColumn>
    <tableColumn id="5" xr3:uid="{9F4F766B-01B8-4EC5-BF23-7675184BEB17}" name="Pan, Tobacco &amp; Intoxicants" dataDxfId="43">
      <calculatedColumnFormula>SUM('Working sheet'!$Q2)</calculatedColumnFormula>
    </tableColumn>
    <tableColumn id="6" xr3:uid="{3CA7C708-C536-4F77-A935-627C0AA53685}" name="Clothing &amp; Footwear" dataDxfId="42">
      <calculatedColumnFormula>SUM('Working sheet'!$R2:$T2)</calculatedColumnFormula>
    </tableColumn>
    <tableColumn id="7" xr3:uid="{E79DE07A-097B-463D-83C7-D74B64B4688A}" name="Housing" dataDxfId="41">
      <calculatedColumnFormula>SUM('Working sheet'!$U2)</calculatedColumnFormula>
    </tableColumn>
    <tableColumn id="8" xr3:uid="{41F788E3-A085-4C6D-A88A-99B6DCD9D46C}" name="Fuel &amp; Light" dataDxfId="40">
      <calculatedColumnFormula>SUM('Working sheet'!$V2)</calculatedColumnFormula>
    </tableColumn>
    <tableColumn id="9" xr3:uid="{18E1CC52-C202-4C6C-9C6F-7CE89BE8E30A}" name="Miscellaneous" dataDxfId="39">
      <calculatedColumnFormula>SUM('Working sheet'!$W2:$AC2)</calculatedColumnFormula>
    </tableColumn>
    <tableColumn id="10" xr3:uid="{AD5021CF-06E1-4AE3-A0C7-D2E6F3463072}" name="General index" data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C71315B-55D1-4943-B0A1-971E7CD146E8}" name="Table7__2" displayName="Table7__2" ref="A1:E2233" tableType="queryTable" totalsRowShown="0">
  <autoFilter ref="A1:E2233" xr:uid="{FC71315B-55D1-4943-B0A1-971E7CD146E8}"/>
  <tableColumns count="5">
    <tableColumn id="1" xr3:uid="{E93BCFC8-66AA-4469-B81B-15CFF952DDD9}" uniqueName="1" name="Sector" queryTableFieldId="1" dataDxfId="18"/>
    <tableColumn id="2" xr3:uid="{33E4E53B-AA50-4722-96F0-1DA2CFA33A06}" uniqueName="2" name="Year" queryTableFieldId="2"/>
    <tableColumn id="3" xr3:uid="{83F7B834-41BC-4B9C-8AFD-FE6C03621E00}" uniqueName="3" name="Month" queryTableFieldId="3" dataDxfId="17"/>
    <tableColumn id="4" xr3:uid="{B339BE08-350E-49B8-9306-8D5E87BCDCD3}" uniqueName="4" name="Attribute" queryTableFieldId="4" dataDxfId="16"/>
    <tableColumn id="5" xr3:uid="{BEC14A6E-C7DB-4D49-8426-022606F4B14B}" uniqueName="5" name="Value"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D55D-8A33-4824-9B2A-0D9B66DB03BD}">
  <dimension ref="A1:BF373"/>
  <sheetViews>
    <sheetView topLeftCell="W1" zoomScale="85" zoomScaleNormal="85" workbookViewId="0">
      <selection activeCell="D2" sqref="D2"/>
    </sheetView>
  </sheetViews>
  <sheetFormatPr defaultRowHeight="15" x14ac:dyDescent="0.25"/>
  <sheetData>
    <row r="1" spans="1:58" x14ac:dyDescent="0.25">
      <c r="A1" t="s">
        <v>0</v>
      </c>
      <c r="B1" t="s">
        <v>1</v>
      </c>
      <c r="C1" t="s">
        <v>2</v>
      </c>
      <c r="D1" t="s">
        <v>3</v>
      </c>
      <c r="E1" t="s">
        <v>4</v>
      </c>
      <c r="F1" t="s">
        <v>5</v>
      </c>
      <c r="G1" t="s">
        <v>6</v>
      </c>
      <c r="H1" t="s">
        <v>7</v>
      </c>
      <c r="I1" t="s">
        <v>8</v>
      </c>
      <c r="J1" t="s">
        <v>9</v>
      </c>
      <c r="K1" t="s">
        <v>10</v>
      </c>
      <c r="L1" t="s">
        <v>11</v>
      </c>
      <c r="M1" t="s">
        <v>12</v>
      </c>
      <c r="N1" t="s">
        <v>13</v>
      </c>
      <c r="O1" t="s">
        <v>46</v>
      </c>
      <c r="P1" t="s">
        <v>14</v>
      </c>
      <c r="Q1" t="s">
        <v>15</v>
      </c>
      <c r="R1" t="s">
        <v>16</v>
      </c>
      <c r="S1" t="s">
        <v>17</v>
      </c>
      <c r="T1" t="s">
        <v>18</v>
      </c>
      <c r="U1" t="s">
        <v>19</v>
      </c>
      <c r="V1" t="s">
        <v>20</v>
      </c>
      <c r="W1" t="s">
        <v>21</v>
      </c>
      <c r="X1" t="s">
        <v>22</v>
      </c>
      <c r="Y1" t="s">
        <v>23</v>
      </c>
      <c r="Z1" t="s">
        <v>24</v>
      </c>
      <c r="AA1" t="s">
        <v>25</v>
      </c>
      <c r="AB1" t="s">
        <v>47</v>
      </c>
      <c r="AC1" t="s">
        <v>26</v>
      </c>
      <c r="AD1" t="s">
        <v>27</v>
      </c>
      <c r="AF1" t="s">
        <v>3</v>
      </c>
      <c r="AG1" t="s">
        <v>4</v>
      </c>
      <c r="AH1" t="s">
        <v>5</v>
      </c>
      <c r="AI1" t="s">
        <v>6</v>
      </c>
      <c r="AJ1" t="s">
        <v>7</v>
      </c>
      <c r="AK1" t="s">
        <v>8</v>
      </c>
      <c r="AL1" t="s">
        <v>9</v>
      </c>
      <c r="AM1" t="s">
        <v>10</v>
      </c>
      <c r="AN1" t="s">
        <v>11</v>
      </c>
      <c r="AO1" t="s">
        <v>12</v>
      </c>
      <c r="AP1" t="s">
        <v>13</v>
      </c>
      <c r="AQ1" t="s">
        <v>46</v>
      </c>
      <c r="AR1" t="s">
        <v>14</v>
      </c>
      <c r="AS1" t="s">
        <v>15</v>
      </c>
      <c r="AT1" t="s">
        <v>16</v>
      </c>
      <c r="AU1" t="s">
        <v>17</v>
      </c>
      <c r="AV1" t="s">
        <v>18</v>
      </c>
      <c r="AW1" t="s">
        <v>19</v>
      </c>
      <c r="AX1" t="s">
        <v>20</v>
      </c>
      <c r="AY1" t="s">
        <v>21</v>
      </c>
      <c r="AZ1" t="s">
        <v>22</v>
      </c>
      <c r="BA1" t="s">
        <v>23</v>
      </c>
      <c r="BB1" t="s">
        <v>24</v>
      </c>
      <c r="BC1" t="s">
        <v>25</v>
      </c>
      <c r="BD1" t="s">
        <v>47</v>
      </c>
      <c r="BE1" t="s">
        <v>26</v>
      </c>
      <c r="BF1" t="s">
        <v>27</v>
      </c>
    </row>
    <row r="2" spans="1:58" x14ac:dyDescent="0.25">
      <c r="A2" t="s">
        <v>28</v>
      </c>
      <c r="B2">
        <v>2013</v>
      </c>
      <c r="C2" t="s">
        <v>29</v>
      </c>
      <c r="D2">
        <v>107.5</v>
      </c>
      <c r="E2">
        <v>106.3</v>
      </c>
      <c r="F2">
        <v>108.1</v>
      </c>
      <c r="G2">
        <v>104.9</v>
      </c>
      <c r="H2">
        <v>106.1</v>
      </c>
      <c r="I2">
        <v>103.9</v>
      </c>
      <c r="J2">
        <v>101.9</v>
      </c>
      <c r="K2">
        <v>106.1</v>
      </c>
      <c r="L2">
        <v>106.8</v>
      </c>
      <c r="M2">
        <v>103.1</v>
      </c>
      <c r="N2">
        <v>104.8</v>
      </c>
      <c r="O2">
        <v>106.7</v>
      </c>
      <c r="P2">
        <v>105.5</v>
      </c>
      <c r="Q2">
        <v>105.1</v>
      </c>
      <c r="R2">
        <v>106.5</v>
      </c>
      <c r="S2">
        <v>105.8</v>
      </c>
      <c r="T2">
        <v>106.4</v>
      </c>
      <c r="V2">
        <v>105.5</v>
      </c>
      <c r="W2">
        <v>104.8</v>
      </c>
      <c r="X2">
        <v>104</v>
      </c>
      <c r="Y2">
        <v>103.3</v>
      </c>
      <c r="Z2">
        <v>103.4</v>
      </c>
      <c r="AA2">
        <v>103.8</v>
      </c>
      <c r="AB2">
        <v>104.7</v>
      </c>
      <c r="AC2">
        <v>104</v>
      </c>
      <c r="AD2">
        <v>105.1</v>
      </c>
    </row>
    <row r="3" spans="1:58" x14ac:dyDescent="0.25">
      <c r="A3" t="s">
        <v>30</v>
      </c>
      <c r="B3">
        <v>2013</v>
      </c>
      <c r="C3" t="s">
        <v>29</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F3" s="51" t="s">
        <v>56</v>
      </c>
      <c r="AG3" s="51"/>
      <c r="AH3" s="51"/>
      <c r="AI3" s="51"/>
      <c r="AJ3" s="51"/>
      <c r="AK3" s="51"/>
      <c r="AL3" s="51"/>
    </row>
    <row r="4" spans="1:58" x14ac:dyDescent="0.25">
      <c r="A4" t="s">
        <v>31</v>
      </c>
      <c r="B4">
        <v>2013</v>
      </c>
      <c r="C4" t="s">
        <v>29</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58" x14ac:dyDescent="0.25">
      <c r="A5" t="s">
        <v>28</v>
      </c>
      <c r="B5">
        <v>2013</v>
      </c>
      <c r="C5" t="s">
        <v>32</v>
      </c>
      <c r="D5">
        <v>109.2</v>
      </c>
      <c r="E5">
        <v>108.7</v>
      </c>
      <c r="F5">
        <v>110.2</v>
      </c>
      <c r="G5">
        <v>105.4</v>
      </c>
      <c r="H5">
        <v>106.7</v>
      </c>
      <c r="I5">
        <v>104</v>
      </c>
      <c r="J5">
        <v>102.4</v>
      </c>
      <c r="K5">
        <v>105.9</v>
      </c>
      <c r="L5">
        <v>105.7</v>
      </c>
      <c r="M5">
        <v>103.1</v>
      </c>
      <c r="N5">
        <v>105.1</v>
      </c>
      <c r="O5">
        <v>107.7</v>
      </c>
      <c r="P5">
        <v>106.3</v>
      </c>
      <c r="Q5">
        <v>105.6</v>
      </c>
      <c r="R5">
        <v>107.1</v>
      </c>
      <c r="S5">
        <v>106.3</v>
      </c>
      <c r="T5">
        <v>107</v>
      </c>
      <c r="V5">
        <v>106.2</v>
      </c>
      <c r="W5">
        <v>105.2</v>
      </c>
      <c r="X5">
        <v>104.4</v>
      </c>
      <c r="Y5">
        <v>103.9</v>
      </c>
      <c r="Z5">
        <v>104</v>
      </c>
      <c r="AA5">
        <v>104.1</v>
      </c>
      <c r="AB5">
        <v>104.6</v>
      </c>
      <c r="AC5">
        <v>104.4</v>
      </c>
      <c r="AD5">
        <v>105.8</v>
      </c>
    </row>
    <row r="6" spans="1:58" x14ac:dyDescent="0.25">
      <c r="A6" t="s">
        <v>30</v>
      </c>
      <c r="B6">
        <v>2013</v>
      </c>
      <c r="C6" t="s">
        <v>32</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58" x14ac:dyDescent="0.25">
      <c r="A7" t="s">
        <v>31</v>
      </c>
      <c r="B7">
        <v>2013</v>
      </c>
      <c r="C7" t="s">
        <v>32</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58" x14ac:dyDescent="0.25">
      <c r="A8" t="s">
        <v>28</v>
      </c>
      <c r="B8">
        <v>2013</v>
      </c>
      <c r="C8" t="s">
        <v>33</v>
      </c>
      <c r="D8">
        <v>110.2</v>
      </c>
      <c r="E8">
        <v>108.8</v>
      </c>
      <c r="F8">
        <v>109.9</v>
      </c>
      <c r="G8">
        <v>105.6</v>
      </c>
      <c r="H8">
        <v>106.2</v>
      </c>
      <c r="I8">
        <v>105.7</v>
      </c>
      <c r="J8">
        <v>101.4</v>
      </c>
      <c r="K8">
        <v>105.7</v>
      </c>
      <c r="L8">
        <v>105</v>
      </c>
      <c r="M8">
        <v>103.3</v>
      </c>
      <c r="N8">
        <v>105.6</v>
      </c>
      <c r="O8">
        <v>108.2</v>
      </c>
      <c r="P8">
        <v>106.6</v>
      </c>
      <c r="Q8">
        <v>106.5</v>
      </c>
      <c r="R8">
        <v>107.6</v>
      </c>
      <c r="S8">
        <v>106.8</v>
      </c>
      <c r="T8">
        <v>107.5</v>
      </c>
      <c r="V8">
        <v>106.1</v>
      </c>
      <c r="W8">
        <v>105.6</v>
      </c>
      <c r="X8">
        <v>104.7</v>
      </c>
      <c r="Y8">
        <v>104.6</v>
      </c>
      <c r="Z8">
        <v>104</v>
      </c>
      <c r="AA8">
        <v>104.3</v>
      </c>
      <c r="AB8">
        <v>104.3</v>
      </c>
      <c r="AC8">
        <v>104.6</v>
      </c>
      <c r="AD8">
        <v>106</v>
      </c>
    </row>
    <row r="9" spans="1:58" x14ac:dyDescent="0.25">
      <c r="A9" t="s">
        <v>30</v>
      </c>
      <c r="B9">
        <v>2013</v>
      </c>
      <c r="C9" t="s">
        <v>33</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58" x14ac:dyDescent="0.25">
      <c r="A10" t="s">
        <v>31</v>
      </c>
      <c r="B10">
        <v>2013</v>
      </c>
      <c r="C10" t="s">
        <v>33</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58" x14ac:dyDescent="0.25">
      <c r="A11" t="s">
        <v>28</v>
      </c>
      <c r="B11">
        <v>2013</v>
      </c>
      <c r="C11" t="s">
        <v>34</v>
      </c>
      <c r="D11">
        <v>110.2</v>
      </c>
      <c r="E11">
        <v>109.5</v>
      </c>
      <c r="F11">
        <v>106.9</v>
      </c>
      <c r="G11">
        <v>106.3</v>
      </c>
      <c r="H11">
        <v>105.7</v>
      </c>
      <c r="I11">
        <v>108.3</v>
      </c>
      <c r="J11">
        <v>103.4</v>
      </c>
      <c r="K11">
        <v>105.7</v>
      </c>
      <c r="L11">
        <v>104.2</v>
      </c>
      <c r="M11">
        <v>103.2</v>
      </c>
      <c r="N11">
        <v>106.5</v>
      </c>
      <c r="O11">
        <v>108.8</v>
      </c>
      <c r="P11">
        <v>107.1</v>
      </c>
      <c r="Q11">
        <v>107.1</v>
      </c>
      <c r="R11">
        <v>108.1</v>
      </c>
      <c r="S11">
        <v>107.4</v>
      </c>
      <c r="T11">
        <v>108</v>
      </c>
      <c r="V11">
        <v>106.5</v>
      </c>
      <c r="W11">
        <v>106.1</v>
      </c>
      <c r="X11">
        <v>105.1</v>
      </c>
      <c r="Y11">
        <v>104.4</v>
      </c>
      <c r="Z11">
        <v>104.5</v>
      </c>
      <c r="AA11">
        <v>104.8</v>
      </c>
      <c r="AB11">
        <v>102.7</v>
      </c>
      <c r="AC11">
        <v>104.6</v>
      </c>
      <c r="AD11">
        <v>106.4</v>
      </c>
    </row>
    <row r="12" spans="1:58" x14ac:dyDescent="0.25">
      <c r="A12" t="s">
        <v>30</v>
      </c>
      <c r="B12">
        <v>2013</v>
      </c>
      <c r="C12" t="s">
        <v>34</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58" x14ac:dyDescent="0.25">
      <c r="A13" t="s">
        <v>31</v>
      </c>
      <c r="B13">
        <v>2013</v>
      </c>
      <c r="C13" t="s">
        <v>34</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58" x14ac:dyDescent="0.25">
      <c r="A14" t="s">
        <v>28</v>
      </c>
      <c r="B14">
        <v>2013</v>
      </c>
      <c r="C14" t="s">
        <v>35</v>
      </c>
      <c r="D14">
        <v>110.9</v>
      </c>
      <c r="E14">
        <v>109.8</v>
      </c>
      <c r="F14">
        <v>105.9</v>
      </c>
      <c r="G14">
        <v>107.5</v>
      </c>
      <c r="H14">
        <v>105.3</v>
      </c>
      <c r="I14">
        <v>108.1</v>
      </c>
      <c r="J14">
        <v>107.3</v>
      </c>
      <c r="K14">
        <v>106.1</v>
      </c>
      <c r="L14">
        <v>103.7</v>
      </c>
      <c r="M14">
        <v>104</v>
      </c>
      <c r="N14">
        <v>107.4</v>
      </c>
      <c r="O14">
        <v>109.9</v>
      </c>
      <c r="P14">
        <v>108.1</v>
      </c>
      <c r="Q14">
        <v>108.1</v>
      </c>
      <c r="R14">
        <v>108.8</v>
      </c>
      <c r="S14">
        <v>107.9</v>
      </c>
      <c r="T14">
        <v>108.6</v>
      </c>
      <c r="V14">
        <v>107.5</v>
      </c>
      <c r="W14">
        <v>106.8</v>
      </c>
      <c r="X14">
        <v>105.7</v>
      </c>
      <c r="Y14">
        <v>104.1</v>
      </c>
      <c r="Z14">
        <v>105</v>
      </c>
      <c r="AA14">
        <v>105.5</v>
      </c>
      <c r="AB14">
        <v>102.1</v>
      </c>
      <c r="AC14">
        <v>104.8</v>
      </c>
      <c r="AD14">
        <v>107.2</v>
      </c>
    </row>
    <row r="15" spans="1:58" x14ac:dyDescent="0.25">
      <c r="A15" t="s">
        <v>30</v>
      </c>
      <c r="B15">
        <v>2013</v>
      </c>
      <c r="C15" t="s">
        <v>35</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58" x14ac:dyDescent="0.25">
      <c r="A16" t="s">
        <v>31</v>
      </c>
      <c r="B16">
        <v>2013</v>
      </c>
      <c r="C16" t="s">
        <v>35</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t="s">
        <v>28</v>
      </c>
      <c r="B17">
        <v>2013</v>
      </c>
      <c r="C17" t="s">
        <v>36</v>
      </c>
      <c r="D17">
        <v>112.3</v>
      </c>
      <c r="E17">
        <v>112.1</v>
      </c>
      <c r="F17">
        <v>108.1</v>
      </c>
      <c r="G17">
        <v>108.3</v>
      </c>
      <c r="H17">
        <v>105.9</v>
      </c>
      <c r="I17">
        <v>109.2</v>
      </c>
      <c r="J17">
        <v>118</v>
      </c>
      <c r="K17">
        <v>106.8</v>
      </c>
      <c r="L17">
        <v>104.1</v>
      </c>
      <c r="M17">
        <v>105.4</v>
      </c>
      <c r="N17">
        <v>108.2</v>
      </c>
      <c r="O17">
        <v>111</v>
      </c>
      <c r="P17">
        <v>110.6</v>
      </c>
      <c r="Q17">
        <v>109</v>
      </c>
      <c r="R17">
        <v>109.7</v>
      </c>
      <c r="S17">
        <v>108.8</v>
      </c>
      <c r="T17">
        <v>109.5</v>
      </c>
      <c r="V17">
        <v>108.5</v>
      </c>
      <c r="W17">
        <v>107.5</v>
      </c>
      <c r="X17">
        <v>106.3</v>
      </c>
      <c r="Y17">
        <v>105</v>
      </c>
      <c r="Z17">
        <v>105.6</v>
      </c>
      <c r="AA17">
        <v>106.5</v>
      </c>
      <c r="AB17">
        <v>102.5</v>
      </c>
      <c r="AC17">
        <v>105.5</v>
      </c>
      <c r="AD17">
        <v>108.9</v>
      </c>
    </row>
    <row r="18" spans="1:30" x14ac:dyDescent="0.25">
      <c r="A18" t="s">
        <v>30</v>
      </c>
      <c r="B18">
        <v>2013</v>
      </c>
      <c r="C18" t="s">
        <v>36</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5">
      <c r="A19" t="s">
        <v>31</v>
      </c>
      <c r="B19">
        <v>2013</v>
      </c>
      <c r="C19" t="s">
        <v>36</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t="s">
        <v>28</v>
      </c>
      <c r="B20">
        <v>2013</v>
      </c>
      <c r="C20" t="s">
        <v>37</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V20">
        <v>109.5</v>
      </c>
      <c r="W20">
        <v>108.3</v>
      </c>
      <c r="X20">
        <v>106.9</v>
      </c>
      <c r="Y20">
        <v>106.8</v>
      </c>
      <c r="Z20">
        <v>106.4</v>
      </c>
      <c r="AA20">
        <v>107.8</v>
      </c>
      <c r="AB20">
        <v>102.5</v>
      </c>
      <c r="AC20">
        <v>106.5</v>
      </c>
      <c r="AD20">
        <v>110.7</v>
      </c>
    </row>
    <row r="21" spans="1:30" x14ac:dyDescent="0.25">
      <c r="A21" t="s">
        <v>30</v>
      </c>
      <c r="B21">
        <v>2013</v>
      </c>
      <c r="C21" t="s">
        <v>37</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5">
      <c r="A22" t="s">
        <v>31</v>
      </c>
      <c r="B22">
        <v>2013</v>
      </c>
      <c r="C22" t="s">
        <v>37</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t="s">
        <v>28</v>
      </c>
      <c r="B23">
        <v>2013</v>
      </c>
      <c r="C23" t="s">
        <v>38</v>
      </c>
      <c r="D23">
        <v>114.3</v>
      </c>
      <c r="E23">
        <v>115.4</v>
      </c>
      <c r="F23">
        <v>111.1</v>
      </c>
      <c r="G23">
        <v>110</v>
      </c>
      <c r="H23">
        <v>106.4</v>
      </c>
      <c r="I23">
        <v>110.8</v>
      </c>
      <c r="J23">
        <v>138.9</v>
      </c>
      <c r="K23">
        <v>107.4</v>
      </c>
      <c r="L23">
        <v>104.1</v>
      </c>
      <c r="M23">
        <v>106.9</v>
      </c>
      <c r="N23">
        <v>109.7</v>
      </c>
      <c r="O23">
        <v>112.6</v>
      </c>
      <c r="P23">
        <v>114.9</v>
      </c>
      <c r="Q23">
        <v>110.7</v>
      </c>
      <c r="R23">
        <v>111.3</v>
      </c>
      <c r="S23">
        <v>110.2</v>
      </c>
      <c r="T23">
        <v>111.1</v>
      </c>
      <c r="V23">
        <v>109.9</v>
      </c>
      <c r="W23">
        <v>108.7</v>
      </c>
      <c r="X23">
        <v>107.5</v>
      </c>
      <c r="Y23">
        <v>107.8</v>
      </c>
      <c r="Z23">
        <v>106.8</v>
      </c>
      <c r="AA23">
        <v>108.7</v>
      </c>
      <c r="AB23">
        <v>105</v>
      </c>
      <c r="AC23">
        <v>107.5</v>
      </c>
      <c r="AD23">
        <v>112.1</v>
      </c>
    </row>
    <row r="24" spans="1:30" x14ac:dyDescent="0.25">
      <c r="A24" t="s">
        <v>30</v>
      </c>
      <c r="B24">
        <v>2013</v>
      </c>
      <c r="C24" t="s">
        <v>38</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5">
      <c r="A25" t="s">
        <v>31</v>
      </c>
      <c r="B25">
        <v>2013</v>
      </c>
      <c r="C25" t="s">
        <v>38</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t="s">
        <v>28</v>
      </c>
      <c r="B26">
        <v>2013</v>
      </c>
      <c r="C26" t="s">
        <v>39</v>
      </c>
      <c r="D26">
        <v>115.4</v>
      </c>
      <c r="E26">
        <v>115.7</v>
      </c>
      <c r="F26">
        <v>111.7</v>
      </c>
      <c r="G26">
        <v>111</v>
      </c>
      <c r="H26">
        <v>107.4</v>
      </c>
      <c r="I26">
        <v>110.9</v>
      </c>
      <c r="J26">
        <v>154</v>
      </c>
      <c r="K26">
        <v>108.1</v>
      </c>
      <c r="L26">
        <v>104.2</v>
      </c>
      <c r="M26">
        <v>107.9</v>
      </c>
      <c r="N26">
        <v>110.4</v>
      </c>
      <c r="O26">
        <v>114</v>
      </c>
      <c r="P26">
        <v>117.8</v>
      </c>
      <c r="Q26">
        <v>111.7</v>
      </c>
      <c r="R26">
        <v>112.7</v>
      </c>
      <c r="S26">
        <v>111.4</v>
      </c>
      <c r="T26">
        <v>112.5</v>
      </c>
      <c r="V26">
        <v>111.1</v>
      </c>
      <c r="W26">
        <v>109.6</v>
      </c>
      <c r="X26">
        <v>108.3</v>
      </c>
      <c r="Y26">
        <v>109.3</v>
      </c>
      <c r="Z26">
        <v>107.7</v>
      </c>
      <c r="AA26">
        <v>109.8</v>
      </c>
      <c r="AB26">
        <v>106.7</v>
      </c>
      <c r="AC26">
        <v>108.7</v>
      </c>
      <c r="AD26">
        <v>114.2</v>
      </c>
    </row>
    <row r="27" spans="1:30" x14ac:dyDescent="0.25">
      <c r="A27" t="s">
        <v>30</v>
      </c>
      <c r="B27">
        <v>2013</v>
      </c>
      <c r="C27" t="s">
        <v>39</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5">
      <c r="A28" t="s">
        <v>31</v>
      </c>
      <c r="B28">
        <v>2013</v>
      </c>
      <c r="C28" t="s">
        <v>39</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t="s">
        <v>28</v>
      </c>
      <c r="B29">
        <v>2013</v>
      </c>
      <c r="C29" t="s">
        <v>40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V29">
        <v>111.6</v>
      </c>
      <c r="W29">
        <v>110.4</v>
      </c>
      <c r="X29">
        <v>108.9</v>
      </c>
      <c r="Y29">
        <v>109.3</v>
      </c>
      <c r="Z29">
        <v>108.3</v>
      </c>
      <c r="AA29">
        <v>110.2</v>
      </c>
      <c r="AB29">
        <v>107.5</v>
      </c>
      <c r="AC29">
        <v>109.1</v>
      </c>
      <c r="AD29">
        <v>115.5</v>
      </c>
    </row>
    <row r="30" spans="1:30" x14ac:dyDescent="0.25">
      <c r="A30" t="s">
        <v>30</v>
      </c>
      <c r="B30">
        <v>2013</v>
      </c>
      <c r="C30" t="s">
        <v>40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5">
      <c r="A31" t="s">
        <v>31</v>
      </c>
      <c r="B31">
        <v>2013</v>
      </c>
      <c r="C31" t="s">
        <v>40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t="s">
        <v>28</v>
      </c>
      <c r="B32">
        <v>2013</v>
      </c>
      <c r="C32" t="s">
        <v>41</v>
      </c>
      <c r="D32">
        <v>117.3</v>
      </c>
      <c r="E32">
        <v>114.9</v>
      </c>
      <c r="F32">
        <v>116.2</v>
      </c>
      <c r="G32">
        <v>112.8</v>
      </c>
      <c r="H32">
        <v>108.9</v>
      </c>
      <c r="I32">
        <v>116.6</v>
      </c>
      <c r="J32">
        <v>178.1</v>
      </c>
      <c r="K32">
        <v>109.1</v>
      </c>
      <c r="L32">
        <v>103.6</v>
      </c>
      <c r="M32">
        <v>109</v>
      </c>
      <c r="N32">
        <v>111.8</v>
      </c>
      <c r="O32">
        <v>116</v>
      </c>
      <c r="P32">
        <v>122.5</v>
      </c>
      <c r="Q32">
        <v>112.8</v>
      </c>
      <c r="R32">
        <v>114.6</v>
      </c>
      <c r="S32">
        <v>113.1</v>
      </c>
      <c r="T32">
        <v>114.4</v>
      </c>
      <c r="V32">
        <v>112.6</v>
      </c>
      <c r="W32">
        <v>111.3</v>
      </c>
      <c r="X32">
        <v>109.7</v>
      </c>
      <c r="Y32">
        <v>109.6</v>
      </c>
      <c r="Z32">
        <v>108.7</v>
      </c>
      <c r="AA32">
        <v>111</v>
      </c>
      <c r="AB32">
        <v>108.2</v>
      </c>
      <c r="AC32">
        <v>109.8</v>
      </c>
      <c r="AD32">
        <v>117.4</v>
      </c>
    </row>
    <row r="33" spans="1:30" x14ac:dyDescent="0.25">
      <c r="A33" t="s">
        <v>30</v>
      </c>
      <c r="B33">
        <v>2013</v>
      </c>
      <c r="C33" t="s">
        <v>42</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5">
      <c r="A34" t="s">
        <v>31</v>
      </c>
      <c r="B34">
        <v>2013</v>
      </c>
      <c r="C34" t="s">
        <v>42</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t="s">
        <v>28</v>
      </c>
      <c r="B35">
        <v>2013</v>
      </c>
      <c r="C35" t="s">
        <v>43</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V35">
        <v>112.8</v>
      </c>
      <c r="W35">
        <v>112.1</v>
      </c>
      <c r="X35">
        <v>110.1</v>
      </c>
      <c r="Y35">
        <v>109.9</v>
      </c>
      <c r="Z35">
        <v>109.2</v>
      </c>
      <c r="AA35">
        <v>111.6</v>
      </c>
      <c r="AB35">
        <v>108.1</v>
      </c>
      <c r="AC35">
        <v>110.1</v>
      </c>
      <c r="AD35">
        <v>115.5</v>
      </c>
    </row>
    <row r="36" spans="1:30" x14ac:dyDescent="0.25">
      <c r="A36" t="s">
        <v>30</v>
      </c>
      <c r="B36">
        <v>2013</v>
      </c>
      <c r="C36" t="s">
        <v>43</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5">
      <c r="A37" t="s">
        <v>31</v>
      </c>
      <c r="B37">
        <v>2013</v>
      </c>
      <c r="C37" t="s">
        <v>43</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t="s">
        <v>28</v>
      </c>
      <c r="B38">
        <v>2014</v>
      </c>
      <c r="C38" t="s">
        <v>29</v>
      </c>
      <c r="D38">
        <v>118.9</v>
      </c>
      <c r="E38">
        <v>117.1</v>
      </c>
      <c r="F38">
        <v>120.5</v>
      </c>
      <c r="G38">
        <v>114.4</v>
      </c>
      <c r="H38">
        <v>109</v>
      </c>
      <c r="I38">
        <v>115.5</v>
      </c>
      <c r="J38">
        <v>123.9</v>
      </c>
      <c r="K38">
        <v>109.6</v>
      </c>
      <c r="L38">
        <v>101.8</v>
      </c>
      <c r="M38">
        <v>110.2</v>
      </c>
      <c r="N38">
        <v>112.4</v>
      </c>
      <c r="O38">
        <v>117.3</v>
      </c>
      <c r="P38">
        <v>116</v>
      </c>
      <c r="Q38">
        <v>114</v>
      </c>
      <c r="R38">
        <v>116.5</v>
      </c>
      <c r="S38">
        <v>114.5</v>
      </c>
      <c r="T38">
        <v>116.2</v>
      </c>
      <c r="V38">
        <v>113</v>
      </c>
      <c r="W38">
        <v>112.6</v>
      </c>
      <c r="X38">
        <v>110.6</v>
      </c>
      <c r="Y38">
        <v>110.5</v>
      </c>
      <c r="Z38">
        <v>109.6</v>
      </c>
      <c r="AA38">
        <v>111.8</v>
      </c>
      <c r="AB38">
        <v>108.3</v>
      </c>
      <c r="AC38">
        <v>110.6</v>
      </c>
      <c r="AD38">
        <v>114.2</v>
      </c>
    </row>
    <row r="39" spans="1:30" x14ac:dyDescent="0.25">
      <c r="A39" t="s">
        <v>30</v>
      </c>
      <c r="B39">
        <v>2014</v>
      </c>
      <c r="C39" t="s">
        <v>29</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5">
      <c r="A40" t="s">
        <v>31</v>
      </c>
      <c r="B40">
        <v>2014</v>
      </c>
      <c r="C40" t="s">
        <v>29</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t="s">
        <v>28</v>
      </c>
      <c r="B41">
        <v>2014</v>
      </c>
      <c r="C41" t="s">
        <v>32</v>
      </c>
      <c r="D41">
        <v>119.4</v>
      </c>
      <c r="E41">
        <v>117.7</v>
      </c>
      <c r="F41">
        <v>121.2</v>
      </c>
      <c r="G41">
        <v>115</v>
      </c>
      <c r="H41">
        <v>109</v>
      </c>
      <c r="I41">
        <v>116.6</v>
      </c>
      <c r="J41">
        <v>116</v>
      </c>
      <c r="K41">
        <v>109.8</v>
      </c>
      <c r="L41">
        <v>101.1</v>
      </c>
      <c r="M41">
        <v>110.4</v>
      </c>
      <c r="N41">
        <v>112.9</v>
      </c>
      <c r="O41">
        <v>117.8</v>
      </c>
      <c r="P41">
        <v>115.3</v>
      </c>
      <c r="Q41">
        <v>114.2</v>
      </c>
      <c r="R41">
        <v>117.1</v>
      </c>
      <c r="S41">
        <v>114.5</v>
      </c>
      <c r="T41">
        <v>116.7</v>
      </c>
      <c r="V41">
        <v>113.2</v>
      </c>
      <c r="W41">
        <v>112.9</v>
      </c>
      <c r="X41">
        <v>110.9</v>
      </c>
      <c r="Y41">
        <v>110.8</v>
      </c>
      <c r="Z41">
        <v>109.9</v>
      </c>
      <c r="AA41">
        <v>112</v>
      </c>
      <c r="AB41">
        <v>108.7</v>
      </c>
      <c r="AC41">
        <v>110.9</v>
      </c>
      <c r="AD41">
        <v>114</v>
      </c>
    </row>
    <row r="42" spans="1:30" x14ac:dyDescent="0.25">
      <c r="A42" t="s">
        <v>30</v>
      </c>
      <c r="B42">
        <v>2014</v>
      </c>
      <c r="C42" t="s">
        <v>32</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5">
      <c r="A43" t="s">
        <v>31</v>
      </c>
      <c r="B43">
        <v>2014</v>
      </c>
      <c r="C43" t="s">
        <v>32</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t="s">
        <v>28</v>
      </c>
      <c r="B44">
        <v>2014</v>
      </c>
      <c r="C44" t="s">
        <v>33</v>
      </c>
      <c r="D44">
        <v>120.1</v>
      </c>
      <c r="E44">
        <v>118.1</v>
      </c>
      <c r="F44">
        <v>120.7</v>
      </c>
      <c r="G44">
        <v>116.1</v>
      </c>
      <c r="H44">
        <v>109.3</v>
      </c>
      <c r="I44">
        <v>119.6</v>
      </c>
      <c r="J44">
        <v>117.9</v>
      </c>
      <c r="K44">
        <v>110.2</v>
      </c>
      <c r="L44">
        <v>101.2</v>
      </c>
      <c r="M44">
        <v>110.7</v>
      </c>
      <c r="N44">
        <v>113</v>
      </c>
      <c r="O44">
        <v>118.3</v>
      </c>
      <c r="P44">
        <v>116.2</v>
      </c>
      <c r="Q44">
        <v>114.6</v>
      </c>
      <c r="R44">
        <v>117.5</v>
      </c>
      <c r="S44">
        <v>114.9</v>
      </c>
      <c r="T44">
        <v>117.2</v>
      </c>
      <c r="V44">
        <v>113.4</v>
      </c>
      <c r="W44">
        <v>113.4</v>
      </c>
      <c r="X44">
        <v>111.4</v>
      </c>
      <c r="Y44">
        <v>111.2</v>
      </c>
      <c r="Z44">
        <v>110.2</v>
      </c>
      <c r="AA44">
        <v>112.4</v>
      </c>
      <c r="AB44">
        <v>108.9</v>
      </c>
      <c r="AC44">
        <v>111.3</v>
      </c>
      <c r="AD44">
        <v>114.6</v>
      </c>
    </row>
    <row r="45" spans="1:30" x14ac:dyDescent="0.25">
      <c r="A45" t="s">
        <v>30</v>
      </c>
      <c r="B45">
        <v>2014</v>
      </c>
      <c r="C45" t="s">
        <v>33</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5">
      <c r="A46" t="s">
        <v>31</v>
      </c>
      <c r="B46">
        <v>2014</v>
      </c>
      <c r="C46" t="s">
        <v>44</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t="s">
        <v>28</v>
      </c>
      <c r="B47">
        <v>2014</v>
      </c>
      <c r="C47" t="s">
        <v>34</v>
      </c>
      <c r="D47">
        <v>120.2</v>
      </c>
      <c r="E47">
        <v>118.9</v>
      </c>
      <c r="F47">
        <v>118.1</v>
      </c>
      <c r="G47">
        <v>117</v>
      </c>
      <c r="H47">
        <v>109.7</v>
      </c>
      <c r="I47">
        <v>125.5</v>
      </c>
      <c r="J47">
        <v>120.5</v>
      </c>
      <c r="K47">
        <v>111</v>
      </c>
      <c r="L47">
        <v>102.6</v>
      </c>
      <c r="M47">
        <v>111.2</v>
      </c>
      <c r="N47">
        <v>113.5</v>
      </c>
      <c r="O47">
        <v>118.7</v>
      </c>
      <c r="P47">
        <v>117.2</v>
      </c>
      <c r="Q47">
        <v>115.4</v>
      </c>
      <c r="R47">
        <v>118.1</v>
      </c>
      <c r="S47">
        <v>116.1</v>
      </c>
      <c r="T47">
        <v>117.8</v>
      </c>
      <c r="V47">
        <v>113.4</v>
      </c>
      <c r="W47">
        <v>113.7</v>
      </c>
      <c r="X47">
        <v>111.8</v>
      </c>
      <c r="Y47">
        <v>111.2</v>
      </c>
      <c r="Z47">
        <v>110.5</v>
      </c>
      <c r="AA47">
        <v>113</v>
      </c>
      <c r="AB47">
        <v>108.9</v>
      </c>
      <c r="AC47">
        <v>111.5</v>
      </c>
      <c r="AD47">
        <v>115.4</v>
      </c>
    </row>
    <row r="48" spans="1:30" x14ac:dyDescent="0.25">
      <c r="A48" t="s">
        <v>30</v>
      </c>
      <c r="B48">
        <v>2014</v>
      </c>
      <c r="C48" t="s">
        <v>34</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5">
      <c r="A49" t="s">
        <v>31</v>
      </c>
      <c r="B49">
        <v>2014</v>
      </c>
      <c r="C49" t="s">
        <v>34</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t="s">
        <v>28</v>
      </c>
      <c r="B50">
        <v>2014</v>
      </c>
      <c r="C50" t="s">
        <v>35</v>
      </c>
      <c r="D50">
        <v>120.3</v>
      </c>
      <c r="E50">
        <v>120.2</v>
      </c>
      <c r="F50">
        <v>116.9</v>
      </c>
      <c r="G50">
        <v>118</v>
      </c>
      <c r="H50">
        <v>110.1</v>
      </c>
      <c r="I50">
        <v>126.3</v>
      </c>
      <c r="J50">
        <v>123.9</v>
      </c>
      <c r="K50">
        <v>111.5</v>
      </c>
      <c r="L50">
        <v>103.5</v>
      </c>
      <c r="M50">
        <v>111.6</v>
      </c>
      <c r="N50">
        <v>114.2</v>
      </c>
      <c r="O50">
        <v>119.2</v>
      </c>
      <c r="P50">
        <v>118.2</v>
      </c>
      <c r="Q50">
        <v>116.3</v>
      </c>
      <c r="R50">
        <v>118.7</v>
      </c>
      <c r="S50">
        <v>116.8</v>
      </c>
      <c r="T50">
        <v>118.5</v>
      </c>
      <c r="V50">
        <v>113.4</v>
      </c>
      <c r="W50">
        <v>114.1</v>
      </c>
      <c r="X50">
        <v>112.1</v>
      </c>
      <c r="Y50">
        <v>111.4</v>
      </c>
      <c r="Z50">
        <v>110.9</v>
      </c>
      <c r="AA50">
        <v>113.1</v>
      </c>
      <c r="AB50">
        <v>108.9</v>
      </c>
      <c r="AC50">
        <v>111.8</v>
      </c>
      <c r="AD50">
        <v>116</v>
      </c>
    </row>
    <row r="51" spans="1:30" x14ac:dyDescent="0.25">
      <c r="A51" t="s">
        <v>30</v>
      </c>
      <c r="B51">
        <v>2014</v>
      </c>
      <c r="C51" t="s">
        <v>35</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5">
      <c r="A52" t="s">
        <v>31</v>
      </c>
      <c r="B52">
        <v>2014</v>
      </c>
      <c r="C52" t="s">
        <v>35</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t="s">
        <v>28</v>
      </c>
      <c r="B53">
        <v>2014</v>
      </c>
      <c r="C53" t="s">
        <v>36</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V53">
        <v>114.4</v>
      </c>
      <c r="W53">
        <v>114.9</v>
      </c>
      <c r="X53">
        <v>112.8</v>
      </c>
      <c r="Y53">
        <v>112.2</v>
      </c>
      <c r="Z53">
        <v>111.4</v>
      </c>
      <c r="AA53">
        <v>114.3</v>
      </c>
      <c r="AB53">
        <v>108</v>
      </c>
      <c r="AC53">
        <v>112.3</v>
      </c>
      <c r="AD53">
        <v>117</v>
      </c>
    </row>
    <row r="54" spans="1:30" x14ac:dyDescent="0.25">
      <c r="A54" t="s">
        <v>30</v>
      </c>
      <c r="B54">
        <v>2014</v>
      </c>
      <c r="C54" t="s">
        <v>36</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5">
      <c r="A55" t="s">
        <v>31</v>
      </c>
      <c r="B55">
        <v>2014</v>
      </c>
      <c r="C55" t="s">
        <v>36</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t="s">
        <v>28</v>
      </c>
      <c r="B56">
        <v>2014</v>
      </c>
      <c r="C56" t="s">
        <v>37</v>
      </c>
      <c r="D56">
        <v>121.7</v>
      </c>
      <c r="E56">
        <v>122.5</v>
      </c>
      <c r="F56">
        <v>117.7</v>
      </c>
      <c r="G56">
        <v>120.6</v>
      </c>
      <c r="H56">
        <v>110.4</v>
      </c>
      <c r="I56">
        <v>129.1</v>
      </c>
      <c r="J56">
        <v>150.1</v>
      </c>
      <c r="K56">
        <v>113.2</v>
      </c>
      <c r="L56">
        <v>104.8</v>
      </c>
      <c r="M56">
        <v>113.3</v>
      </c>
      <c r="N56">
        <v>115.6</v>
      </c>
      <c r="O56">
        <v>120.9</v>
      </c>
      <c r="P56">
        <v>123.3</v>
      </c>
      <c r="Q56">
        <v>118</v>
      </c>
      <c r="R56">
        <v>120.7</v>
      </c>
      <c r="S56">
        <v>118.3</v>
      </c>
      <c r="T56">
        <v>120.3</v>
      </c>
      <c r="V56">
        <v>115.3</v>
      </c>
      <c r="W56">
        <v>115.4</v>
      </c>
      <c r="X56">
        <v>113.4</v>
      </c>
      <c r="Y56">
        <v>113.2</v>
      </c>
      <c r="Z56">
        <v>111.8</v>
      </c>
      <c r="AA56">
        <v>115.5</v>
      </c>
      <c r="AB56">
        <v>108.8</v>
      </c>
      <c r="AC56">
        <v>113.1</v>
      </c>
      <c r="AD56">
        <v>119.5</v>
      </c>
    </row>
    <row r="57" spans="1:30" x14ac:dyDescent="0.25">
      <c r="A57" t="s">
        <v>30</v>
      </c>
      <c r="B57">
        <v>2014</v>
      </c>
      <c r="C57" t="s">
        <v>37</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5">
      <c r="A58" t="s">
        <v>31</v>
      </c>
      <c r="B58">
        <v>2014</v>
      </c>
      <c r="C58" t="s">
        <v>37</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t="s">
        <v>28</v>
      </c>
      <c r="B59">
        <v>2014</v>
      </c>
      <c r="C59" t="s">
        <v>38</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V59">
        <v>115.4</v>
      </c>
      <c r="W59">
        <v>115.9</v>
      </c>
      <c r="X59">
        <v>114</v>
      </c>
      <c r="Y59">
        <v>113.2</v>
      </c>
      <c r="Z59">
        <v>112.2</v>
      </c>
      <c r="AA59">
        <v>116.2</v>
      </c>
      <c r="AB59">
        <v>109.4</v>
      </c>
      <c r="AC59">
        <v>113.5</v>
      </c>
      <c r="AD59">
        <v>120.7</v>
      </c>
    </row>
    <row r="60" spans="1:30" x14ac:dyDescent="0.25">
      <c r="A60" t="s">
        <v>30</v>
      </c>
      <c r="B60">
        <v>2014</v>
      </c>
      <c r="C60" t="s">
        <v>38</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5">
      <c r="A61" t="s">
        <v>31</v>
      </c>
      <c r="B61">
        <v>2014</v>
      </c>
      <c r="C61" t="s">
        <v>38</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t="s">
        <v>28</v>
      </c>
      <c r="B62">
        <v>2014</v>
      </c>
      <c r="C62" t="s">
        <v>39</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V62">
        <v>115.8</v>
      </c>
      <c r="W62">
        <v>116.7</v>
      </c>
      <c r="X62">
        <v>114.5</v>
      </c>
      <c r="Y62">
        <v>112.8</v>
      </c>
      <c r="Z62">
        <v>112.6</v>
      </c>
      <c r="AA62">
        <v>116.6</v>
      </c>
      <c r="AB62">
        <v>109.1</v>
      </c>
      <c r="AC62">
        <v>113.7</v>
      </c>
      <c r="AD62">
        <v>120.9</v>
      </c>
    </row>
    <row r="63" spans="1:30" x14ac:dyDescent="0.25">
      <c r="A63" t="s">
        <v>30</v>
      </c>
      <c r="B63">
        <v>2014</v>
      </c>
      <c r="C63" t="s">
        <v>39</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5">
      <c r="A64" t="s">
        <v>31</v>
      </c>
      <c r="B64">
        <v>2014</v>
      </c>
      <c r="C64" t="s">
        <v>39</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t="s">
        <v>28</v>
      </c>
      <c r="B65">
        <v>2014</v>
      </c>
      <c r="C65" t="s">
        <v>40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V65">
        <v>116.4</v>
      </c>
      <c r="W65">
        <v>117.5</v>
      </c>
      <c r="X65">
        <v>115.3</v>
      </c>
      <c r="Y65">
        <v>112.6</v>
      </c>
      <c r="Z65">
        <v>113</v>
      </c>
      <c r="AA65">
        <v>116.9</v>
      </c>
      <c r="AB65">
        <v>109.3</v>
      </c>
      <c r="AC65">
        <v>114</v>
      </c>
      <c r="AD65">
        <v>121</v>
      </c>
    </row>
    <row r="66" spans="1:30" x14ac:dyDescent="0.25">
      <c r="A66" t="s">
        <v>30</v>
      </c>
      <c r="B66">
        <v>2014</v>
      </c>
      <c r="C66" t="s">
        <v>40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5">
      <c r="A67" t="s">
        <v>31</v>
      </c>
      <c r="B67">
        <v>2014</v>
      </c>
      <c r="C67" t="s">
        <v>40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t="s">
        <v>28</v>
      </c>
      <c r="B68">
        <v>2014</v>
      </c>
      <c r="C68" t="s">
        <v>42</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V68">
        <v>117.3</v>
      </c>
      <c r="W68">
        <v>118.1</v>
      </c>
      <c r="X68">
        <v>115.9</v>
      </c>
      <c r="Y68">
        <v>112</v>
      </c>
      <c r="Z68">
        <v>113.3</v>
      </c>
      <c r="AA68">
        <v>117.2</v>
      </c>
      <c r="AB68">
        <v>108.8</v>
      </c>
      <c r="AC68">
        <v>114.1</v>
      </c>
      <c r="AD68">
        <v>121.1</v>
      </c>
    </row>
    <row r="69" spans="1:30" x14ac:dyDescent="0.25">
      <c r="A69" t="s">
        <v>30</v>
      </c>
      <c r="B69">
        <v>2014</v>
      </c>
      <c r="C69" t="s">
        <v>42</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5">
      <c r="A70" t="s">
        <v>31</v>
      </c>
      <c r="B70">
        <v>2014</v>
      </c>
      <c r="C70" t="s">
        <v>42</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t="s">
        <v>28</v>
      </c>
      <c r="B71">
        <v>2014</v>
      </c>
      <c r="C71" t="s">
        <v>43</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V71">
        <v>117.4</v>
      </c>
      <c r="W71">
        <v>118.2</v>
      </c>
      <c r="X71">
        <v>116.2</v>
      </c>
      <c r="Y71">
        <v>111.5</v>
      </c>
      <c r="Z71">
        <v>113.3</v>
      </c>
      <c r="AA71">
        <v>117.7</v>
      </c>
      <c r="AB71">
        <v>109.4</v>
      </c>
      <c r="AC71">
        <v>114.2</v>
      </c>
      <c r="AD71">
        <v>120.3</v>
      </c>
    </row>
    <row r="72" spans="1:30" x14ac:dyDescent="0.25">
      <c r="A72" t="s">
        <v>30</v>
      </c>
      <c r="B72">
        <v>2014</v>
      </c>
      <c r="C72" t="s">
        <v>43</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5">
      <c r="A73" t="s">
        <v>31</v>
      </c>
      <c r="B73">
        <v>2014</v>
      </c>
      <c r="C73" t="s">
        <v>43</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t="s">
        <v>28</v>
      </c>
      <c r="B74">
        <v>2015</v>
      </c>
      <c r="C74" t="s">
        <v>29</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V74">
        <v>118.4</v>
      </c>
      <c r="W74">
        <v>118.9</v>
      </c>
      <c r="X74">
        <v>116.6</v>
      </c>
      <c r="Y74">
        <v>111</v>
      </c>
      <c r="Z74">
        <v>114</v>
      </c>
      <c r="AA74">
        <v>118.2</v>
      </c>
      <c r="AB74">
        <v>110.2</v>
      </c>
      <c r="AC74">
        <v>114.5</v>
      </c>
      <c r="AD74">
        <v>120.3</v>
      </c>
    </row>
    <row r="75" spans="1:30" x14ac:dyDescent="0.25">
      <c r="A75" t="s">
        <v>30</v>
      </c>
      <c r="B75">
        <v>2015</v>
      </c>
      <c r="C75" t="s">
        <v>29</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5">
      <c r="A76" t="s">
        <v>31</v>
      </c>
      <c r="B76">
        <v>2015</v>
      </c>
      <c r="C76" t="s">
        <v>29</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t="s">
        <v>28</v>
      </c>
      <c r="B77">
        <v>2015</v>
      </c>
      <c r="C77" t="s">
        <v>32</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V77">
        <v>120</v>
      </c>
      <c r="W77">
        <v>119.6</v>
      </c>
      <c r="X77">
        <v>117.7</v>
      </c>
      <c r="Y77">
        <v>110.9</v>
      </c>
      <c r="Z77">
        <v>114.8</v>
      </c>
      <c r="AA77">
        <v>118.7</v>
      </c>
      <c r="AB77">
        <v>110.8</v>
      </c>
      <c r="AC77">
        <v>115</v>
      </c>
      <c r="AD77">
        <v>120.6</v>
      </c>
    </row>
    <row r="78" spans="1:30" x14ac:dyDescent="0.25">
      <c r="A78" t="s">
        <v>30</v>
      </c>
      <c r="B78">
        <v>2015</v>
      </c>
      <c r="C78" t="s">
        <v>32</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5">
      <c r="A79" t="s">
        <v>31</v>
      </c>
      <c r="B79">
        <v>2015</v>
      </c>
      <c r="C79" t="s">
        <v>32</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t="s">
        <v>28</v>
      </c>
      <c r="B80">
        <v>2015</v>
      </c>
      <c r="C80" t="s">
        <v>33</v>
      </c>
      <c r="D80">
        <v>123.3</v>
      </c>
      <c r="E80">
        <v>124.7</v>
      </c>
      <c r="F80">
        <v>118.9</v>
      </c>
      <c r="G80">
        <v>126</v>
      </c>
      <c r="H80">
        <v>111.8</v>
      </c>
      <c r="I80">
        <v>130.9</v>
      </c>
      <c r="J80">
        <v>128</v>
      </c>
      <c r="K80">
        <v>119.9</v>
      </c>
      <c r="L80">
        <v>98.9</v>
      </c>
      <c r="M80">
        <v>119.4</v>
      </c>
      <c r="N80">
        <v>118.9</v>
      </c>
      <c r="O80">
        <v>127.7</v>
      </c>
      <c r="P80">
        <v>123.1</v>
      </c>
      <c r="Q80">
        <v>124.7</v>
      </c>
      <c r="R80">
        <v>126</v>
      </c>
      <c r="S80">
        <v>122.9</v>
      </c>
      <c r="T80">
        <v>125.5</v>
      </c>
      <c r="V80">
        <v>120.6</v>
      </c>
      <c r="W80">
        <v>120.2</v>
      </c>
      <c r="X80">
        <v>118.2</v>
      </c>
      <c r="Y80">
        <v>111.6</v>
      </c>
      <c r="Z80">
        <v>115.5</v>
      </c>
      <c r="AA80">
        <v>119.4</v>
      </c>
      <c r="AB80">
        <v>110.8</v>
      </c>
      <c r="AC80">
        <v>115.5</v>
      </c>
      <c r="AD80">
        <v>121.1</v>
      </c>
    </row>
    <row r="81" spans="1:30" x14ac:dyDescent="0.25">
      <c r="A81" t="s">
        <v>30</v>
      </c>
      <c r="B81">
        <v>2015</v>
      </c>
      <c r="C81" t="s">
        <v>33</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5">
      <c r="A82" t="s">
        <v>31</v>
      </c>
      <c r="B82">
        <v>2015</v>
      </c>
      <c r="C82" t="s">
        <v>33</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t="s">
        <v>28</v>
      </c>
      <c r="B83">
        <v>2015</v>
      </c>
      <c r="C83" t="s">
        <v>34</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V83">
        <v>121.2</v>
      </c>
      <c r="W83">
        <v>120.9</v>
      </c>
      <c r="X83">
        <v>118.6</v>
      </c>
      <c r="Y83">
        <v>111.9</v>
      </c>
      <c r="Z83">
        <v>116.2</v>
      </c>
      <c r="AA83">
        <v>119.9</v>
      </c>
      <c r="AB83">
        <v>111.6</v>
      </c>
      <c r="AC83">
        <v>116</v>
      </c>
      <c r="AD83">
        <v>121.5</v>
      </c>
    </row>
    <row r="84" spans="1:30" x14ac:dyDescent="0.25">
      <c r="A84" t="s">
        <v>30</v>
      </c>
      <c r="B84">
        <v>2015</v>
      </c>
      <c r="C84" t="s">
        <v>34</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5">
      <c r="A85" t="s">
        <v>31</v>
      </c>
      <c r="B85">
        <v>2015</v>
      </c>
      <c r="C85" t="s">
        <v>34</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t="s">
        <v>28</v>
      </c>
      <c r="B86">
        <v>2015</v>
      </c>
      <c r="C86" t="s">
        <v>35</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V86">
        <v>121.9</v>
      </c>
      <c r="W86">
        <v>121.5</v>
      </c>
      <c r="X86">
        <v>119.4</v>
      </c>
      <c r="Y86">
        <v>113.3</v>
      </c>
      <c r="Z86">
        <v>116.7</v>
      </c>
      <c r="AA86">
        <v>120.5</v>
      </c>
      <c r="AB86">
        <v>112.3</v>
      </c>
      <c r="AC86">
        <v>116.9</v>
      </c>
      <c r="AD86">
        <v>122.4</v>
      </c>
    </row>
    <row r="87" spans="1:30" x14ac:dyDescent="0.25">
      <c r="A87" t="s">
        <v>30</v>
      </c>
      <c r="B87">
        <v>2015</v>
      </c>
      <c r="C87" t="s">
        <v>35</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5">
      <c r="A88" t="s">
        <v>31</v>
      </c>
      <c r="B88">
        <v>2015</v>
      </c>
      <c r="C88" t="s">
        <v>35</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t="s">
        <v>28</v>
      </c>
      <c r="B89">
        <v>2015</v>
      </c>
      <c r="C89" t="s">
        <v>36</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V89">
        <v>122.6</v>
      </c>
      <c r="W89">
        <v>122.8</v>
      </c>
      <c r="X89">
        <v>120.4</v>
      </c>
      <c r="Y89">
        <v>114.2</v>
      </c>
      <c r="Z89">
        <v>117.9</v>
      </c>
      <c r="AA89">
        <v>122</v>
      </c>
      <c r="AB89">
        <v>113</v>
      </c>
      <c r="AC89">
        <v>117.9</v>
      </c>
      <c r="AD89">
        <v>124.1</v>
      </c>
    </row>
    <row r="90" spans="1:30" x14ac:dyDescent="0.25">
      <c r="A90" t="s">
        <v>30</v>
      </c>
      <c r="B90">
        <v>2015</v>
      </c>
      <c r="C90" t="s">
        <v>36</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5">
      <c r="A91" t="s">
        <v>31</v>
      </c>
      <c r="B91">
        <v>2015</v>
      </c>
      <c r="C91" t="s">
        <v>36</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t="s">
        <v>28</v>
      </c>
      <c r="B92">
        <v>2015</v>
      </c>
      <c r="C92" t="s">
        <v>37</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V92">
        <v>123</v>
      </c>
      <c r="W92">
        <v>123</v>
      </c>
      <c r="X92">
        <v>120.8</v>
      </c>
      <c r="Y92">
        <v>114.1</v>
      </c>
      <c r="Z92">
        <v>118</v>
      </c>
      <c r="AA92">
        <v>122.9</v>
      </c>
      <c r="AB92">
        <v>112.7</v>
      </c>
      <c r="AC92">
        <v>118.1</v>
      </c>
      <c r="AD92">
        <v>124.7</v>
      </c>
    </row>
    <row r="93" spans="1:30" x14ac:dyDescent="0.25">
      <c r="A93" t="s">
        <v>30</v>
      </c>
      <c r="B93">
        <v>2015</v>
      </c>
      <c r="C93" t="s">
        <v>37</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5">
      <c r="A94" t="s">
        <v>31</v>
      </c>
      <c r="B94">
        <v>2015</v>
      </c>
      <c r="C94" t="s">
        <v>37</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t="s">
        <v>28</v>
      </c>
      <c r="B95">
        <v>2015</v>
      </c>
      <c r="C95" t="s">
        <v>38</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V95">
        <v>123.8</v>
      </c>
      <c r="W95">
        <v>123.7</v>
      </c>
      <c r="X95">
        <v>121.1</v>
      </c>
      <c r="Y95">
        <v>113.6</v>
      </c>
      <c r="Z95">
        <v>118.5</v>
      </c>
      <c r="AA95">
        <v>123.6</v>
      </c>
      <c r="AB95">
        <v>112.5</v>
      </c>
      <c r="AC95">
        <v>118.2</v>
      </c>
      <c r="AD95">
        <v>126.1</v>
      </c>
    </row>
    <row r="96" spans="1:30" x14ac:dyDescent="0.25">
      <c r="A96" t="s">
        <v>30</v>
      </c>
      <c r="B96">
        <v>2015</v>
      </c>
      <c r="C96" t="s">
        <v>38</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5">
      <c r="A97" t="s">
        <v>31</v>
      </c>
      <c r="B97">
        <v>2015</v>
      </c>
      <c r="C97" t="s">
        <v>38</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t="s">
        <v>28</v>
      </c>
      <c r="B98">
        <v>2015</v>
      </c>
      <c r="C98" t="s">
        <v>39</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V98">
        <v>123.7</v>
      </c>
      <c r="W98">
        <v>124.5</v>
      </c>
      <c r="X98">
        <v>121.4</v>
      </c>
      <c r="Y98">
        <v>113.8</v>
      </c>
      <c r="Z98">
        <v>119.6</v>
      </c>
      <c r="AA98">
        <v>124.5</v>
      </c>
      <c r="AB98">
        <v>113.7</v>
      </c>
      <c r="AC98">
        <v>118.8</v>
      </c>
      <c r="AD98">
        <v>127</v>
      </c>
    </row>
    <row r="99" spans="1:30" x14ac:dyDescent="0.25">
      <c r="A99" t="s">
        <v>30</v>
      </c>
      <c r="B99">
        <v>2015</v>
      </c>
      <c r="C99" t="s">
        <v>39</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5">
      <c r="A100" t="s">
        <v>31</v>
      </c>
      <c r="B100">
        <v>2015</v>
      </c>
      <c r="C100" t="s">
        <v>39</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t="s">
        <v>28</v>
      </c>
      <c r="B101">
        <v>2015</v>
      </c>
      <c r="C101" t="s">
        <v>40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V101">
        <v>124.4</v>
      </c>
      <c r="W101">
        <v>125.1</v>
      </c>
      <c r="X101">
        <v>122</v>
      </c>
      <c r="Y101">
        <v>113.8</v>
      </c>
      <c r="Z101">
        <v>120.1</v>
      </c>
      <c r="AA101">
        <v>125.1</v>
      </c>
      <c r="AB101">
        <v>114.2</v>
      </c>
      <c r="AC101">
        <v>119.2</v>
      </c>
      <c r="AD101">
        <v>127.7</v>
      </c>
    </row>
    <row r="102" spans="1:30" x14ac:dyDescent="0.25">
      <c r="A102" t="s">
        <v>30</v>
      </c>
      <c r="B102">
        <v>2015</v>
      </c>
      <c r="C102" t="s">
        <v>40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5">
      <c r="A103" t="s">
        <v>31</v>
      </c>
      <c r="B103">
        <v>2015</v>
      </c>
      <c r="C103" t="s">
        <v>40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t="s">
        <v>28</v>
      </c>
      <c r="B104">
        <v>2015</v>
      </c>
      <c r="C104" t="s">
        <v>42</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V104">
        <v>125.6</v>
      </c>
      <c r="W104">
        <v>125.6</v>
      </c>
      <c r="X104">
        <v>122.6</v>
      </c>
      <c r="Y104">
        <v>114</v>
      </c>
      <c r="Z104">
        <v>120.9</v>
      </c>
      <c r="AA104">
        <v>125.8</v>
      </c>
      <c r="AB104">
        <v>114.2</v>
      </c>
      <c r="AC104">
        <v>119.6</v>
      </c>
      <c r="AD104">
        <v>128.30000000000001</v>
      </c>
    </row>
    <row r="105" spans="1:30" x14ac:dyDescent="0.25">
      <c r="A105" t="s">
        <v>30</v>
      </c>
      <c r="B105">
        <v>2015</v>
      </c>
      <c r="C105" t="s">
        <v>42</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5">
      <c r="A106" t="s">
        <v>31</v>
      </c>
      <c r="B106">
        <v>2015</v>
      </c>
      <c r="C106" t="s">
        <v>42</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t="s">
        <v>28</v>
      </c>
      <c r="B107">
        <v>2015</v>
      </c>
      <c r="C107" t="s">
        <v>43</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V107">
        <v>125.7</v>
      </c>
      <c r="W107">
        <v>126</v>
      </c>
      <c r="X107">
        <v>123.1</v>
      </c>
      <c r="Y107">
        <v>114</v>
      </c>
      <c r="Z107">
        <v>121.6</v>
      </c>
      <c r="AA107">
        <v>125.6</v>
      </c>
      <c r="AB107">
        <v>114.1</v>
      </c>
      <c r="AC107">
        <v>119.8</v>
      </c>
      <c r="AD107">
        <v>127.9</v>
      </c>
    </row>
    <row r="108" spans="1:30" x14ac:dyDescent="0.25">
      <c r="A108" t="s">
        <v>30</v>
      </c>
      <c r="B108">
        <v>2015</v>
      </c>
      <c r="C108" t="s">
        <v>43</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5">
      <c r="A109" t="s">
        <v>31</v>
      </c>
      <c r="B109">
        <v>2015</v>
      </c>
      <c r="C109" t="s">
        <v>43</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t="s">
        <v>28</v>
      </c>
      <c r="B110">
        <v>2016</v>
      </c>
      <c r="C110" t="s">
        <v>29</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V110">
        <v>126.2</v>
      </c>
      <c r="W110">
        <v>126.6</v>
      </c>
      <c r="X110">
        <v>123.7</v>
      </c>
      <c r="Y110">
        <v>113.6</v>
      </c>
      <c r="Z110">
        <v>121.4</v>
      </c>
      <c r="AA110">
        <v>126.2</v>
      </c>
      <c r="AB110">
        <v>114.9</v>
      </c>
      <c r="AC110">
        <v>120.1</v>
      </c>
      <c r="AD110">
        <v>128.1</v>
      </c>
    </row>
    <row r="111" spans="1:30" x14ac:dyDescent="0.25">
      <c r="A111" t="s">
        <v>30</v>
      </c>
      <c r="B111">
        <v>2016</v>
      </c>
      <c r="C111" t="s">
        <v>29</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5">
      <c r="A112" t="s">
        <v>31</v>
      </c>
      <c r="B112">
        <v>2016</v>
      </c>
      <c r="C112" t="s">
        <v>29</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t="s">
        <v>28</v>
      </c>
      <c r="B113">
        <v>2016</v>
      </c>
      <c r="C113" t="s">
        <v>32</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V113">
        <v>127.5</v>
      </c>
      <c r="W113">
        <v>127.1</v>
      </c>
      <c r="X113">
        <v>124.3</v>
      </c>
      <c r="Y113">
        <v>113.9</v>
      </c>
      <c r="Z113">
        <v>122.3</v>
      </c>
      <c r="AA113">
        <v>127.1</v>
      </c>
      <c r="AB113">
        <v>116.8</v>
      </c>
      <c r="AC113">
        <v>120.9</v>
      </c>
      <c r="AD113">
        <v>127.9</v>
      </c>
    </row>
    <row r="114" spans="1:30" x14ac:dyDescent="0.25">
      <c r="A114" t="s">
        <v>30</v>
      </c>
      <c r="B114">
        <v>2016</v>
      </c>
      <c r="C114" t="s">
        <v>32</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5">
      <c r="A115" t="s">
        <v>31</v>
      </c>
      <c r="B115">
        <v>2016</v>
      </c>
      <c r="C115" t="s">
        <v>32</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t="s">
        <v>28</v>
      </c>
      <c r="B116">
        <v>2016</v>
      </c>
      <c r="C116" t="s">
        <v>33</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V116">
        <v>127</v>
      </c>
      <c r="W116">
        <v>127.7</v>
      </c>
      <c r="X116">
        <v>124.8</v>
      </c>
      <c r="Y116">
        <v>113.6</v>
      </c>
      <c r="Z116">
        <v>122.5</v>
      </c>
      <c r="AA116">
        <v>127.5</v>
      </c>
      <c r="AB116">
        <v>117.4</v>
      </c>
      <c r="AC116">
        <v>121.1</v>
      </c>
      <c r="AD116">
        <v>128</v>
      </c>
    </row>
    <row r="117" spans="1:30" x14ac:dyDescent="0.25">
      <c r="A117" t="s">
        <v>30</v>
      </c>
      <c r="B117">
        <v>2016</v>
      </c>
      <c r="C117" t="s">
        <v>33</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5">
      <c r="A118" t="s">
        <v>31</v>
      </c>
      <c r="B118">
        <v>2016</v>
      </c>
      <c r="C118" t="s">
        <v>33</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t="s">
        <v>28</v>
      </c>
      <c r="B119">
        <v>2016</v>
      </c>
      <c r="C119" t="s">
        <v>34</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V119">
        <v>127</v>
      </c>
      <c r="W119">
        <v>128</v>
      </c>
      <c r="X119">
        <v>125.2</v>
      </c>
      <c r="Y119">
        <v>114.4</v>
      </c>
      <c r="Z119">
        <v>123.2</v>
      </c>
      <c r="AA119">
        <v>127.9</v>
      </c>
      <c r="AB119">
        <v>118.4</v>
      </c>
      <c r="AC119">
        <v>121.7</v>
      </c>
      <c r="AD119">
        <v>129</v>
      </c>
    </row>
    <row r="120" spans="1:30" x14ac:dyDescent="0.25">
      <c r="A120" t="s">
        <v>30</v>
      </c>
      <c r="B120">
        <v>2016</v>
      </c>
      <c r="C120" t="s">
        <v>34</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5">
      <c r="A121" t="s">
        <v>31</v>
      </c>
      <c r="B121">
        <v>2016</v>
      </c>
      <c r="C121" t="s">
        <v>34</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t="s">
        <v>28</v>
      </c>
      <c r="B122">
        <v>2016</v>
      </c>
      <c r="C122" t="s">
        <v>35</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V122">
        <v>127.4</v>
      </c>
      <c r="W122">
        <v>128.5</v>
      </c>
      <c r="X122">
        <v>125.8</v>
      </c>
      <c r="Y122">
        <v>115.1</v>
      </c>
      <c r="Z122">
        <v>123.6</v>
      </c>
      <c r="AA122">
        <v>129.1</v>
      </c>
      <c r="AB122">
        <v>119.7</v>
      </c>
      <c r="AC122">
        <v>122.5</v>
      </c>
      <c r="AD122">
        <v>130.30000000000001</v>
      </c>
    </row>
    <row r="123" spans="1:30" x14ac:dyDescent="0.25">
      <c r="A123" t="s">
        <v>30</v>
      </c>
      <c r="B123">
        <v>2016</v>
      </c>
      <c r="C123" t="s">
        <v>35</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5">
      <c r="A124" t="s">
        <v>31</v>
      </c>
      <c r="B124">
        <v>2016</v>
      </c>
      <c r="C124" t="s">
        <v>35</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t="s">
        <v>28</v>
      </c>
      <c r="B125">
        <v>2016</v>
      </c>
      <c r="C125" t="s">
        <v>36</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V125">
        <v>128</v>
      </c>
      <c r="W125">
        <v>129.30000000000001</v>
      </c>
      <c r="X125">
        <v>126.2</v>
      </c>
      <c r="Y125">
        <v>116.3</v>
      </c>
      <c r="Z125">
        <v>124.1</v>
      </c>
      <c r="AA125">
        <v>130.19999999999999</v>
      </c>
      <c r="AB125">
        <v>119.9</v>
      </c>
      <c r="AC125">
        <v>123.3</v>
      </c>
      <c r="AD125">
        <v>131.9</v>
      </c>
    </row>
    <row r="126" spans="1:30" x14ac:dyDescent="0.25">
      <c r="A126" t="s">
        <v>30</v>
      </c>
      <c r="B126">
        <v>2016</v>
      </c>
      <c r="C126" t="s">
        <v>36</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5">
      <c r="A127" t="s">
        <v>31</v>
      </c>
      <c r="B127">
        <v>2016</v>
      </c>
      <c r="C127" t="s">
        <v>36</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t="s">
        <v>28</v>
      </c>
      <c r="B128">
        <v>2016</v>
      </c>
      <c r="C128" t="s">
        <v>37</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V128">
        <v>128.19999999999999</v>
      </c>
      <c r="W128">
        <v>130</v>
      </c>
      <c r="X128">
        <v>126.7</v>
      </c>
      <c r="Y128">
        <v>116.4</v>
      </c>
      <c r="Z128">
        <v>125.2</v>
      </c>
      <c r="AA128">
        <v>130.80000000000001</v>
      </c>
      <c r="AB128">
        <v>120.9</v>
      </c>
      <c r="AC128">
        <v>123.8</v>
      </c>
      <c r="AD128">
        <v>133</v>
      </c>
    </row>
    <row r="129" spans="1:30" x14ac:dyDescent="0.25">
      <c r="A129" t="s">
        <v>30</v>
      </c>
      <c r="B129">
        <v>2016</v>
      </c>
      <c r="C129" t="s">
        <v>37</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5">
      <c r="A130" t="s">
        <v>31</v>
      </c>
      <c r="B130">
        <v>2016</v>
      </c>
      <c r="C130" t="s">
        <v>37</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t="s">
        <v>28</v>
      </c>
      <c r="B131">
        <v>2016</v>
      </c>
      <c r="C131" t="s">
        <v>38</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V131">
        <v>129.1</v>
      </c>
      <c r="W131">
        <v>130.6</v>
      </c>
      <c r="X131">
        <v>127</v>
      </c>
      <c r="Y131">
        <v>116</v>
      </c>
      <c r="Z131">
        <v>125.5</v>
      </c>
      <c r="AA131">
        <v>131.9</v>
      </c>
      <c r="AB131">
        <v>122</v>
      </c>
      <c r="AC131">
        <v>124.2</v>
      </c>
      <c r="AD131">
        <v>133.5</v>
      </c>
    </row>
    <row r="132" spans="1:30" x14ac:dyDescent="0.25">
      <c r="A132" t="s">
        <v>30</v>
      </c>
      <c r="B132">
        <v>2016</v>
      </c>
      <c r="C132" t="s">
        <v>38</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5">
      <c r="A133" t="s">
        <v>31</v>
      </c>
      <c r="B133">
        <v>2016</v>
      </c>
      <c r="C133" t="s">
        <v>38</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t="s">
        <v>28</v>
      </c>
      <c r="B134">
        <v>2016</v>
      </c>
      <c r="C134" t="s">
        <v>39</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V134">
        <v>129.69999999999999</v>
      </c>
      <c r="W134">
        <v>131.1</v>
      </c>
      <c r="X134">
        <v>127.8</v>
      </c>
      <c r="Y134">
        <v>117</v>
      </c>
      <c r="Z134">
        <v>125.7</v>
      </c>
      <c r="AA134">
        <v>132.19999999999999</v>
      </c>
      <c r="AB134">
        <v>122.8</v>
      </c>
      <c r="AC134">
        <v>124.9</v>
      </c>
      <c r="AD134">
        <v>133.4</v>
      </c>
    </row>
    <row r="135" spans="1:30" x14ac:dyDescent="0.25">
      <c r="A135" t="s">
        <v>30</v>
      </c>
      <c r="B135">
        <v>2016</v>
      </c>
      <c r="C135" t="s">
        <v>39</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5">
      <c r="A136" t="s">
        <v>31</v>
      </c>
      <c r="B136">
        <v>2016</v>
      </c>
      <c r="C136" t="s">
        <v>39</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t="s">
        <v>28</v>
      </c>
      <c r="B137">
        <v>2016</v>
      </c>
      <c r="C137" t="s">
        <v>40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V137">
        <v>129.80000000000001</v>
      </c>
      <c r="W137">
        <v>131.80000000000001</v>
      </c>
      <c r="X137">
        <v>128.69999999999999</v>
      </c>
      <c r="Y137">
        <v>117.8</v>
      </c>
      <c r="Z137">
        <v>126.5</v>
      </c>
      <c r="AA137">
        <v>133</v>
      </c>
      <c r="AB137">
        <v>123</v>
      </c>
      <c r="AC137">
        <v>125.7</v>
      </c>
      <c r="AD137">
        <v>133.80000000000001</v>
      </c>
    </row>
    <row r="138" spans="1:30" x14ac:dyDescent="0.25">
      <c r="A138" t="s">
        <v>30</v>
      </c>
      <c r="B138">
        <v>2016</v>
      </c>
      <c r="C138" t="s">
        <v>40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5">
      <c r="A139" t="s">
        <v>31</v>
      </c>
      <c r="B139">
        <v>2016</v>
      </c>
      <c r="C139" t="s">
        <v>40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t="s">
        <v>28</v>
      </c>
      <c r="B140">
        <v>2016</v>
      </c>
      <c r="C140" t="s">
        <v>42</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V140">
        <v>130.30000000000001</v>
      </c>
      <c r="W140">
        <v>132.1</v>
      </c>
      <c r="X140">
        <v>129.1</v>
      </c>
      <c r="Y140">
        <v>118.2</v>
      </c>
      <c r="Z140">
        <v>126.9</v>
      </c>
      <c r="AA140">
        <v>133.69999999999999</v>
      </c>
      <c r="AB140">
        <v>123.5</v>
      </c>
      <c r="AC140">
        <v>126.1</v>
      </c>
      <c r="AD140">
        <v>133.6</v>
      </c>
    </row>
    <row r="141" spans="1:30" x14ac:dyDescent="0.25">
      <c r="A141" t="s">
        <v>30</v>
      </c>
      <c r="B141">
        <v>2016</v>
      </c>
      <c r="C141" t="s">
        <v>42</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5">
      <c r="A142" t="s">
        <v>31</v>
      </c>
      <c r="B142">
        <v>2016</v>
      </c>
      <c r="C142" t="s">
        <v>42</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t="s">
        <v>28</v>
      </c>
      <c r="B143">
        <v>2016</v>
      </c>
      <c r="C143" t="s">
        <v>43</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V143">
        <v>132</v>
      </c>
      <c r="W143">
        <v>132.9</v>
      </c>
      <c r="X143">
        <v>129.69999999999999</v>
      </c>
      <c r="Y143">
        <v>118.6</v>
      </c>
      <c r="Z143">
        <v>127.3</v>
      </c>
      <c r="AA143">
        <v>134.19999999999999</v>
      </c>
      <c r="AB143">
        <v>121.9</v>
      </c>
      <c r="AC143">
        <v>126.3</v>
      </c>
      <c r="AD143">
        <v>132.80000000000001</v>
      </c>
    </row>
    <row r="144" spans="1:30" x14ac:dyDescent="0.25">
      <c r="A144" t="s">
        <v>30</v>
      </c>
      <c r="B144">
        <v>2016</v>
      </c>
      <c r="C144" t="s">
        <v>43</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5">
      <c r="A145" t="s">
        <v>31</v>
      </c>
      <c r="B145">
        <v>2016</v>
      </c>
      <c r="C145" t="s">
        <v>43</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t="s">
        <v>28</v>
      </c>
      <c r="B146">
        <v>2017</v>
      </c>
      <c r="C146" t="s">
        <v>29</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V146">
        <v>132.1</v>
      </c>
      <c r="W146">
        <v>133.19999999999999</v>
      </c>
      <c r="X146">
        <v>129.9</v>
      </c>
      <c r="Y146">
        <v>119.1</v>
      </c>
      <c r="Z146">
        <v>127</v>
      </c>
      <c r="AA146">
        <v>134.6</v>
      </c>
      <c r="AB146">
        <v>122.3</v>
      </c>
      <c r="AC146">
        <v>126.6</v>
      </c>
      <c r="AD146">
        <v>132.4</v>
      </c>
    </row>
    <row r="147" spans="1:30" x14ac:dyDescent="0.25">
      <c r="A147" t="s">
        <v>30</v>
      </c>
      <c r="B147">
        <v>2017</v>
      </c>
      <c r="C147" t="s">
        <v>29</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5">
      <c r="A148" t="s">
        <v>31</v>
      </c>
      <c r="B148">
        <v>2017</v>
      </c>
      <c r="C148" t="s">
        <v>29</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t="s">
        <v>28</v>
      </c>
      <c r="B149">
        <v>2017</v>
      </c>
      <c r="C149" t="s">
        <v>32</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V149">
        <v>133.19999999999999</v>
      </c>
      <c r="W149">
        <v>133.6</v>
      </c>
      <c r="X149">
        <v>130.1</v>
      </c>
      <c r="Y149">
        <v>119.5</v>
      </c>
      <c r="Z149">
        <v>127.7</v>
      </c>
      <c r="AA149">
        <v>134.9</v>
      </c>
      <c r="AB149">
        <v>123.2</v>
      </c>
      <c r="AC149">
        <v>127</v>
      </c>
      <c r="AD149">
        <v>132.6</v>
      </c>
    </row>
    <row r="150" spans="1:30" x14ac:dyDescent="0.25">
      <c r="A150" t="s">
        <v>30</v>
      </c>
      <c r="B150">
        <v>2017</v>
      </c>
      <c r="C150" t="s">
        <v>32</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5">
      <c r="A151" t="s">
        <v>31</v>
      </c>
      <c r="B151">
        <v>2017</v>
      </c>
      <c r="C151" t="s">
        <v>32</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t="s">
        <v>28</v>
      </c>
      <c r="B152">
        <v>2017</v>
      </c>
      <c r="C152" t="s">
        <v>33</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V152">
        <v>134.19999999999999</v>
      </c>
      <c r="W152">
        <v>134.1</v>
      </c>
      <c r="X152">
        <v>130.6</v>
      </c>
      <c r="Y152">
        <v>119.8</v>
      </c>
      <c r="Z152">
        <v>128.30000000000001</v>
      </c>
      <c r="AA152">
        <v>135.19999999999999</v>
      </c>
      <c r="AB152">
        <v>123.3</v>
      </c>
      <c r="AC152">
        <v>127.4</v>
      </c>
      <c r="AD152">
        <v>132.80000000000001</v>
      </c>
    </row>
    <row r="153" spans="1:30" x14ac:dyDescent="0.25">
      <c r="A153" t="s">
        <v>30</v>
      </c>
      <c r="B153">
        <v>2017</v>
      </c>
      <c r="C153" t="s">
        <v>33</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5">
      <c r="A154" t="s">
        <v>31</v>
      </c>
      <c r="B154">
        <v>2017</v>
      </c>
      <c r="C154" t="s">
        <v>33</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t="s">
        <v>28</v>
      </c>
      <c r="B155">
        <v>2017</v>
      </c>
      <c r="C155" t="s">
        <v>34</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V155">
        <v>135</v>
      </c>
      <c r="W155">
        <v>134.30000000000001</v>
      </c>
      <c r="X155">
        <v>131</v>
      </c>
      <c r="Y155">
        <v>119.2</v>
      </c>
      <c r="Z155">
        <v>128.30000000000001</v>
      </c>
      <c r="AA155">
        <v>135.69999999999999</v>
      </c>
      <c r="AB155">
        <v>123.7</v>
      </c>
      <c r="AC155">
        <v>127.5</v>
      </c>
      <c r="AD155">
        <v>132.9</v>
      </c>
    </row>
    <row r="156" spans="1:30" x14ac:dyDescent="0.25">
      <c r="A156" t="s">
        <v>30</v>
      </c>
      <c r="B156">
        <v>2017</v>
      </c>
      <c r="C156" t="s">
        <v>34</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5">
      <c r="A157" t="s">
        <v>31</v>
      </c>
      <c r="B157">
        <v>2017</v>
      </c>
      <c r="C157" t="s">
        <v>34</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t="s">
        <v>28</v>
      </c>
      <c r="B158">
        <v>2017</v>
      </c>
      <c r="C158" t="s">
        <v>35</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V158">
        <v>135</v>
      </c>
      <c r="W158">
        <v>134.9</v>
      </c>
      <c r="X158">
        <v>131.4</v>
      </c>
      <c r="Y158">
        <v>119.4</v>
      </c>
      <c r="Z158">
        <v>129.4</v>
      </c>
      <c r="AA158">
        <v>136.30000000000001</v>
      </c>
      <c r="AB158">
        <v>123.7</v>
      </c>
      <c r="AC158">
        <v>127.9</v>
      </c>
      <c r="AD158">
        <v>133.30000000000001</v>
      </c>
    </row>
    <row r="159" spans="1:30" x14ac:dyDescent="0.25">
      <c r="A159" t="s">
        <v>30</v>
      </c>
      <c r="B159">
        <v>2017</v>
      </c>
      <c r="C159" t="s">
        <v>35</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5">
      <c r="A160" t="s">
        <v>31</v>
      </c>
      <c r="B160">
        <v>2017</v>
      </c>
      <c r="C160" t="s">
        <v>35</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t="s">
        <v>28</v>
      </c>
      <c r="B161">
        <v>2017</v>
      </c>
      <c r="C161" t="s">
        <v>36</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V161">
        <v>134.80000000000001</v>
      </c>
      <c r="W161">
        <v>135.19999999999999</v>
      </c>
      <c r="X161">
        <v>131.30000000000001</v>
      </c>
      <c r="Y161">
        <v>119.4</v>
      </c>
      <c r="Z161">
        <v>129.80000000000001</v>
      </c>
      <c r="AA161">
        <v>136.9</v>
      </c>
      <c r="AB161">
        <v>124.1</v>
      </c>
      <c r="AC161">
        <v>128.1</v>
      </c>
      <c r="AD161">
        <v>133.9</v>
      </c>
    </row>
    <row r="162" spans="1:30" x14ac:dyDescent="0.25">
      <c r="A162" t="s">
        <v>30</v>
      </c>
      <c r="B162">
        <v>2017</v>
      </c>
      <c r="C162" t="s">
        <v>36</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5">
      <c r="A163" t="s">
        <v>31</v>
      </c>
      <c r="B163">
        <v>2017</v>
      </c>
      <c r="C163" t="s">
        <v>36</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t="s">
        <v>28</v>
      </c>
      <c r="B164">
        <v>2017</v>
      </c>
      <c r="C164" t="s">
        <v>37</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V164">
        <v>135.30000000000001</v>
      </c>
      <c r="W164">
        <v>136.1</v>
      </c>
      <c r="X164">
        <v>132.1</v>
      </c>
      <c r="Y164">
        <v>119.1</v>
      </c>
      <c r="Z164">
        <v>130.6</v>
      </c>
      <c r="AA164">
        <v>138.6</v>
      </c>
      <c r="AB164">
        <v>124.4</v>
      </c>
      <c r="AC164">
        <v>128.6</v>
      </c>
      <c r="AD164">
        <v>136.19999999999999</v>
      </c>
    </row>
    <row r="165" spans="1:30" x14ac:dyDescent="0.25">
      <c r="A165" t="s">
        <v>30</v>
      </c>
      <c r="B165">
        <v>2017</v>
      </c>
      <c r="C165" t="s">
        <v>37</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5">
      <c r="A166" t="s">
        <v>31</v>
      </c>
      <c r="B166">
        <v>2017</v>
      </c>
      <c r="C166" t="s">
        <v>37</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t="s">
        <v>28</v>
      </c>
      <c r="B167">
        <v>2017</v>
      </c>
      <c r="C167" t="s">
        <v>38</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V167">
        <v>136.4</v>
      </c>
      <c r="W167">
        <v>137.30000000000001</v>
      </c>
      <c r="X167">
        <v>133</v>
      </c>
      <c r="Y167">
        <v>120.3</v>
      </c>
      <c r="Z167">
        <v>131.5</v>
      </c>
      <c r="AA167">
        <v>140.19999999999999</v>
      </c>
      <c r="AB167">
        <v>125.4</v>
      </c>
      <c r="AC167">
        <v>129.69999999999999</v>
      </c>
      <c r="AD167">
        <v>137.80000000000001</v>
      </c>
    </row>
    <row r="168" spans="1:30" x14ac:dyDescent="0.25">
      <c r="A168" t="s">
        <v>30</v>
      </c>
      <c r="B168">
        <v>2017</v>
      </c>
      <c r="C168" t="s">
        <v>38</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5">
      <c r="A169" t="s">
        <v>31</v>
      </c>
      <c r="B169">
        <v>2017</v>
      </c>
      <c r="C169" t="s">
        <v>38</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t="s">
        <v>28</v>
      </c>
      <c r="B170">
        <v>2017</v>
      </c>
      <c r="C170" t="s">
        <v>39</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V170">
        <v>137.4</v>
      </c>
      <c r="W170">
        <v>137.9</v>
      </c>
      <c r="X170">
        <v>133.4</v>
      </c>
      <c r="Y170">
        <v>121.2</v>
      </c>
      <c r="Z170">
        <v>132.30000000000001</v>
      </c>
      <c r="AA170">
        <v>139.6</v>
      </c>
      <c r="AB170">
        <v>126.7</v>
      </c>
      <c r="AC170">
        <v>130.30000000000001</v>
      </c>
      <c r="AD170">
        <v>137.6</v>
      </c>
    </row>
    <row r="171" spans="1:30" x14ac:dyDescent="0.25">
      <c r="A171" t="s">
        <v>30</v>
      </c>
      <c r="B171">
        <v>2017</v>
      </c>
      <c r="C171" t="s">
        <v>39</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5">
      <c r="A172" t="s">
        <v>31</v>
      </c>
      <c r="B172">
        <v>2017</v>
      </c>
      <c r="C172" t="s">
        <v>39</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t="s">
        <v>28</v>
      </c>
      <c r="B173">
        <v>2017</v>
      </c>
      <c r="C173" t="s">
        <v>40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V173">
        <v>138.1</v>
      </c>
      <c r="W173">
        <v>138.4</v>
      </c>
      <c r="X173">
        <v>134.19999999999999</v>
      </c>
      <c r="Y173">
        <v>121</v>
      </c>
      <c r="Z173">
        <v>133</v>
      </c>
      <c r="AA173">
        <v>140.1</v>
      </c>
      <c r="AB173">
        <v>127.4</v>
      </c>
      <c r="AC173">
        <v>130.69999999999999</v>
      </c>
      <c r="AD173">
        <v>138.30000000000001</v>
      </c>
    </row>
    <row r="174" spans="1:30" x14ac:dyDescent="0.25">
      <c r="A174" t="s">
        <v>30</v>
      </c>
      <c r="B174">
        <v>2017</v>
      </c>
      <c r="C174" t="s">
        <v>40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5">
      <c r="A175" t="s">
        <v>31</v>
      </c>
      <c r="B175">
        <v>2017</v>
      </c>
      <c r="C175" t="s">
        <v>40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t="s">
        <v>28</v>
      </c>
      <c r="B176">
        <v>2017</v>
      </c>
      <c r="C176" t="s">
        <v>42</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V176">
        <v>141.1</v>
      </c>
      <c r="W176">
        <v>139.4</v>
      </c>
      <c r="X176">
        <v>135.80000000000001</v>
      </c>
      <c r="Y176">
        <v>121.6</v>
      </c>
      <c r="Z176">
        <v>133.69999999999999</v>
      </c>
      <c r="AA176">
        <v>141.5</v>
      </c>
      <c r="AB176">
        <v>128.1</v>
      </c>
      <c r="AC176">
        <v>131.69999999999999</v>
      </c>
      <c r="AD176">
        <v>140</v>
      </c>
    </row>
    <row r="177" spans="1:30" x14ac:dyDescent="0.25">
      <c r="A177" t="s">
        <v>30</v>
      </c>
      <c r="B177">
        <v>2017</v>
      </c>
      <c r="C177" t="s">
        <v>42</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5">
      <c r="A178" t="s">
        <v>31</v>
      </c>
      <c r="B178">
        <v>2017</v>
      </c>
      <c r="C178" t="s">
        <v>42</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t="s">
        <v>28</v>
      </c>
      <c r="B179">
        <v>2017</v>
      </c>
      <c r="C179" t="s">
        <v>43</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V179">
        <v>142.6</v>
      </c>
      <c r="W179">
        <v>139.5</v>
      </c>
      <c r="X179">
        <v>136.1</v>
      </c>
      <c r="Y179">
        <v>122</v>
      </c>
      <c r="Z179">
        <v>133.4</v>
      </c>
      <c r="AA179">
        <v>141.1</v>
      </c>
      <c r="AB179">
        <v>127.8</v>
      </c>
      <c r="AC179">
        <v>131.9</v>
      </c>
      <c r="AD179">
        <v>139.80000000000001</v>
      </c>
    </row>
    <row r="180" spans="1:30" x14ac:dyDescent="0.25">
      <c r="A180" t="s">
        <v>30</v>
      </c>
      <c r="B180">
        <v>2017</v>
      </c>
      <c r="C180" t="s">
        <v>43</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5">
      <c r="A181" t="s">
        <v>31</v>
      </c>
      <c r="B181">
        <v>2017</v>
      </c>
      <c r="C181" t="s">
        <v>43</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t="s">
        <v>28</v>
      </c>
      <c r="B182">
        <v>2018</v>
      </c>
      <c r="C182" t="s">
        <v>29</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V182">
        <v>142.30000000000001</v>
      </c>
      <c r="W182">
        <v>139.80000000000001</v>
      </c>
      <c r="X182">
        <v>136</v>
      </c>
      <c r="Y182">
        <v>122.7</v>
      </c>
      <c r="Z182">
        <v>134.30000000000001</v>
      </c>
      <c r="AA182">
        <v>141.6</v>
      </c>
      <c r="AB182">
        <v>128.6</v>
      </c>
      <c r="AC182">
        <v>132.30000000000001</v>
      </c>
      <c r="AD182">
        <v>139.30000000000001</v>
      </c>
    </row>
    <row r="183" spans="1:30" x14ac:dyDescent="0.25">
      <c r="A183" t="s">
        <v>30</v>
      </c>
      <c r="B183">
        <v>2018</v>
      </c>
      <c r="C183" t="s">
        <v>29</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5">
      <c r="A184" t="s">
        <v>31</v>
      </c>
      <c r="B184">
        <v>2018</v>
      </c>
      <c r="C184" t="s">
        <v>29</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t="s">
        <v>28</v>
      </c>
      <c r="B185">
        <v>2018</v>
      </c>
      <c r="C185" t="s">
        <v>32</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V185">
        <v>142.4</v>
      </c>
      <c r="W185">
        <v>139.9</v>
      </c>
      <c r="X185">
        <v>136.19999999999999</v>
      </c>
      <c r="Y185">
        <v>123.3</v>
      </c>
      <c r="Z185">
        <v>134.30000000000001</v>
      </c>
      <c r="AA185">
        <v>141.5</v>
      </c>
      <c r="AB185">
        <v>128.80000000000001</v>
      </c>
      <c r="AC185">
        <v>132.5</v>
      </c>
      <c r="AD185">
        <v>138.5</v>
      </c>
    </row>
    <row r="186" spans="1:30" x14ac:dyDescent="0.25">
      <c r="A186" t="s">
        <v>30</v>
      </c>
      <c r="B186">
        <v>2018</v>
      </c>
      <c r="C186" t="s">
        <v>32</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5">
      <c r="A187" t="s">
        <v>31</v>
      </c>
      <c r="B187">
        <v>2018</v>
      </c>
      <c r="C187" t="s">
        <v>32</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t="s">
        <v>28</v>
      </c>
      <c r="B188">
        <v>2018</v>
      </c>
      <c r="C188" t="s">
        <v>33</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V188">
        <v>142.6</v>
      </c>
      <c r="W188">
        <v>139.9</v>
      </c>
      <c r="X188">
        <v>136.69999999999999</v>
      </c>
      <c r="Y188">
        <v>124.6</v>
      </c>
      <c r="Z188">
        <v>135.1</v>
      </c>
      <c r="AA188">
        <v>142.69999999999999</v>
      </c>
      <c r="AB188">
        <v>129.30000000000001</v>
      </c>
      <c r="AC188">
        <v>133.30000000000001</v>
      </c>
      <c r="AD188">
        <v>138.69999999999999</v>
      </c>
    </row>
    <row r="189" spans="1:30" x14ac:dyDescent="0.25">
      <c r="A189" t="s">
        <v>30</v>
      </c>
      <c r="B189">
        <v>2018</v>
      </c>
      <c r="C189" t="s">
        <v>33</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5">
      <c r="A190" t="s">
        <v>31</v>
      </c>
      <c r="B190">
        <v>2018</v>
      </c>
      <c r="C190" t="s">
        <v>33</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t="s">
        <v>28</v>
      </c>
      <c r="B191">
        <v>2018</v>
      </c>
      <c r="C191" t="s">
        <v>34</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V191">
        <v>143.80000000000001</v>
      </c>
      <c r="W191">
        <v>140.9</v>
      </c>
      <c r="X191">
        <v>137.6</v>
      </c>
      <c r="Y191">
        <v>125.3</v>
      </c>
      <c r="Z191">
        <v>136</v>
      </c>
      <c r="AA191">
        <v>143.69999999999999</v>
      </c>
      <c r="AB191">
        <v>130.4</v>
      </c>
      <c r="AC191">
        <v>134.19999999999999</v>
      </c>
      <c r="AD191">
        <v>139.1</v>
      </c>
    </row>
    <row r="192" spans="1:30" x14ac:dyDescent="0.25">
      <c r="A192" t="s">
        <v>30</v>
      </c>
      <c r="B192">
        <v>2018</v>
      </c>
      <c r="C192" t="s">
        <v>34</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5">
      <c r="A193" t="s">
        <v>31</v>
      </c>
      <c r="B193">
        <v>2018</v>
      </c>
      <c r="C193" t="s">
        <v>34</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t="s">
        <v>28</v>
      </c>
      <c r="B194">
        <v>2018</v>
      </c>
      <c r="C194" t="s">
        <v>35</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V194">
        <v>144.30000000000001</v>
      </c>
      <c r="W194">
        <v>141.80000000000001</v>
      </c>
      <c r="X194">
        <v>138.4</v>
      </c>
      <c r="Y194">
        <v>126.4</v>
      </c>
      <c r="Z194">
        <v>136.80000000000001</v>
      </c>
      <c r="AA194">
        <v>144.4</v>
      </c>
      <c r="AB194">
        <v>131.19999999999999</v>
      </c>
      <c r="AC194">
        <v>135.1</v>
      </c>
      <c r="AD194">
        <v>139.80000000000001</v>
      </c>
    </row>
    <row r="195" spans="1:30" x14ac:dyDescent="0.25">
      <c r="A195" t="s">
        <v>30</v>
      </c>
      <c r="B195">
        <v>2018</v>
      </c>
      <c r="C195" t="s">
        <v>35</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5">
      <c r="A196" t="s">
        <v>31</v>
      </c>
      <c r="B196">
        <v>2018</v>
      </c>
      <c r="C196" t="s">
        <v>35</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t="s">
        <v>28</v>
      </c>
      <c r="B197">
        <v>2018</v>
      </c>
      <c r="C197" t="s">
        <v>36</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V197">
        <v>145.1</v>
      </c>
      <c r="W197">
        <v>142.19999999999999</v>
      </c>
      <c r="X197">
        <v>138.4</v>
      </c>
      <c r="Y197">
        <v>127.4</v>
      </c>
      <c r="Z197">
        <v>137.80000000000001</v>
      </c>
      <c r="AA197">
        <v>145.1</v>
      </c>
      <c r="AB197">
        <v>131.4</v>
      </c>
      <c r="AC197">
        <v>135.6</v>
      </c>
      <c r="AD197">
        <v>140.5</v>
      </c>
    </row>
    <row r="198" spans="1:30" x14ac:dyDescent="0.25">
      <c r="A198" t="s">
        <v>30</v>
      </c>
      <c r="B198">
        <v>2018</v>
      </c>
      <c r="C198" t="s">
        <v>36</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5">
      <c r="A199" t="s">
        <v>31</v>
      </c>
      <c r="B199">
        <v>2018</v>
      </c>
      <c r="C199" t="s">
        <v>36</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t="s">
        <v>28</v>
      </c>
      <c r="B200">
        <v>2018</v>
      </c>
      <c r="C200" t="s">
        <v>37</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V200">
        <v>146.80000000000001</v>
      </c>
      <c r="W200">
        <v>143.1</v>
      </c>
      <c r="X200">
        <v>139</v>
      </c>
      <c r="Y200">
        <v>127.5</v>
      </c>
      <c r="Z200">
        <v>138.4</v>
      </c>
      <c r="AA200">
        <v>145.80000000000001</v>
      </c>
      <c r="AB200">
        <v>131.4</v>
      </c>
      <c r="AC200">
        <v>136</v>
      </c>
      <c r="AD200">
        <v>141.80000000000001</v>
      </c>
    </row>
    <row r="201" spans="1:30" x14ac:dyDescent="0.25">
      <c r="A201" t="s">
        <v>30</v>
      </c>
      <c r="B201">
        <v>2018</v>
      </c>
      <c r="C201" t="s">
        <v>37</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5">
      <c r="A202" t="s">
        <v>31</v>
      </c>
      <c r="B202">
        <v>2018</v>
      </c>
      <c r="C202" t="s">
        <v>37</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t="s">
        <v>28</v>
      </c>
      <c r="B203">
        <v>2018</v>
      </c>
      <c r="C203" t="s">
        <v>38</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V203">
        <v>147.69999999999999</v>
      </c>
      <c r="W203">
        <v>143.80000000000001</v>
      </c>
      <c r="X203">
        <v>139.4</v>
      </c>
      <c r="Y203">
        <v>128.30000000000001</v>
      </c>
      <c r="Z203">
        <v>138.6</v>
      </c>
      <c r="AA203">
        <v>146.9</v>
      </c>
      <c r="AB203">
        <v>131.30000000000001</v>
      </c>
      <c r="AC203">
        <v>136.6</v>
      </c>
      <c r="AD203">
        <v>142.5</v>
      </c>
    </row>
    <row r="204" spans="1:30" x14ac:dyDescent="0.25">
      <c r="A204" t="s">
        <v>30</v>
      </c>
      <c r="B204">
        <v>2018</v>
      </c>
      <c r="C204" t="s">
        <v>38</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5">
      <c r="A205" t="s">
        <v>31</v>
      </c>
      <c r="B205">
        <v>2018</v>
      </c>
      <c r="C205" t="s">
        <v>38</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28</v>
      </c>
      <c r="B206">
        <v>2018</v>
      </c>
      <c r="C206" t="s">
        <v>39</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V206">
        <v>149</v>
      </c>
      <c r="W206">
        <v>144</v>
      </c>
      <c r="X206">
        <v>140</v>
      </c>
      <c r="Y206">
        <v>129.9</v>
      </c>
      <c r="Z206">
        <v>140</v>
      </c>
      <c r="AA206">
        <v>147.6</v>
      </c>
      <c r="AB206">
        <v>132</v>
      </c>
      <c r="AC206">
        <v>137.4</v>
      </c>
      <c r="AD206">
        <v>142.1</v>
      </c>
    </row>
    <row r="207" spans="1:30" x14ac:dyDescent="0.25">
      <c r="A207" t="s">
        <v>30</v>
      </c>
      <c r="B207">
        <v>2018</v>
      </c>
      <c r="C207" t="s">
        <v>39</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5">
      <c r="A208" t="s">
        <v>31</v>
      </c>
      <c r="B208">
        <v>2018</v>
      </c>
      <c r="C208" t="s">
        <v>39</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t="s">
        <v>28</v>
      </c>
      <c r="B209">
        <v>2018</v>
      </c>
      <c r="C209" t="s">
        <v>40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V209">
        <v>149.69999999999999</v>
      </c>
      <c r="W209">
        <v>147.5</v>
      </c>
      <c r="X209">
        <v>144.80000000000001</v>
      </c>
      <c r="Y209">
        <v>130.80000000000001</v>
      </c>
      <c r="Z209">
        <v>140.1</v>
      </c>
      <c r="AA209">
        <v>148</v>
      </c>
      <c r="AB209">
        <v>134.4</v>
      </c>
      <c r="AC209">
        <v>139.80000000000001</v>
      </c>
      <c r="AD209">
        <v>142.19999999999999</v>
      </c>
    </row>
    <row r="210" spans="1:30" x14ac:dyDescent="0.25">
      <c r="A210" t="s">
        <v>30</v>
      </c>
      <c r="B210">
        <v>2018</v>
      </c>
      <c r="C210" t="s">
        <v>40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5">
      <c r="A211" t="s">
        <v>31</v>
      </c>
      <c r="B211">
        <v>2018</v>
      </c>
      <c r="C211" t="s">
        <v>40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t="s">
        <v>28</v>
      </c>
      <c r="B212">
        <v>2018</v>
      </c>
      <c r="C212" t="s">
        <v>42</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V212">
        <v>150.30000000000001</v>
      </c>
      <c r="W212">
        <v>148</v>
      </c>
      <c r="X212">
        <v>145.4</v>
      </c>
      <c r="Y212">
        <v>130.30000000000001</v>
      </c>
      <c r="Z212">
        <v>143.1</v>
      </c>
      <c r="AA212">
        <v>150.19999999999999</v>
      </c>
      <c r="AB212">
        <v>133.1</v>
      </c>
      <c r="AC212">
        <v>140.1</v>
      </c>
      <c r="AD212">
        <v>142.4</v>
      </c>
    </row>
    <row r="213" spans="1:30" x14ac:dyDescent="0.25">
      <c r="A213" t="s">
        <v>30</v>
      </c>
      <c r="B213">
        <v>2018</v>
      </c>
      <c r="C213" t="s">
        <v>42</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5">
      <c r="A214" t="s">
        <v>31</v>
      </c>
      <c r="B214">
        <v>2018</v>
      </c>
      <c r="C214" t="s">
        <v>42</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t="s">
        <v>28</v>
      </c>
      <c r="B215">
        <v>2018</v>
      </c>
      <c r="C215" t="s">
        <v>43</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V215">
        <v>149</v>
      </c>
      <c r="W215">
        <v>149.5</v>
      </c>
      <c r="X215">
        <v>149.6</v>
      </c>
      <c r="Y215">
        <v>128.9</v>
      </c>
      <c r="Z215">
        <v>143.30000000000001</v>
      </c>
      <c r="AA215">
        <v>155.1</v>
      </c>
      <c r="AB215">
        <v>133.19999999999999</v>
      </c>
      <c r="AC215">
        <v>141.6</v>
      </c>
      <c r="AD215">
        <v>141.9</v>
      </c>
    </row>
    <row r="216" spans="1:30" x14ac:dyDescent="0.25">
      <c r="A216" t="s">
        <v>30</v>
      </c>
      <c r="B216">
        <v>2018</v>
      </c>
      <c r="C216" t="s">
        <v>43</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5">
      <c r="A217" t="s">
        <v>31</v>
      </c>
      <c r="B217">
        <v>2018</v>
      </c>
      <c r="C217" t="s">
        <v>43</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t="s">
        <v>28</v>
      </c>
      <c r="B218">
        <v>2019</v>
      </c>
      <c r="C218" t="s">
        <v>29</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V218">
        <v>146.19999999999999</v>
      </c>
      <c r="W218">
        <v>150.1</v>
      </c>
      <c r="X218">
        <v>149.6</v>
      </c>
      <c r="Y218">
        <v>128.6</v>
      </c>
      <c r="Z218">
        <v>142.9</v>
      </c>
      <c r="AA218">
        <v>155.19999999999999</v>
      </c>
      <c r="AB218">
        <v>133.5</v>
      </c>
      <c r="AC218">
        <v>141.69999999999999</v>
      </c>
      <c r="AD218">
        <v>141</v>
      </c>
    </row>
    <row r="219" spans="1:30" x14ac:dyDescent="0.25">
      <c r="A219" t="s">
        <v>30</v>
      </c>
      <c r="B219">
        <v>2019</v>
      </c>
      <c r="C219" t="s">
        <v>29</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5">
      <c r="A220" t="s">
        <v>31</v>
      </c>
      <c r="B220">
        <v>2019</v>
      </c>
      <c r="C220" t="s">
        <v>29</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t="s">
        <v>28</v>
      </c>
      <c r="B221">
        <v>2019</v>
      </c>
      <c r="C221" t="s">
        <v>32</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V221">
        <v>145.30000000000001</v>
      </c>
      <c r="W221">
        <v>150.1</v>
      </c>
      <c r="X221">
        <v>149.9</v>
      </c>
      <c r="Y221">
        <v>129.19999999999999</v>
      </c>
      <c r="Z221">
        <v>143.4</v>
      </c>
      <c r="AA221">
        <v>155.5</v>
      </c>
      <c r="AB221">
        <v>134.9</v>
      </c>
      <c r="AC221">
        <v>142.19999999999999</v>
      </c>
      <c r="AD221">
        <v>141</v>
      </c>
    </row>
    <row r="222" spans="1:30" x14ac:dyDescent="0.25">
      <c r="A222" t="s">
        <v>30</v>
      </c>
      <c r="B222">
        <v>2019</v>
      </c>
      <c r="C222" t="s">
        <v>32</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5">
      <c r="A223" t="s">
        <v>31</v>
      </c>
      <c r="B223">
        <v>2019</v>
      </c>
      <c r="C223" t="s">
        <v>32</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t="s">
        <v>28</v>
      </c>
      <c r="B224">
        <v>2019</v>
      </c>
      <c r="C224" t="s">
        <v>33</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V224">
        <v>146.4</v>
      </c>
      <c r="W224">
        <v>150</v>
      </c>
      <c r="X224">
        <v>150.4</v>
      </c>
      <c r="Y224">
        <v>129.9</v>
      </c>
      <c r="Z224">
        <v>143.80000000000001</v>
      </c>
      <c r="AA224">
        <v>155.5</v>
      </c>
      <c r="AB224">
        <v>134</v>
      </c>
      <c r="AC224">
        <v>142.4</v>
      </c>
      <c r="AD224">
        <v>141.19999999999999</v>
      </c>
    </row>
    <row r="225" spans="1:30" x14ac:dyDescent="0.25">
      <c r="A225" t="s">
        <v>30</v>
      </c>
      <c r="B225">
        <v>2019</v>
      </c>
      <c r="C225" t="s">
        <v>33</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5">
      <c r="A226" t="s">
        <v>31</v>
      </c>
      <c r="B226">
        <v>2019</v>
      </c>
      <c r="C226" t="s">
        <v>33</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t="s">
        <v>28</v>
      </c>
      <c r="B227">
        <v>2019</v>
      </c>
      <c r="C227" t="s">
        <v>35</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V227">
        <v>146.9</v>
      </c>
      <c r="W227">
        <v>149.5</v>
      </c>
      <c r="X227">
        <v>151.30000000000001</v>
      </c>
      <c r="Y227">
        <v>130.19999999999999</v>
      </c>
      <c r="Z227">
        <v>145.9</v>
      </c>
      <c r="AA227">
        <v>156.69999999999999</v>
      </c>
      <c r="AB227">
        <v>133.9</v>
      </c>
      <c r="AC227">
        <v>142.9</v>
      </c>
      <c r="AD227">
        <v>142.4</v>
      </c>
    </row>
    <row r="228" spans="1:30" x14ac:dyDescent="0.25">
      <c r="A228" t="s">
        <v>30</v>
      </c>
      <c r="B228">
        <v>2019</v>
      </c>
      <c r="C228" t="s">
        <v>35</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5">
      <c r="A229" t="s">
        <v>31</v>
      </c>
      <c r="B229">
        <v>2019</v>
      </c>
      <c r="C229" t="s">
        <v>35</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t="s">
        <v>28</v>
      </c>
      <c r="B230">
        <v>2019</v>
      </c>
      <c r="C230" t="s">
        <v>36</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t="s">
        <v>30</v>
      </c>
      <c r="B231">
        <v>2019</v>
      </c>
      <c r="C231" t="s">
        <v>36</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5">
      <c r="A232" t="s">
        <v>31</v>
      </c>
      <c r="B232">
        <v>2019</v>
      </c>
      <c r="C232" t="s">
        <v>36</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t="s">
        <v>28</v>
      </c>
      <c r="B233">
        <v>2019</v>
      </c>
      <c r="C233" t="s">
        <v>37</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V233">
        <v>146.80000000000001</v>
      </c>
      <c r="W233">
        <v>150</v>
      </c>
      <c r="X233">
        <v>152.19999999999999</v>
      </c>
      <c r="Y233">
        <v>131.19999999999999</v>
      </c>
      <c r="Z233">
        <v>147.5</v>
      </c>
      <c r="AA233">
        <v>159.1</v>
      </c>
      <c r="AB233">
        <v>136.1</v>
      </c>
      <c r="AC233">
        <v>144.19999999999999</v>
      </c>
      <c r="AD233">
        <v>144.9</v>
      </c>
    </row>
    <row r="234" spans="1:30" x14ac:dyDescent="0.25">
      <c r="A234" t="s">
        <v>30</v>
      </c>
      <c r="B234">
        <v>2019</v>
      </c>
      <c r="C234" t="s">
        <v>37</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5">
      <c r="A235" t="s">
        <v>31</v>
      </c>
      <c r="B235">
        <v>2019</v>
      </c>
      <c r="C235" t="s">
        <v>37</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t="s">
        <v>28</v>
      </c>
      <c r="B236">
        <v>2019</v>
      </c>
      <c r="C236" t="s">
        <v>38</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V236">
        <v>146.4</v>
      </c>
      <c r="W236">
        <v>150.19999999999999</v>
      </c>
      <c r="X236">
        <v>152.69999999999999</v>
      </c>
      <c r="Y236">
        <v>131.4</v>
      </c>
      <c r="Z236">
        <v>148</v>
      </c>
      <c r="AA236">
        <v>159.69999999999999</v>
      </c>
      <c r="AB236">
        <v>138.80000000000001</v>
      </c>
      <c r="AC236">
        <v>144.9</v>
      </c>
      <c r="AD236">
        <v>145.69999999999999</v>
      </c>
    </row>
    <row r="237" spans="1:30" x14ac:dyDescent="0.25">
      <c r="A237" t="s">
        <v>30</v>
      </c>
      <c r="B237">
        <v>2019</v>
      </c>
      <c r="C237" t="s">
        <v>38</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5">
      <c r="A238" t="s">
        <v>31</v>
      </c>
      <c r="B238">
        <v>2019</v>
      </c>
      <c r="C238" t="s">
        <v>38</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t="s">
        <v>28</v>
      </c>
      <c r="B239">
        <v>2019</v>
      </c>
      <c r="C239" t="s">
        <v>39</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V239">
        <v>146.9</v>
      </c>
      <c r="W239">
        <v>150.30000000000001</v>
      </c>
      <c r="X239">
        <v>153.4</v>
      </c>
      <c r="Y239">
        <v>131.6</v>
      </c>
      <c r="Z239">
        <v>148.30000000000001</v>
      </c>
      <c r="AA239">
        <v>160.19999999999999</v>
      </c>
      <c r="AB239">
        <v>140.19999999999999</v>
      </c>
      <c r="AC239">
        <v>145.4</v>
      </c>
      <c r="AD239">
        <v>146.69999999999999</v>
      </c>
    </row>
    <row r="240" spans="1:30" x14ac:dyDescent="0.25">
      <c r="A240" t="s">
        <v>30</v>
      </c>
      <c r="B240">
        <v>2019</v>
      </c>
      <c r="C240" t="s">
        <v>39</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5">
      <c r="A241" t="s">
        <v>31</v>
      </c>
      <c r="B241">
        <v>2019</v>
      </c>
      <c r="C241" t="s">
        <v>39</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t="s">
        <v>28</v>
      </c>
      <c r="B242">
        <v>2019</v>
      </c>
      <c r="C242" t="s">
        <v>40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t="s">
        <v>30</v>
      </c>
      <c r="B243">
        <v>2019</v>
      </c>
      <c r="C243" t="s">
        <v>40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5">
      <c r="A244" t="s">
        <v>31</v>
      </c>
      <c r="B244">
        <v>2019</v>
      </c>
      <c r="C244" t="s">
        <v>40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t="s">
        <v>28</v>
      </c>
      <c r="B245">
        <v>2019</v>
      </c>
      <c r="C245" t="s">
        <v>42</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V245">
        <v>148.4</v>
      </c>
      <c r="W245">
        <v>150.9</v>
      </c>
      <c r="X245">
        <v>154.30000000000001</v>
      </c>
      <c r="Y245">
        <v>132.1</v>
      </c>
      <c r="Z245">
        <v>149.1</v>
      </c>
      <c r="AA245">
        <v>160.80000000000001</v>
      </c>
      <c r="AB245">
        <v>140.6</v>
      </c>
      <c r="AC245">
        <v>146.1</v>
      </c>
      <c r="AD245">
        <v>149.9</v>
      </c>
    </row>
    <row r="246" spans="1:30" x14ac:dyDescent="0.25">
      <c r="A246" t="s">
        <v>30</v>
      </c>
      <c r="B246">
        <v>2019</v>
      </c>
      <c r="C246" t="s">
        <v>42</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5">
      <c r="A247" t="s">
        <v>31</v>
      </c>
      <c r="B247">
        <v>2019</v>
      </c>
      <c r="C247" t="s">
        <v>42</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t="s">
        <v>28</v>
      </c>
      <c r="B248">
        <v>2019</v>
      </c>
      <c r="C248" t="s">
        <v>43</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V248">
        <v>149.9</v>
      </c>
      <c r="W248">
        <v>151.19999999999999</v>
      </c>
      <c r="X248">
        <v>154.80000000000001</v>
      </c>
      <c r="Y248">
        <v>135</v>
      </c>
      <c r="Z248">
        <v>149.5</v>
      </c>
      <c r="AA248">
        <v>161.1</v>
      </c>
      <c r="AB248">
        <v>140.6</v>
      </c>
      <c r="AC248">
        <v>147.1</v>
      </c>
      <c r="AD248">
        <v>152.30000000000001</v>
      </c>
    </row>
    <row r="249" spans="1:30" x14ac:dyDescent="0.25">
      <c r="A249" t="s">
        <v>30</v>
      </c>
      <c r="B249">
        <v>2019</v>
      </c>
      <c r="C249" t="s">
        <v>43</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5">
      <c r="A250" t="s">
        <v>31</v>
      </c>
      <c r="B250">
        <v>2019</v>
      </c>
      <c r="C250" t="s">
        <v>43</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28</v>
      </c>
      <c r="B251">
        <v>2020</v>
      </c>
      <c r="C251" t="s">
        <v>29</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V251">
        <v>150.4</v>
      </c>
      <c r="W251">
        <v>151.69999999999999</v>
      </c>
      <c r="X251">
        <v>155.69999999999999</v>
      </c>
      <c r="Y251">
        <v>136.30000000000001</v>
      </c>
      <c r="Z251">
        <v>150.1</v>
      </c>
      <c r="AA251">
        <v>161.69999999999999</v>
      </c>
      <c r="AB251">
        <v>142.5</v>
      </c>
      <c r="AC251">
        <v>148.1</v>
      </c>
      <c r="AD251">
        <v>151.9</v>
      </c>
    </row>
    <row r="252" spans="1:30" x14ac:dyDescent="0.25">
      <c r="A252" t="s">
        <v>30</v>
      </c>
      <c r="B252">
        <v>2020</v>
      </c>
      <c r="C252" t="s">
        <v>29</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31</v>
      </c>
      <c r="B253">
        <v>2020</v>
      </c>
      <c r="C253" t="s">
        <v>29</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28</v>
      </c>
      <c r="B254">
        <v>2020</v>
      </c>
      <c r="C254" t="s">
        <v>32</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V254">
        <v>152.30000000000001</v>
      </c>
      <c r="W254">
        <v>151.80000000000001</v>
      </c>
      <c r="X254">
        <v>156.19999999999999</v>
      </c>
      <c r="Y254">
        <v>136</v>
      </c>
      <c r="Z254">
        <v>150.4</v>
      </c>
      <c r="AA254">
        <v>161.9</v>
      </c>
      <c r="AB254">
        <v>143.4</v>
      </c>
      <c r="AC254">
        <v>148.4</v>
      </c>
      <c r="AD254">
        <v>150.4</v>
      </c>
    </row>
    <row r="255" spans="1:30" x14ac:dyDescent="0.25">
      <c r="A255" t="s">
        <v>30</v>
      </c>
      <c r="B255">
        <v>2020</v>
      </c>
      <c r="C255" t="s">
        <v>32</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31</v>
      </c>
      <c r="B256">
        <v>2020</v>
      </c>
      <c r="C256" t="s">
        <v>32</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28</v>
      </c>
      <c r="B257">
        <v>2020</v>
      </c>
      <c r="C257" t="s">
        <v>33</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V257">
        <v>153.4</v>
      </c>
      <c r="W257">
        <v>151.5</v>
      </c>
      <c r="X257">
        <v>156.69999999999999</v>
      </c>
      <c r="Y257">
        <v>135.80000000000001</v>
      </c>
      <c r="Z257">
        <v>151.19999999999999</v>
      </c>
      <c r="AA257">
        <v>161.19999999999999</v>
      </c>
      <c r="AB257">
        <v>145.1</v>
      </c>
      <c r="AC257">
        <v>148.6</v>
      </c>
      <c r="AD257">
        <v>149.80000000000001</v>
      </c>
    </row>
    <row r="258" spans="1:30" x14ac:dyDescent="0.25">
      <c r="A258" t="s">
        <v>30</v>
      </c>
      <c r="B258">
        <v>2020</v>
      </c>
      <c r="C258" t="s">
        <v>33</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31</v>
      </c>
      <c r="B259">
        <v>2020</v>
      </c>
      <c r="C259" t="s">
        <v>33</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28</v>
      </c>
      <c r="B260">
        <v>2020</v>
      </c>
      <c r="C260" t="s">
        <v>34</v>
      </c>
      <c r="D260">
        <v>147.19999999999999</v>
      </c>
      <c r="F260">
        <v>146.9</v>
      </c>
      <c r="G260">
        <v>155.6</v>
      </c>
      <c r="H260">
        <v>137.1</v>
      </c>
      <c r="I260">
        <v>147.30000000000001</v>
      </c>
      <c r="J260">
        <v>162.69999999999999</v>
      </c>
      <c r="K260">
        <v>150.19999999999999</v>
      </c>
      <c r="L260">
        <v>119.8</v>
      </c>
      <c r="M260">
        <v>158.69999999999999</v>
      </c>
      <c r="N260">
        <v>139.19999999999999</v>
      </c>
      <c r="P260">
        <v>150.1</v>
      </c>
      <c r="V260">
        <v>148.4</v>
      </c>
      <c r="X260">
        <v>154.30000000000001</v>
      </c>
    </row>
    <row r="261" spans="1:30" x14ac:dyDescent="0.25">
      <c r="A261" t="s">
        <v>30</v>
      </c>
      <c r="B261">
        <v>2020</v>
      </c>
      <c r="C261" t="s">
        <v>34</v>
      </c>
      <c r="D261">
        <v>151.80000000000001</v>
      </c>
      <c r="F261">
        <v>151.9</v>
      </c>
      <c r="G261">
        <v>155.5</v>
      </c>
      <c r="H261">
        <v>131.6</v>
      </c>
      <c r="I261">
        <v>152.9</v>
      </c>
      <c r="J261">
        <v>180</v>
      </c>
      <c r="K261">
        <v>150.80000000000001</v>
      </c>
      <c r="L261">
        <v>121.2</v>
      </c>
      <c r="M261">
        <v>154</v>
      </c>
      <c r="N261">
        <v>133.5</v>
      </c>
      <c r="P261">
        <v>153.5</v>
      </c>
      <c r="U261">
        <v>155.6</v>
      </c>
      <c r="V261">
        <v>137.1</v>
      </c>
      <c r="X261">
        <v>144.80000000000001</v>
      </c>
    </row>
    <row r="262" spans="1:30" x14ac:dyDescent="0.25">
      <c r="A262" t="s">
        <v>31</v>
      </c>
      <c r="B262">
        <v>2020</v>
      </c>
      <c r="C262" t="s">
        <v>34</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row>
    <row r="263" spans="1:30" x14ac:dyDescent="0.25">
      <c r="A263" t="s">
        <v>28</v>
      </c>
      <c r="B263">
        <v>2020</v>
      </c>
      <c r="C263" t="s">
        <v>35</v>
      </c>
    </row>
    <row r="264" spans="1:30" x14ac:dyDescent="0.25">
      <c r="A264" t="s">
        <v>30</v>
      </c>
      <c r="B264">
        <v>2020</v>
      </c>
      <c r="C264" t="s">
        <v>35</v>
      </c>
    </row>
    <row r="265" spans="1:30" x14ac:dyDescent="0.25">
      <c r="A265" t="s">
        <v>31</v>
      </c>
      <c r="B265">
        <v>2020</v>
      </c>
      <c r="C265" t="s">
        <v>35</v>
      </c>
    </row>
    <row r="266" spans="1:30" x14ac:dyDescent="0.25">
      <c r="A266" t="s">
        <v>28</v>
      </c>
      <c r="B266">
        <v>2020</v>
      </c>
      <c r="C266" t="s">
        <v>36</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30</v>
      </c>
      <c r="B267">
        <v>2020</v>
      </c>
      <c r="C267" t="s">
        <v>36</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t="s">
        <v>31</v>
      </c>
      <c r="B268">
        <v>2020</v>
      </c>
      <c r="C268" t="s">
        <v>36</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28</v>
      </c>
      <c r="B269">
        <v>2020</v>
      </c>
      <c r="C269" t="s">
        <v>37</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t="s">
        <v>30</v>
      </c>
      <c r="B270">
        <v>2020</v>
      </c>
      <c r="C270" t="s">
        <v>37</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5">
      <c r="A271" t="s">
        <v>31</v>
      </c>
      <c r="B271">
        <v>2020</v>
      </c>
      <c r="C271" t="s">
        <v>37</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t="s">
        <v>28</v>
      </c>
      <c r="B272">
        <v>2020</v>
      </c>
      <c r="C272" t="s">
        <v>38</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V272">
        <v>145.80000000000001</v>
      </c>
      <c r="W272">
        <v>151.9</v>
      </c>
      <c r="X272">
        <v>158.80000000000001</v>
      </c>
      <c r="Y272">
        <v>143.6</v>
      </c>
      <c r="Z272">
        <v>152.19999999999999</v>
      </c>
      <c r="AA272">
        <v>162.69999999999999</v>
      </c>
      <c r="AB272">
        <v>153.6</v>
      </c>
      <c r="AC272">
        <v>153</v>
      </c>
      <c r="AD272">
        <v>154.69999999999999</v>
      </c>
    </row>
    <row r="273" spans="1:30" x14ac:dyDescent="0.25">
      <c r="A273" t="s">
        <v>30</v>
      </c>
      <c r="B273">
        <v>2020</v>
      </c>
      <c r="C273" t="s">
        <v>38</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5">
      <c r="A274" t="s">
        <v>31</v>
      </c>
      <c r="B274">
        <v>2020</v>
      </c>
      <c r="C274" t="s">
        <v>38</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t="s">
        <v>28</v>
      </c>
      <c r="B275">
        <v>2020</v>
      </c>
      <c r="C275" t="s">
        <v>39</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V275">
        <v>146.4</v>
      </c>
      <c r="W275">
        <v>151.6</v>
      </c>
      <c r="X275">
        <v>159.1</v>
      </c>
      <c r="Y275">
        <v>144.6</v>
      </c>
      <c r="Z275">
        <v>152.80000000000001</v>
      </c>
      <c r="AA275">
        <v>161.1</v>
      </c>
      <c r="AB275">
        <v>157.4</v>
      </c>
      <c r="AC275">
        <v>153.69999999999999</v>
      </c>
      <c r="AD275">
        <v>155.4</v>
      </c>
    </row>
    <row r="276" spans="1:30" x14ac:dyDescent="0.25">
      <c r="A276" t="s">
        <v>30</v>
      </c>
      <c r="B276">
        <v>2020</v>
      </c>
      <c r="C276" t="s">
        <v>39</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5">
      <c r="A277" t="s">
        <v>31</v>
      </c>
      <c r="B277">
        <v>2020</v>
      </c>
      <c r="C277" t="s">
        <v>39</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t="s">
        <v>28</v>
      </c>
      <c r="B278">
        <v>2020</v>
      </c>
      <c r="C278" t="s">
        <v>40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V278">
        <v>146.80000000000001</v>
      </c>
      <c r="W278">
        <v>152</v>
      </c>
      <c r="X278">
        <v>159.5</v>
      </c>
      <c r="Y278">
        <v>146.4</v>
      </c>
      <c r="Z278">
        <v>152.4</v>
      </c>
      <c r="AA278">
        <v>162.5</v>
      </c>
      <c r="AB278">
        <v>156.19999999999999</v>
      </c>
      <c r="AC278">
        <v>154.30000000000001</v>
      </c>
      <c r="AD278">
        <v>157.5</v>
      </c>
    </row>
    <row r="279" spans="1:30" x14ac:dyDescent="0.25">
      <c r="A279" t="s">
        <v>30</v>
      </c>
      <c r="B279">
        <v>2020</v>
      </c>
      <c r="C279" t="s">
        <v>40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5">
      <c r="A280" t="s">
        <v>31</v>
      </c>
      <c r="B280">
        <v>2020</v>
      </c>
      <c r="C280" t="s">
        <v>40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t="s">
        <v>28</v>
      </c>
      <c r="B281">
        <v>2020</v>
      </c>
      <c r="C281" t="s">
        <v>42</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V281">
        <v>147.5</v>
      </c>
      <c r="W281">
        <v>152.80000000000001</v>
      </c>
      <c r="X281">
        <v>160.4</v>
      </c>
      <c r="Y281">
        <v>146.1</v>
      </c>
      <c r="Z281">
        <v>153.6</v>
      </c>
      <c r="AA281">
        <v>161.6</v>
      </c>
      <c r="AB281">
        <v>156.19999999999999</v>
      </c>
      <c r="AC281">
        <v>154.5</v>
      </c>
      <c r="AD281">
        <v>159.80000000000001</v>
      </c>
    </row>
    <row r="282" spans="1:30" x14ac:dyDescent="0.25">
      <c r="A282" t="s">
        <v>30</v>
      </c>
      <c r="B282">
        <v>2020</v>
      </c>
      <c r="C282" t="s">
        <v>42</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5">
      <c r="A283" t="s">
        <v>31</v>
      </c>
      <c r="B283">
        <v>2020</v>
      </c>
      <c r="C283" t="s">
        <v>42</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t="s">
        <v>28</v>
      </c>
      <c r="B284">
        <v>2020</v>
      </c>
      <c r="C284" t="s">
        <v>43</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V284">
        <v>148.69999999999999</v>
      </c>
      <c r="W284">
        <v>153.4</v>
      </c>
      <c r="X284">
        <v>161.6</v>
      </c>
      <c r="Y284">
        <v>146.4</v>
      </c>
      <c r="Z284">
        <v>153.9</v>
      </c>
      <c r="AA284">
        <v>162.9</v>
      </c>
      <c r="AB284">
        <v>156.6</v>
      </c>
      <c r="AC284">
        <v>155.19999999999999</v>
      </c>
      <c r="AD284">
        <v>160.69999999999999</v>
      </c>
    </row>
    <row r="285" spans="1:30" x14ac:dyDescent="0.25">
      <c r="A285" t="s">
        <v>30</v>
      </c>
      <c r="B285">
        <v>2020</v>
      </c>
      <c r="C285" t="s">
        <v>43</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5">
      <c r="A286" t="s">
        <v>31</v>
      </c>
      <c r="B286">
        <v>2020</v>
      </c>
      <c r="C286" t="s">
        <v>43</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5">
      <c r="A287" t="s">
        <v>28</v>
      </c>
      <c r="B287">
        <v>2021</v>
      </c>
      <c r="C287" t="s">
        <v>29</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V287">
        <v>150.9</v>
      </c>
      <c r="W287">
        <v>153.9</v>
      </c>
      <c r="X287">
        <v>162.5</v>
      </c>
      <c r="Y287">
        <v>147.5</v>
      </c>
      <c r="Z287">
        <v>155.1</v>
      </c>
      <c r="AA287">
        <v>163.5</v>
      </c>
      <c r="AB287">
        <v>156.19999999999999</v>
      </c>
      <c r="AC287">
        <v>155.9</v>
      </c>
      <c r="AD287">
        <v>158.5</v>
      </c>
    </row>
    <row r="288" spans="1:30" x14ac:dyDescent="0.25">
      <c r="A288" t="s">
        <v>30</v>
      </c>
      <c r="B288">
        <v>2021</v>
      </c>
      <c r="C288" t="s">
        <v>29</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25">
      <c r="A289" t="s">
        <v>31</v>
      </c>
      <c r="B289">
        <v>2021</v>
      </c>
      <c r="C289" t="s">
        <v>29</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5">
      <c r="A290" t="s">
        <v>28</v>
      </c>
      <c r="B290">
        <v>2021</v>
      </c>
      <c r="C290" t="s">
        <v>32</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V290">
        <v>154.4</v>
      </c>
      <c r="W290">
        <v>154.80000000000001</v>
      </c>
      <c r="X290">
        <v>164.3</v>
      </c>
      <c r="Y290">
        <v>150.19999999999999</v>
      </c>
      <c r="Z290">
        <v>157</v>
      </c>
      <c r="AA290">
        <v>163.6</v>
      </c>
      <c r="AB290">
        <v>155.19999999999999</v>
      </c>
      <c r="AC290">
        <v>157.19999999999999</v>
      </c>
      <c r="AD290">
        <v>156.69999999999999</v>
      </c>
    </row>
    <row r="291" spans="1:30" x14ac:dyDescent="0.25">
      <c r="A291" t="s">
        <v>30</v>
      </c>
      <c r="B291">
        <v>2021</v>
      </c>
      <c r="C291" t="s">
        <v>32</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25">
      <c r="A292" t="s">
        <v>31</v>
      </c>
      <c r="B292">
        <v>2021</v>
      </c>
      <c r="C292" t="s">
        <v>32</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5">
      <c r="A293" t="s">
        <v>28</v>
      </c>
      <c r="B293">
        <v>2021</v>
      </c>
      <c r="C293" t="s">
        <v>33</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45</v>
      </c>
      <c r="V293">
        <v>156</v>
      </c>
      <c r="W293">
        <v>154.80000000000001</v>
      </c>
      <c r="X293">
        <v>164.6</v>
      </c>
      <c r="Y293">
        <v>151.30000000000001</v>
      </c>
      <c r="Z293">
        <v>157.80000000000001</v>
      </c>
      <c r="AA293">
        <v>163.80000000000001</v>
      </c>
      <c r="AB293">
        <v>153.1</v>
      </c>
      <c r="AC293">
        <v>157.30000000000001</v>
      </c>
      <c r="AD293">
        <v>156.69999999999999</v>
      </c>
    </row>
    <row r="294" spans="1:30" x14ac:dyDescent="0.25">
      <c r="A294" t="s">
        <v>30</v>
      </c>
      <c r="B294">
        <v>2021</v>
      </c>
      <c r="C294" t="s">
        <v>33</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25">
      <c r="A295" t="s">
        <v>31</v>
      </c>
      <c r="B295">
        <v>2021</v>
      </c>
      <c r="C295" t="s">
        <v>33</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5">
      <c r="A296" t="s">
        <v>28</v>
      </c>
      <c r="B296">
        <v>2021</v>
      </c>
      <c r="C296" t="s">
        <v>34</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45</v>
      </c>
      <c r="V296">
        <v>156</v>
      </c>
      <c r="W296">
        <v>155.5</v>
      </c>
      <c r="X296">
        <v>165.3</v>
      </c>
      <c r="Y296">
        <v>151.69999999999999</v>
      </c>
      <c r="Z296">
        <v>158.6</v>
      </c>
      <c r="AA296">
        <v>164.1</v>
      </c>
      <c r="AB296">
        <v>154.6</v>
      </c>
      <c r="AC296">
        <v>158</v>
      </c>
      <c r="AD296">
        <v>157.6</v>
      </c>
    </row>
    <row r="297" spans="1:30" x14ac:dyDescent="0.25">
      <c r="A297" t="s">
        <v>30</v>
      </c>
      <c r="B297">
        <v>2021</v>
      </c>
      <c r="C297" t="s">
        <v>34</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25">
      <c r="A298" t="s">
        <v>31</v>
      </c>
      <c r="B298">
        <v>2021</v>
      </c>
      <c r="C298" t="s">
        <v>34</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5">
      <c r="A299" t="s">
        <v>28</v>
      </c>
      <c r="B299">
        <v>2021</v>
      </c>
      <c r="C299" t="s">
        <v>35</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V299">
        <v>161.69999999999999</v>
      </c>
      <c r="W299">
        <v>158.80000000000001</v>
      </c>
      <c r="X299">
        <v>169.1</v>
      </c>
      <c r="Y299">
        <v>153.19999999999999</v>
      </c>
      <c r="Z299">
        <v>160</v>
      </c>
      <c r="AA299">
        <v>167.6</v>
      </c>
      <c r="AB299">
        <v>159.30000000000001</v>
      </c>
      <c r="AC299">
        <v>161.1</v>
      </c>
      <c r="AD299">
        <v>161.1</v>
      </c>
    </row>
    <row r="300" spans="1:30" x14ac:dyDescent="0.25">
      <c r="A300" t="s">
        <v>30</v>
      </c>
      <c r="B300">
        <v>2021</v>
      </c>
      <c r="C300" t="s">
        <v>35</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25">
      <c r="A301" t="s">
        <v>31</v>
      </c>
      <c r="B301">
        <v>2021</v>
      </c>
      <c r="C301" t="s">
        <v>35</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5">
      <c r="A302" t="s">
        <v>28</v>
      </c>
      <c r="B302">
        <v>2021</v>
      </c>
      <c r="C302" t="s">
        <v>36</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V302">
        <v>162.1</v>
      </c>
      <c r="W302">
        <v>159.19999999999999</v>
      </c>
      <c r="X302">
        <v>169.7</v>
      </c>
      <c r="Y302">
        <v>154.19999999999999</v>
      </c>
      <c r="Z302">
        <v>160.4</v>
      </c>
      <c r="AA302">
        <v>166.8</v>
      </c>
      <c r="AB302">
        <v>159.4</v>
      </c>
      <c r="AC302">
        <v>161.5</v>
      </c>
      <c r="AD302">
        <v>162.1</v>
      </c>
    </row>
    <row r="303" spans="1:30" x14ac:dyDescent="0.25">
      <c r="A303" t="s">
        <v>30</v>
      </c>
      <c r="B303">
        <v>2021</v>
      </c>
      <c r="C303" t="s">
        <v>36</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25">
      <c r="A304" t="s">
        <v>31</v>
      </c>
      <c r="B304">
        <v>2021</v>
      </c>
      <c r="C304" t="s">
        <v>36</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5">
      <c r="A305" t="s">
        <v>28</v>
      </c>
      <c r="B305">
        <v>2021</v>
      </c>
      <c r="C305" t="s">
        <v>37</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V305">
        <v>162.5</v>
      </c>
      <c r="W305">
        <v>160.30000000000001</v>
      </c>
      <c r="X305">
        <v>170.4</v>
      </c>
      <c r="Y305">
        <v>157.1</v>
      </c>
      <c r="Z305">
        <v>160.69999999999999</v>
      </c>
      <c r="AA305">
        <v>167.2</v>
      </c>
      <c r="AB305">
        <v>160.4</v>
      </c>
      <c r="AC305">
        <v>162.80000000000001</v>
      </c>
      <c r="AD305">
        <v>163.19999999999999</v>
      </c>
    </row>
    <row r="306" spans="1:30" x14ac:dyDescent="0.25">
      <c r="A306" t="s">
        <v>30</v>
      </c>
      <c r="B306">
        <v>2021</v>
      </c>
      <c r="C306" t="s">
        <v>37</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25">
      <c r="A307" t="s">
        <v>31</v>
      </c>
      <c r="B307">
        <v>2021</v>
      </c>
      <c r="C307" t="s">
        <v>37</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5">
      <c r="A308" t="s">
        <v>28</v>
      </c>
      <c r="B308">
        <v>2021</v>
      </c>
      <c r="C308" t="s">
        <v>38</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V308">
        <v>163.1</v>
      </c>
      <c r="W308">
        <v>160.9</v>
      </c>
      <c r="X308">
        <v>171.1</v>
      </c>
      <c r="Y308">
        <v>157.69999999999999</v>
      </c>
      <c r="Z308">
        <v>161.1</v>
      </c>
      <c r="AA308">
        <v>167.5</v>
      </c>
      <c r="AB308">
        <v>160.30000000000001</v>
      </c>
      <c r="AC308">
        <v>163.30000000000001</v>
      </c>
      <c r="AD308">
        <v>163.6</v>
      </c>
    </row>
    <row r="309" spans="1:30" x14ac:dyDescent="0.25">
      <c r="A309" t="s">
        <v>30</v>
      </c>
      <c r="B309">
        <v>2021</v>
      </c>
      <c r="C309" t="s">
        <v>38</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25">
      <c r="A310" t="s">
        <v>31</v>
      </c>
      <c r="B310">
        <v>2021</v>
      </c>
      <c r="C310" t="s">
        <v>38</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5">
      <c r="A311" t="s">
        <v>28</v>
      </c>
      <c r="B311">
        <v>2021</v>
      </c>
      <c r="C311" t="s">
        <v>39</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V311">
        <v>163.69999999999999</v>
      </c>
      <c r="W311">
        <v>161.30000000000001</v>
      </c>
      <c r="X311">
        <v>171.9</v>
      </c>
      <c r="Y311">
        <v>157.80000000000001</v>
      </c>
      <c r="Z311">
        <v>162.69999999999999</v>
      </c>
      <c r="AA311">
        <v>168.5</v>
      </c>
      <c r="AB311">
        <v>160.19999999999999</v>
      </c>
      <c r="AC311">
        <v>163.80000000000001</v>
      </c>
      <c r="AD311">
        <v>164</v>
      </c>
    </row>
    <row r="312" spans="1:30" x14ac:dyDescent="0.25">
      <c r="A312" t="s">
        <v>30</v>
      </c>
      <c r="B312">
        <v>2021</v>
      </c>
      <c r="C312" t="s">
        <v>39</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25">
      <c r="A313" t="s">
        <v>31</v>
      </c>
      <c r="B313">
        <v>2021</v>
      </c>
      <c r="C313" t="s">
        <v>39</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5">
      <c r="A314" t="s">
        <v>28</v>
      </c>
      <c r="B314">
        <v>2021</v>
      </c>
      <c r="C314" t="s">
        <v>40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V314">
        <v>165.5</v>
      </c>
      <c r="W314">
        <v>162</v>
      </c>
      <c r="X314">
        <v>172.5</v>
      </c>
      <c r="Y314">
        <v>159.5</v>
      </c>
      <c r="Z314">
        <v>163.19999999999999</v>
      </c>
      <c r="AA314">
        <v>169</v>
      </c>
      <c r="AB314">
        <v>161.1</v>
      </c>
      <c r="AC314">
        <v>164.7</v>
      </c>
      <c r="AD314">
        <v>166.3</v>
      </c>
    </row>
    <row r="315" spans="1:30" x14ac:dyDescent="0.25">
      <c r="A315" t="s">
        <v>30</v>
      </c>
      <c r="B315">
        <v>2021</v>
      </c>
      <c r="C315" t="s">
        <v>40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25">
      <c r="A316" t="s">
        <v>31</v>
      </c>
      <c r="B316">
        <v>2021</v>
      </c>
      <c r="C316" t="s">
        <v>40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5">
      <c r="A317" t="s">
        <v>28</v>
      </c>
      <c r="B317">
        <v>2021</v>
      </c>
      <c r="C317" t="s">
        <v>42</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V317">
        <v>165.3</v>
      </c>
      <c r="W317">
        <v>162.9</v>
      </c>
      <c r="X317">
        <v>173.4</v>
      </c>
      <c r="Y317">
        <v>158.9</v>
      </c>
      <c r="Z317">
        <v>163.80000000000001</v>
      </c>
      <c r="AA317">
        <v>169.3</v>
      </c>
      <c r="AB317">
        <v>162.4</v>
      </c>
      <c r="AC317">
        <v>165.2</v>
      </c>
      <c r="AD317">
        <v>167.6</v>
      </c>
    </row>
    <row r="318" spans="1:30" x14ac:dyDescent="0.25">
      <c r="A318" t="s">
        <v>30</v>
      </c>
      <c r="B318">
        <v>2021</v>
      </c>
      <c r="C318" t="s">
        <v>42</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25">
      <c r="A319" t="s">
        <v>31</v>
      </c>
      <c r="B319">
        <v>2021</v>
      </c>
      <c r="C319" t="s">
        <v>42</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5">
      <c r="A320" t="s">
        <v>28</v>
      </c>
      <c r="B320">
        <v>2021</v>
      </c>
      <c r="C320" t="s">
        <v>43</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V320">
        <v>165.6</v>
      </c>
      <c r="W320">
        <v>163.9</v>
      </c>
      <c r="X320">
        <v>174</v>
      </c>
      <c r="Y320">
        <v>160.1</v>
      </c>
      <c r="Z320">
        <v>164.5</v>
      </c>
      <c r="AA320">
        <v>169.7</v>
      </c>
      <c r="AB320">
        <v>162.80000000000001</v>
      </c>
      <c r="AC320">
        <v>166</v>
      </c>
      <c r="AD320">
        <v>167</v>
      </c>
    </row>
    <row r="321" spans="1:30" x14ac:dyDescent="0.25">
      <c r="A321" t="s">
        <v>30</v>
      </c>
      <c r="B321">
        <v>2021</v>
      </c>
      <c r="C321" t="s">
        <v>43</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25">
      <c r="A322" t="s">
        <v>31</v>
      </c>
      <c r="B322">
        <v>2021</v>
      </c>
      <c r="C322" t="s">
        <v>43</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5">
      <c r="A323" t="s">
        <v>28</v>
      </c>
      <c r="B323">
        <v>2022</v>
      </c>
      <c r="C323" t="s">
        <v>29</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V323">
        <v>165.8</v>
      </c>
      <c r="W323">
        <v>164.9</v>
      </c>
      <c r="X323">
        <v>174.7</v>
      </c>
      <c r="Y323">
        <v>160.80000000000001</v>
      </c>
      <c r="Z323">
        <v>164.9</v>
      </c>
      <c r="AA323">
        <v>169.9</v>
      </c>
      <c r="AB323">
        <v>163.19999999999999</v>
      </c>
      <c r="AC323">
        <v>166.6</v>
      </c>
      <c r="AD323">
        <v>166.4</v>
      </c>
    </row>
    <row r="324" spans="1:30" x14ac:dyDescent="0.25">
      <c r="A324" t="s">
        <v>30</v>
      </c>
      <c r="B324">
        <v>2022</v>
      </c>
      <c r="C324" t="s">
        <v>29</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25">
      <c r="A325" t="s">
        <v>31</v>
      </c>
      <c r="B325">
        <v>2022</v>
      </c>
      <c r="C325" t="s">
        <v>29</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5">
      <c r="A326" t="s">
        <v>28</v>
      </c>
      <c r="B326">
        <v>2022</v>
      </c>
      <c r="C326" t="s">
        <v>32</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V326">
        <v>167.4</v>
      </c>
      <c r="W326">
        <v>165.7</v>
      </c>
      <c r="X326">
        <v>175.3</v>
      </c>
      <c r="Y326">
        <v>161.19999999999999</v>
      </c>
      <c r="Z326">
        <v>165.5</v>
      </c>
      <c r="AA326">
        <v>170.3</v>
      </c>
      <c r="AB326">
        <v>164.5</v>
      </c>
      <c r="AC326">
        <v>167.3</v>
      </c>
      <c r="AD326">
        <v>166.7</v>
      </c>
    </row>
    <row r="327" spans="1:30" x14ac:dyDescent="0.25">
      <c r="A327" t="s">
        <v>30</v>
      </c>
      <c r="B327">
        <v>2022</v>
      </c>
      <c r="C327" t="s">
        <v>32</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25">
      <c r="A328" t="s">
        <v>31</v>
      </c>
      <c r="B328">
        <v>2022</v>
      </c>
      <c r="C328" t="s">
        <v>32</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5">
      <c r="A329" t="s">
        <v>28</v>
      </c>
      <c r="B329">
        <v>2022</v>
      </c>
      <c r="C329" t="s">
        <v>33</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V329">
        <v>168.9</v>
      </c>
      <c r="W329">
        <v>166.5</v>
      </c>
      <c r="X329">
        <v>176</v>
      </c>
      <c r="Y329">
        <v>162</v>
      </c>
      <c r="Z329">
        <v>166.6</v>
      </c>
      <c r="AA329">
        <v>170.6</v>
      </c>
      <c r="AB329">
        <v>167.4</v>
      </c>
      <c r="AC329">
        <v>168.3</v>
      </c>
      <c r="AD329">
        <v>168.7</v>
      </c>
    </row>
    <row r="330" spans="1:30" x14ac:dyDescent="0.25">
      <c r="A330" t="s">
        <v>30</v>
      </c>
      <c r="B330">
        <v>2022</v>
      </c>
      <c r="C330" t="s">
        <v>33</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25">
      <c r="A331" t="s">
        <v>31</v>
      </c>
      <c r="B331">
        <v>2022</v>
      </c>
      <c r="C331" t="s">
        <v>33</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5">
      <c r="A332" t="s">
        <v>28</v>
      </c>
      <c r="B332">
        <v>2022</v>
      </c>
      <c r="C332" t="s">
        <v>34</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V332">
        <v>173.3</v>
      </c>
      <c r="W332">
        <v>167.7</v>
      </c>
      <c r="X332">
        <v>177</v>
      </c>
      <c r="Y332">
        <v>166.2</v>
      </c>
      <c r="Z332">
        <v>167.2</v>
      </c>
      <c r="AA332">
        <v>170.9</v>
      </c>
      <c r="AB332">
        <v>169</v>
      </c>
      <c r="AC332">
        <v>170.2</v>
      </c>
      <c r="AD332">
        <v>170.8</v>
      </c>
    </row>
    <row r="333" spans="1:30" x14ac:dyDescent="0.25">
      <c r="A333" t="s">
        <v>30</v>
      </c>
      <c r="B333">
        <v>2022</v>
      </c>
      <c r="C333" t="s">
        <v>34</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25">
      <c r="A334" t="s">
        <v>31</v>
      </c>
      <c r="B334">
        <v>2022</v>
      </c>
      <c r="C334" t="s">
        <v>34</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5">
      <c r="A335" t="s">
        <v>28</v>
      </c>
      <c r="B335">
        <v>2022</v>
      </c>
      <c r="C335" t="s">
        <v>35</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V335">
        <v>175.3</v>
      </c>
      <c r="W335">
        <v>168.9</v>
      </c>
      <c r="X335">
        <v>177.7</v>
      </c>
      <c r="Y335">
        <v>167.1</v>
      </c>
      <c r="Z335">
        <v>167.6</v>
      </c>
      <c r="AA335">
        <v>171.8</v>
      </c>
      <c r="AB335">
        <v>168.5</v>
      </c>
      <c r="AC335">
        <v>170.9</v>
      </c>
      <c r="AD335">
        <v>172.5</v>
      </c>
    </row>
    <row r="336" spans="1:30" x14ac:dyDescent="0.25">
      <c r="A336" t="s">
        <v>30</v>
      </c>
      <c r="B336">
        <v>2022</v>
      </c>
      <c r="C336" t="s">
        <v>35</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25">
      <c r="A337" t="s">
        <v>31</v>
      </c>
      <c r="B337">
        <v>2022</v>
      </c>
      <c r="C337" t="s">
        <v>35</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5">
      <c r="A338" t="s">
        <v>28</v>
      </c>
      <c r="B338">
        <v>2022</v>
      </c>
      <c r="C338" t="s">
        <v>36</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V338">
        <v>176.7</v>
      </c>
      <c r="W338">
        <v>170.3</v>
      </c>
      <c r="X338">
        <v>178.2</v>
      </c>
      <c r="Y338">
        <v>165.5</v>
      </c>
      <c r="Z338">
        <v>168</v>
      </c>
      <c r="AA338">
        <v>172.6</v>
      </c>
      <c r="AB338">
        <v>169.5</v>
      </c>
      <c r="AC338">
        <v>171</v>
      </c>
      <c r="AD338">
        <v>173.6</v>
      </c>
    </row>
    <row r="339" spans="1:30" x14ac:dyDescent="0.25">
      <c r="A339" t="s">
        <v>30</v>
      </c>
      <c r="B339">
        <v>2022</v>
      </c>
      <c r="C339" t="s">
        <v>36</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25">
      <c r="A340" t="s">
        <v>31</v>
      </c>
      <c r="B340">
        <v>2022</v>
      </c>
      <c r="C340" t="s">
        <v>36</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5">
      <c r="A341" t="s">
        <v>28</v>
      </c>
      <c r="B341">
        <v>2022</v>
      </c>
      <c r="C341" t="s">
        <v>37</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V341">
        <v>179.6</v>
      </c>
      <c r="W341">
        <v>171.3</v>
      </c>
      <c r="X341">
        <v>178.8</v>
      </c>
      <c r="Y341">
        <v>166.3</v>
      </c>
      <c r="Z341">
        <v>168.6</v>
      </c>
      <c r="AA341">
        <v>174.7</v>
      </c>
      <c r="AB341">
        <v>169.7</v>
      </c>
      <c r="AC341">
        <v>171.8</v>
      </c>
      <c r="AD341">
        <v>174.3</v>
      </c>
    </row>
    <row r="342" spans="1:30" x14ac:dyDescent="0.25">
      <c r="A342" t="s">
        <v>30</v>
      </c>
      <c r="B342">
        <v>2022</v>
      </c>
      <c r="C342" t="s">
        <v>37</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25">
      <c r="A343" t="s">
        <v>31</v>
      </c>
      <c r="B343">
        <v>2022</v>
      </c>
      <c r="C343" t="s">
        <v>37</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5">
      <c r="A344" t="s">
        <v>28</v>
      </c>
      <c r="B344">
        <v>2022</v>
      </c>
      <c r="C344" t="s">
        <v>38</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V344">
        <v>179.1</v>
      </c>
      <c r="W344">
        <v>172.3</v>
      </c>
      <c r="X344">
        <v>179.4</v>
      </c>
      <c r="Y344">
        <v>166.6</v>
      </c>
      <c r="Z344">
        <v>169.3</v>
      </c>
      <c r="AA344">
        <v>175.7</v>
      </c>
      <c r="AB344">
        <v>171.1</v>
      </c>
      <c r="AC344">
        <v>172.6</v>
      </c>
      <c r="AD344">
        <v>175.3</v>
      </c>
    </row>
    <row r="345" spans="1:30" x14ac:dyDescent="0.25">
      <c r="A345" t="s">
        <v>30</v>
      </c>
      <c r="B345">
        <v>2022</v>
      </c>
      <c r="C345" t="s">
        <v>38</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25">
      <c r="A346" t="s">
        <v>31</v>
      </c>
      <c r="B346">
        <v>2022</v>
      </c>
      <c r="C346" t="s">
        <v>38</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5">
      <c r="A347" t="s">
        <v>28</v>
      </c>
      <c r="B347">
        <v>2022</v>
      </c>
      <c r="C347" t="s">
        <v>39</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V347">
        <v>179.7</v>
      </c>
      <c r="W347">
        <v>173.6</v>
      </c>
      <c r="X347">
        <v>180.2</v>
      </c>
      <c r="Y347">
        <v>166.9</v>
      </c>
      <c r="Z347">
        <v>170</v>
      </c>
      <c r="AA347">
        <v>176.2</v>
      </c>
      <c r="AB347">
        <v>170.8</v>
      </c>
      <c r="AC347">
        <v>173.1</v>
      </c>
      <c r="AD347">
        <v>176.4</v>
      </c>
    </row>
    <row r="348" spans="1:30" x14ac:dyDescent="0.25">
      <c r="A348" t="s">
        <v>30</v>
      </c>
      <c r="B348">
        <v>2022</v>
      </c>
      <c r="C348" t="s">
        <v>39</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25">
      <c r="A349" t="s">
        <v>31</v>
      </c>
      <c r="B349">
        <v>2022</v>
      </c>
      <c r="C349" t="s">
        <v>39</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5">
      <c r="A350" t="s">
        <v>28</v>
      </c>
      <c r="B350">
        <v>2022</v>
      </c>
      <c r="C350" t="s">
        <v>40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V350">
        <v>180.8</v>
      </c>
      <c r="W350">
        <v>174.4</v>
      </c>
      <c r="X350">
        <v>181.2</v>
      </c>
      <c r="Y350">
        <v>167.4</v>
      </c>
      <c r="Z350">
        <v>170.6</v>
      </c>
      <c r="AA350">
        <v>176.5</v>
      </c>
      <c r="AB350">
        <v>172</v>
      </c>
      <c r="AC350">
        <v>173.9</v>
      </c>
      <c r="AD350">
        <v>177.9</v>
      </c>
    </row>
    <row r="351" spans="1:30" x14ac:dyDescent="0.25">
      <c r="A351" t="s">
        <v>30</v>
      </c>
      <c r="B351">
        <v>2022</v>
      </c>
      <c r="C351" t="s">
        <v>40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25">
      <c r="A352" t="s">
        <v>31</v>
      </c>
      <c r="B352">
        <v>2022</v>
      </c>
      <c r="C352" t="s">
        <v>40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5">
      <c r="A353" t="s">
        <v>28</v>
      </c>
      <c r="B353">
        <v>2022</v>
      </c>
      <c r="C353" t="s">
        <v>42</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V353">
        <v>181.9</v>
      </c>
      <c r="W353">
        <v>175.5</v>
      </c>
      <c r="X353">
        <v>182.3</v>
      </c>
      <c r="Y353">
        <v>167.5</v>
      </c>
      <c r="Z353">
        <v>170.8</v>
      </c>
      <c r="AA353">
        <v>176.9</v>
      </c>
      <c r="AB353">
        <v>173.4</v>
      </c>
      <c r="AC353">
        <v>174.6</v>
      </c>
      <c r="AD353">
        <v>177.8</v>
      </c>
    </row>
    <row r="354" spans="1:30" x14ac:dyDescent="0.25">
      <c r="A354" t="s">
        <v>30</v>
      </c>
      <c r="B354">
        <v>2022</v>
      </c>
      <c r="C354" t="s">
        <v>42</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25">
      <c r="A355" t="s">
        <v>31</v>
      </c>
      <c r="B355">
        <v>2022</v>
      </c>
      <c r="C355" t="s">
        <v>42</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5">
      <c r="A356" t="s">
        <v>28</v>
      </c>
      <c r="B356">
        <v>2022</v>
      </c>
      <c r="C356" t="s">
        <v>43</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V356">
        <v>182.8</v>
      </c>
      <c r="W356">
        <v>176.4</v>
      </c>
      <c r="X356">
        <v>183.5</v>
      </c>
      <c r="Y356">
        <v>167.8</v>
      </c>
      <c r="Z356">
        <v>171.2</v>
      </c>
      <c r="AA356">
        <v>177.3</v>
      </c>
      <c r="AB356">
        <v>175.7</v>
      </c>
      <c r="AC356">
        <v>175.5</v>
      </c>
      <c r="AD356">
        <v>177.1</v>
      </c>
    </row>
    <row r="357" spans="1:30" x14ac:dyDescent="0.25">
      <c r="A357" t="s">
        <v>30</v>
      </c>
      <c r="B357">
        <v>2022</v>
      </c>
      <c r="C357" t="s">
        <v>43</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25">
      <c r="A358" t="s">
        <v>31</v>
      </c>
      <c r="B358">
        <v>2022</v>
      </c>
      <c r="C358" t="s">
        <v>43</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5">
      <c r="A359" t="s">
        <v>28</v>
      </c>
      <c r="B359">
        <v>2023</v>
      </c>
      <c r="C359" t="s">
        <v>29</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V359">
        <v>183.2</v>
      </c>
      <c r="W359">
        <v>177.2</v>
      </c>
      <c r="X359">
        <v>184.7</v>
      </c>
      <c r="Y359">
        <v>168.2</v>
      </c>
      <c r="Z359">
        <v>171.8</v>
      </c>
      <c r="AA359">
        <v>177.8</v>
      </c>
      <c r="AB359">
        <v>178.4</v>
      </c>
      <c r="AC359">
        <v>176.5</v>
      </c>
      <c r="AD359">
        <v>177.8</v>
      </c>
    </row>
    <row r="360" spans="1:30" x14ac:dyDescent="0.25">
      <c r="A360" t="s">
        <v>30</v>
      </c>
      <c r="B360">
        <v>2023</v>
      </c>
      <c r="C360" t="s">
        <v>29</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25">
      <c r="A361" t="s">
        <v>31</v>
      </c>
      <c r="B361">
        <v>2023</v>
      </c>
      <c r="C361" t="s">
        <v>29</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5">
      <c r="A362" t="s">
        <v>28</v>
      </c>
      <c r="B362">
        <v>2023</v>
      </c>
      <c r="C362" t="s">
        <v>32</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V362">
        <v>181.6</v>
      </c>
      <c r="W362">
        <v>178.6</v>
      </c>
      <c r="X362">
        <v>186.6</v>
      </c>
      <c r="Y362">
        <v>169</v>
      </c>
      <c r="Z362">
        <v>172.8</v>
      </c>
      <c r="AA362">
        <v>178.5</v>
      </c>
      <c r="AB362">
        <v>180.7</v>
      </c>
      <c r="AC362">
        <v>177.9</v>
      </c>
      <c r="AD362">
        <v>178</v>
      </c>
    </row>
    <row r="363" spans="1:30" x14ac:dyDescent="0.25">
      <c r="A363" t="s">
        <v>30</v>
      </c>
      <c r="B363">
        <v>2023</v>
      </c>
      <c r="C363" t="s">
        <v>32</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25">
      <c r="A364" t="s">
        <v>31</v>
      </c>
      <c r="B364">
        <v>2023</v>
      </c>
      <c r="C364" t="s">
        <v>32</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5">
      <c r="A365" t="s">
        <v>28</v>
      </c>
      <c r="B365">
        <v>2023</v>
      </c>
      <c r="C365" t="s">
        <v>33</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V365">
        <v>181.4</v>
      </c>
      <c r="W365">
        <v>178.6</v>
      </c>
      <c r="X365">
        <v>186.6</v>
      </c>
      <c r="Y365">
        <v>169</v>
      </c>
      <c r="Z365">
        <v>172.8</v>
      </c>
      <c r="AA365">
        <v>178.5</v>
      </c>
      <c r="AB365">
        <v>180.7</v>
      </c>
      <c r="AC365">
        <v>177.9</v>
      </c>
      <c r="AD365">
        <v>178</v>
      </c>
    </row>
    <row r="366" spans="1:30" x14ac:dyDescent="0.25">
      <c r="A366" t="s">
        <v>30</v>
      </c>
      <c r="B366">
        <v>2023</v>
      </c>
      <c r="C366" t="s">
        <v>33</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25">
      <c r="A367" t="s">
        <v>31</v>
      </c>
      <c r="B367">
        <v>2023</v>
      </c>
      <c r="C367" t="s">
        <v>33</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5">
      <c r="A368" t="s">
        <v>28</v>
      </c>
      <c r="B368">
        <v>2023</v>
      </c>
      <c r="C368" t="s">
        <v>34</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45</v>
      </c>
      <c r="V368">
        <v>181.5</v>
      </c>
      <c r="W368">
        <v>179.1</v>
      </c>
      <c r="X368">
        <v>187.2</v>
      </c>
      <c r="Y368">
        <v>169.4</v>
      </c>
      <c r="Z368">
        <v>173.2</v>
      </c>
      <c r="AA368">
        <v>179.4</v>
      </c>
      <c r="AB368">
        <v>183.8</v>
      </c>
      <c r="AC368">
        <v>178.9</v>
      </c>
      <c r="AD368">
        <v>178.8</v>
      </c>
    </row>
    <row r="369" spans="1:30" x14ac:dyDescent="0.25">
      <c r="A369" t="s">
        <v>30</v>
      </c>
      <c r="B369">
        <v>2023</v>
      </c>
      <c r="C369" t="s">
        <v>34</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25">
      <c r="A370" t="s">
        <v>31</v>
      </c>
      <c r="B370">
        <v>2023</v>
      </c>
      <c r="C370" t="s">
        <v>34</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5">
      <c r="A371" t="s">
        <v>28</v>
      </c>
      <c r="B371">
        <v>2023</v>
      </c>
      <c r="C371" t="s">
        <v>35</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45</v>
      </c>
      <c r="V371">
        <v>182.5</v>
      </c>
      <c r="W371">
        <v>179.8</v>
      </c>
      <c r="X371">
        <v>187.8</v>
      </c>
      <c r="Y371">
        <v>169.7</v>
      </c>
      <c r="Z371">
        <v>173.8</v>
      </c>
      <c r="AA371">
        <v>180.3</v>
      </c>
      <c r="AB371">
        <v>184.9</v>
      </c>
      <c r="AC371">
        <v>179.5</v>
      </c>
      <c r="AD371">
        <v>179.8</v>
      </c>
    </row>
    <row r="372" spans="1:30" x14ac:dyDescent="0.25">
      <c r="A372" t="s">
        <v>30</v>
      </c>
      <c r="B372">
        <v>2023</v>
      </c>
      <c r="C372" t="s">
        <v>35</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25">
      <c r="A373" t="s">
        <v>31</v>
      </c>
      <c r="B373">
        <v>2023</v>
      </c>
      <c r="C373" t="s">
        <v>35</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mergeCells count="1">
    <mergeCell ref="AF3:AL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81BC-A5F2-4E85-AB04-EE2565619A44}">
  <sheetPr filterMode="1"/>
  <dimension ref="A1:AK377"/>
  <sheetViews>
    <sheetView topLeftCell="AD1" workbookViewId="0">
      <selection activeCell="D378" sqref="D378"/>
    </sheetView>
  </sheetViews>
  <sheetFormatPr defaultRowHeight="15" x14ac:dyDescent="0.25"/>
  <cols>
    <col min="4" max="4" width="22.28515625" customWidth="1"/>
    <col min="5" max="5" width="15.140625" customWidth="1"/>
    <col min="7" max="7" width="19" customWidth="1"/>
    <col min="8" max="8" width="14.28515625" customWidth="1"/>
    <col min="10" max="10" width="13.140625" customWidth="1"/>
    <col min="11" max="11" width="21.28515625" customWidth="1"/>
    <col min="12" max="12" width="25.28515625" customWidth="1"/>
    <col min="14" max="14" width="25.42578125" customWidth="1"/>
    <col min="15" max="15" width="33.42578125" customWidth="1"/>
    <col min="16" max="16" width="21" customWidth="1"/>
    <col min="17" max="17" width="28.7109375" customWidth="1"/>
    <col min="18" max="18" width="10.85546875" customWidth="1"/>
    <col min="19" max="19" width="11.42578125" customWidth="1"/>
    <col min="20" max="20" width="23" customWidth="1"/>
    <col min="21" max="21" width="10.5703125" customWidth="1"/>
    <col min="22" max="22" width="15.140625" customWidth="1"/>
    <col min="23" max="23" width="30.5703125" customWidth="1"/>
    <col min="25" max="25" width="29.85546875" customWidth="1"/>
    <col min="26" max="26" width="27.85546875" customWidth="1"/>
    <col min="27" max="27" width="12.140625" customWidth="1"/>
    <col min="28" max="28" width="23.7109375" customWidth="1"/>
    <col min="29" max="29" width="16.140625" customWidth="1"/>
    <col min="30" max="31" width="15.7109375" customWidth="1"/>
    <col min="32" max="32" width="19" customWidth="1"/>
    <col min="33" max="33" width="27" customWidth="1"/>
    <col min="34" max="34" width="21.28515625" customWidth="1"/>
    <col min="35" max="35" width="10.5703125" customWidth="1"/>
    <col min="36" max="36" width="13.5703125" customWidth="1"/>
    <col min="37" max="37" width="16.140625" customWidth="1"/>
  </cols>
  <sheetData>
    <row r="1" spans="1:37" x14ac:dyDescent="0.25">
      <c r="A1" s="19" t="s">
        <v>0</v>
      </c>
      <c r="B1" s="20" t="s">
        <v>1</v>
      </c>
      <c r="C1" s="20" t="s">
        <v>2</v>
      </c>
      <c r="D1" s="20" t="s">
        <v>3</v>
      </c>
      <c r="E1" s="20" t="s">
        <v>4</v>
      </c>
      <c r="F1" s="20" t="s">
        <v>5</v>
      </c>
      <c r="G1" s="20" t="s">
        <v>6</v>
      </c>
      <c r="H1" s="20" t="s">
        <v>7</v>
      </c>
      <c r="I1" s="20" t="s">
        <v>8</v>
      </c>
      <c r="J1" s="20" t="s">
        <v>9</v>
      </c>
      <c r="K1" s="20" t="s">
        <v>10</v>
      </c>
      <c r="L1" s="20" t="s">
        <v>11</v>
      </c>
      <c r="M1" s="20" t="s">
        <v>12</v>
      </c>
      <c r="N1" s="20" t="s">
        <v>13</v>
      </c>
      <c r="O1" s="20" t="s">
        <v>46</v>
      </c>
      <c r="P1" s="20" t="s">
        <v>14</v>
      </c>
      <c r="Q1" s="20" t="s">
        <v>15</v>
      </c>
      <c r="R1" s="20" t="s">
        <v>16</v>
      </c>
      <c r="S1" s="20" t="s">
        <v>17</v>
      </c>
      <c r="T1" s="20" t="s">
        <v>18</v>
      </c>
      <c r="U1" s="20" t="s">
        <v>19</v>
      </c>
      <c r="V1" s="20" t="s">
        <v>20</v>
      </c>
      <c r="W1" s="20" t="s">
        <v>21</v>
      </c>
      <c r="X1" s="20" t="s">
        <v>22</v>
      </c>
      <c r="Y1" s="20" t="s">
        <v>23</v>
      </c>
      <c r="Z1" s="20" t="s">
        <v>24</v>
      </c>
      <c r="AA1" s="20" t="s">
        <v>25</v>
      </c>
      <c r="AB1" s="20" t="s">
        <v>47</v>
      </c>
      <c r="AC1" s="20" t="s">
        <v>26</v>
      </c>
      <c r="AD1" s="21" t="s">
        <v>27</v>
      </c>
      <c r="AF1" s="8" t="s">
        <v>48</v>
      </c>
      <c r="AG1" s="8" t="s">
        <v>49</v>
      </c>
      <c r="AH1" s="8" t="s">
        <v>50</v>
      </c>
      <c r="AI1" s="8" t="s">
        <v>19</v>
      </c>
      <c r="AJ1" s="8" t="s">
        <v>51</v>
      </c>
      <c r="AK1" s="9" t="s">
        <v>26</v>
      </c>
    </row>
    <row r="2" spans="1:37" hidden="1" x14ac:dyDescent="0.25">
      <c r="A2" s="16" t="s">
        <v>28</v>
      </c>
      <c r="B2" s="17">
        <v>2013</v>
      </c>
      <c r="C2" s="17" t="s">
        <v>29</v>
      </c>
      <c r="D2" s="17">
        <v>107.5</v>
      </c>
      <c r="E2" s="17">
        <v>106.3</v>
      </c>
      <c r="F2" s="17">
        <v>108.1</v>
      </c>
      <c r="G2" s="17">
        <v>104.9</v>
      </c>
      <c r="H2" s="17">
        <v>106.1</v>
      </c>
      <c r="I2" s="17">
        <v>103.9</v>
      </c>
      <c r="J2" s="17">
        <v>101.9</v>
      </c>
      <c r="K2" s="17">
        <v>106.1</v>
      </c>
      <c r="L2" s="17">
        <v>106.8</v>
      </c>
      <c r="M2" s="17">
        <v>103.1</v>
      </c>
      <c r="N2" s="17">
        <v>104.8</v>
      </c>
      <c r="O2" s="17">
        <v>106.7</v>
      </c>
      <c r="P2" s="17">
        <v>105.5</v>
      </c>
      <c r="Q2" s="17">
        <v>105.1</v>
      </c>
      <c r="R2" s="17">
        <v>106.5</v>
      </c>
      <c r="S2" s="17">
        <v>105.8</v>
      </c>
      <c r="T2" s="17">
        <v>106.4</v>
      </c>
      <c r="U2" s="17">
        <v>100.4</v>
      </c>
      <c r="V2" s="17">
        <v>105.5</v>
      </c>
      <c r="W2" s="17">
        <v>104.8</v>
      </c>
      <c r="X2" s="17">
        <v>104</v>
      </c>
      <c r="Y2" s="17">
        <v>103.3</v>
      </c>
      <c r="Z2" s="17">
        <v>103.4</v>
      </c>
      <c r="AA2" s="17">
        <v>103.8</v>
      </c>
      <c r="AB2" s="17">
        <v>104.7</v>
      </c>
      <c r="AC2" s="17">
        <v>104</v>
      </c>
      <c r="AD2" s="18">
        <v>105.1</v>
      </c>
      <c r="AF2" s="10">
        <f>SUM('Working sheet'!$D2:$P2)</f>
        <v>1371.6999999999998</v>
      </c>
      <c r="AG2" s="11">
        <f>SUM('Working sheet'!$Q2)</f>
        <v>105.1</v>
      </c>
      <c r="AH2" s="11">
        <f>SUM('Working sheet'!$R2:$T2)</f>
        <v>318.70000000000005</v>
      </c>
      <c r="AI2" s="11">
        <f>SUM('Working sheet'!$U2)</f>
        <v>100.4</v>
      </c>
      <c r="AJ2" s="11">
        <f>SUM('Working sheet'!$V2)</f>
        <v>105.5</v>
      </c>
      <c r="AK2" s="12">
        <f>SUM('Working sheet'!$W2:$AC2)</f>
        <v>728</v>
      </c>
    </row>
    <row r="3" spans="1:37" hidden="1" x14ac:dyDescent="0.25">
      <c r="A3" s="13" t="s">
        <v>30</v>
      </c>
      <c r="B3" s="14">
        <v>2013</v>
      </c>
      <c r="C3" s="14" t="s">
        <v>29</v>
      </c>
      <c r="D3" s="14">
        <v>110.5</v>
      </c>
      <c r="E3" s="14">
        <v>109.1</v>
      </c>
      <c r="F3" s="14">
        <v>113</v>
      </c>
      <c r="G3" s="14">
        <v>103.6</v>
      </c>
      <c r="H3" s="14">
        <v>103.4</v>
      </c>
      <c r="I3" s="14">
        <v>102.3</v>
      </c>
      <c r="J3" s="14">
        <v>102.9</v>
      </c>
      <c r="K3" s="14">
        <v>105.8</v>
      </c>
      <c r="L3" s="14">
        <v>105.1</v>
      </c>
      <c r="M3" s="14">
        <v>101.8</v>
      </c>
      <c r="N3" s="14">
        <v>105.1</v>
      </c>
      <c r="O3" s="14">
        <v>107.9</v>
      </c>
      <c r="P3" s="14">
        <v>105.9</v>
      </c>
      <c r="Q3" s="14">
        <v>105.2</v>
      </c>
      <c r="R3" s="14">
        <v>105.9</v>
      </c>
      <c r="S3" s="14">
        <v>105</v>
      </c>
      <c r="T3" s="14">
        <v>105.8</v>
      </c>
      <c r="U3" s="14">
        <v>100.3</v>
      </c>
      <c r="V3" s="14">
        <v>105.4</v>
      </c>
      <c r="W3" s="14">
        <v>104.8</v>
      </c>
      <c r="X3" s="14">
        <v>104.1</v>
      </c>
      <c r="Y3" s="14">
        <v>103.2</v>
      </c>
      <c r="Z3" s="14">
        <v>102.9</v>
      </c>
      <c r="AA3" s="14">
        <v>103.5</v>
      </c>
      <c r="AB3" s="14">
        <v>104.3</v>
      </c>
      <c r="AC3" s="14">
        <v>103.7</v>
      </c>
      <c r="AD3" s="15">
        <v>104</v>
      </c>
      <c r="AF3" s="13">
        <f>SUM('Working sheet'!$D3:$P3)</f>
        <v>1376.4</v>
      </c>
      <c r="AG3" s="14">
        <f>SUM('Working sheet'!$Q3)</f>
        <v>105.2</v>
      </c>
      <c r="AH3" s="14">
        <f>SUM('Working sheet'!$R3:$T3)</f>
        <v>316.7</v>
      </c>
      <c r="AI3" s="14">
        <f>SUM('Working sheet'!$U3)</f>
        <v>100.3</v>
      </c>
      <c r="AJ3" s="14">
        <f>SUM('Working sheet'!$V3)</f>
        <v>105.4</v>
      </c>
      <c r="AK3" s="15">
        <f>SUM('Working sheet'!$W3:$AC3)</f>
        <v>726.5</v>
      </c>
    </row>
    <row r="4" spans="1:37" x14ac:dyDescent="0.25">
      <c r="A4" s="16" t="s">
        <v>31</v>
      </c>
      <c r="B4" s="17">
        <v>2013</v>
      </c>
      <c r="C4" s="17" t="s">
        <v>29</v>
      </c>
      <c r="D4" s="17">
        <v>108.4</v>
      </c>
      <c r="E4" s="17">
        <v>107.3</v>
      </c>
      <c r="F4" s="17">
        <v>110</v>
      </c>
      <c r="G4" s="17">
        <v>104.4</v>
      </c>
      <c r="H4" s="17">
        <v>105.1</v>
      </c>
      <c r="I4" s="17">
        <v>103.2</v>
      </c>
      <c r="J4" s="17">
        <v>102.2</v>
      </c>
      <c r="K4" s="17">
        <v>106</v>
      </c>
      <c r="L4" s="17">
        <v>106.2</v>
      </c>
      <c r="M4" s="17">
        <v>102.7</v>
      </c>
      <c r="N4" s="17">
        <v>104.9</v>
      </c>
      <c r="O4" s="17">
        <v>107.3</v>
      </c>
      <c r="P4" s="17">
        <v>105.6</v>
      </c>
      <c r="Q4" s="17">
        <v>105.1</v>
      </c>
      <c r="R4" s="17">
        <v>106.3</v>
      </c>
      <c r="S4" s="17">
        <v>105.5</v>
      </c>
      <c r="T4" s="17">
        <v>106.2</v>
      </c>
      <c r="U4" s="17">
        <v>100.3</v>
      </c>
      <c r="V4" s="17">
        <v>105.5</v>
      </c>
      <c r="W4" s="17">
        <v>104.8</v>
      </c>
      <c r="X4" s="17">
        <v>104</v>
      </c>
      <c r="Y4" s="17">
        <v>103.2</v>
      </c>
      <c r="Z4" s="17">
        <v>103.1</v>
      </c>
      <c r="AA4" s="17">
        <v>103.6</v>
      </c>
      <c r="AB4" s="17">
        <v>104.5</v>
      </c>
      <c r="AC4" s="17">
        <v>103.9</v>
      </c>
      <c r="AD4" s="18">
        <v>104.6</v>
      </c>
      <c r="AF4" s="16">
        <f>SUM('Working sheet'!$D4:$P4)</f>
        <v>1373.3000000000002</v>
      </c>
      <c r="AG4" s="17">
        <f>SUM('Working sheet'!$Q4)</f>
        <v>105.1</v>
      </c>
      <c r="AH4" s="17">
        <f>SUM('Working sheet'!$R4:$T4)</f>
        <v>318</v>
      </c>
      <c r="AI4" s="17">
        <f>SUM('Working sheet'!$U4)</f>
        <v>100.3</v>
      </c>
      <c r="AJ4" s="17">
        <f>SUM('Working sheet'!$V4)</f>
        <v>105.5</v>
      </c>
      <c r="AK4" s="18">
        <f>SUM('Working sheet'!$W4:$AC4)</f>
        <v>727.1</v>
      </c>
    </row>
    <row r="5" spans="1:37" hidden="1" x14ac:dyDescent="0.25">
      <c r="A5" s="13" t="s">
        <v>28</v>
      </c>
      <c r="B5" s="14">
        <v>2013</v>
      </c>
      <c r="C5" s="14" t="s">
        <v>32</v>
      </c>
      <c r="D5" s="14">
        <v>109.2</v>
      </c>
      <c r="E5" s="14">
        <v>108.7</v>
      </c>
      <c r="F5" s="14">
        <v>110.2</v>
      </c>
      <c r="G5" s="14">
        <v>105.4</v>
      </c>
      <c r="H5" s="14">
        <v>106.7</v>
      </c>
      <c r="I5" s="14">
        <v>104</v>
      </c>
      <c r="J5" s="14">
        <v>102.4</v>
      </c>
      <c r="K5" s="14">
        <v>105.9</v>
      </c>
      <c r="L5" s="14">
        <v>105.7</v>
      </c>
      <c r="M5" s="14">
        <v>103.1</v>
      </c>
      <c r="N5" s="14">
        <v>105.1</v>
      </c>
      <c r="O5" s="14">
        <v>107.7</v>
      </c>
      <c r="P5" s="14">
        <v>106.3</v>
      </c>
      <c r="Q5" s="14">
        <v>105.6</v>
      </c>
      <c r="R5" s="14">
        <v>107.1</v>
      </c>
      <c r="S5" s="14">
        <v>106.3</v>
      </c>
      <c r="T5" s="14">
        <v>107</v>
      </c>
      <c r="U5" s="14">
        <v>100.4</v>
      </c>
      <c r="V5" s="14">
        <v>106.2</v>
      </c>
      <c r="W5" s="14">
        <v>105.2</v>
      </c>
      <c r="X5" s="14">
        <v>104.4</v>
      </c>
      <c r="Y5" s="14">
        <v>103.9</v>
      </c>
      <c r="Z5" s="14">
        <v>104</v>
      </c>
      <c r="AA5" s="14">
        <v>104.1</v>
      </c>
      <c r="AB5" s="14">
        <v>104.6</v>
      </c>
      <c r="AC5" s="14">
        <v>104.4</v>
      </c>
      <c r="AD5" s="15">
        <v>105.8</v>
      </c>
      <c r="AF5" s="13">
        <f>SUM('Working sheet'!$D5:$P5)</f>
        <v>1380.3999999999999</v>
      </c>
      <c r="AG5" s="14">
        <f>SUM('Working sheet'!$Q5)</f>
        <v>105.6</v>
      </c>
      <c r="AH5" s="14">
        <f>SUM('Working sheet'!$R5:$T5)</f>
        <v>320.39999999999998</v>
      </c>
      <c r="AI5" s="14">
        <f>SUM('Working sheet'!$U5)</f>
        <v>100.4</v>
      </c>
      <c r="AJ5" s="14">
        <f>SUM('Working sheet'!$V5)</f>
        <v>106.2</v>
      </c>
      <c r="AK5" s="15">
        <f>SUM('Working sheet'!$W5:$AC5)</f>
        <v>730.6</v>
      </c>
    </row>
    <row r="6" spans="1:37" hidden="1" x14ac:dyDescent="0.25">
      <c r="A6" s="16" t="s">
        <v>30</v>
      </c>
      <c r="B6" s="17">
        <v>2013</v>
      </c>
      <c r="C6" s="17" t="s">
        <v>32</v>
      </c>
      <c r="D6" s="17">
        <v>112.9</v>
      </c>
      <c r="E6" s="17">
        <v>112.9</v>
      </c>
      <c r="F6" s="17">
        <v>116.9</v>
      </c>
      <c r="G6" s="17">
        <v>104</v>
      </c>
      <c r="H6" s="17">
        <v>103.5</v>
      </c>
      <c r="I6" s="17">
        <v>103.1</v>
      </c>
      <c r="J6" s="17">
        <v>104.9</v>
      </c>
      <c r="K6" s="17">
        <v>104.1</v>
      </c>
      <c r="L6" s="17">
        <v>103.8</v>
      </c>
      <c r="M6" s="17">
        <v>102.3</v>
      </c>
      <c r="N6" s="17">
        <v>106</v>
      </c>
      <c r="O6" s="17">
        <v>109</v>
      </c>
      <c r="P6" s="17">
        <v>107.2</v>
      </c>
      <c r="Q6" s="17">
        <v>106</v>
      </c>
      <c r="R6" s="17">
        <v>106.6</v>
      </c>
      <c r="S6" s="17">
        <v>105.5</v>
      </c>
      <c r="T6" s="17">
        <v>106.4</v>
      </c>
      <c r="U6" s="17">
        <v>100.4</v>
      </c>
      <c r="V6" s="17">
        <v>105.7</v>
      </c>
      <c r="W6" s="17">
        <v>105.2</v>
      </c>
      <c r="X6" s="17">
        <v>104.7</v>
      </c>
      <c r="Y6" s="17">
        <v>104.4</v>
      </c>
      <c r="Z6" s="17">
        <v>103.3</v>
      </c>
      <c r="AA6" s="17">
        <v>103.7</v>
      </c>
      <c r="AB6" s="17">
        <v>104.3</v>
      </c>
      <c r="AC6" s="17">
        <v>104.3</v>
      </c>
      <c r="AD6" s="18">
        <v>104.7</v>
      </c>
      <c r="AF6" s="16">
        <f>SUM('Working sheet'!$D6:$P6)</f>
        <v>1390.6000000000001</v>
      </c>
      <c r="AG6" s="17">
        <f>SUM('Working sheet'!$Q6)</f>
        <v>106</v>
      </c>
      <c r="AH6" s="17">
        <f>SUM('Working sheet'!$R6:$T6)</f>
        <v>318.5</v>
      </c>
      <c r="AI6" s="17">
        <f>SUM('Working sheet'!$U6)</f>
        <v>100.4</v>
      </c>
      <c r="AJ6" s="17">
        <f>SUM('Working sheet'!$V6)</f>
        <v>105.7</v>
      </c>
      <c r="AK6" s="18">
        <f>SUM('Working sheet'!$W6:$AC6)</f>
        <v>729.9</v>
      </c>
    </row>
    <row r="7" spans="1:37" x14ac:dyDescent="0.25">
      <c r="A7" s="13" t="s">
        <v>31</v>
      </c>
      <c r="B7" s="14">
        <v>2013</v>
      </c>
      <c r="C7" s="14" t="s">
        <v>32</v>
      </c>
      <c r="D7" s="14">
        <v>110.4</v>
      </c>
      <c r="E7" s="14">
        <v>110.2</v>
      </c>
      <c r="F7" s="14">
        <v>112.8</v>
      </c>
      <c r="G7" s="14">
        <v>104.9</v>
      </c>
      <c r="H7" s="14">
        <v>105.5</v>
      </c>
      <c r="I7" s="14">
        <v>103.6</v>
      </c>
      <c r="J7" s="14">
        <v>103.2</v>
      </c>
      <c r="K7" s="14">
        <v>105.3</v>
      </c>
      <c r="L7" s="14">
        <v>105.1</v>
      </c>
      <c r="M7" s="14">
        <v>102.8</v>
      </c>
      <c r="N7" s="14">
        <v>105.5</v>
      </c>
      <c r="O7" s="14">
        <v>108.3</v>
      </c>
      <c r="P7" s="14">
        <v>106.6</v>
      </c>
      <c r="Q7" s="14">
        <v>105.7</v>
      </c>
      <c r="R7" s="14">
        <v>106.9</v>
      </c>
      <c r="S7" s="14">
        <v>106</v>
      </c>
      <c r="T7" s="14">
        <v>106.8</v>
      </c>
      <c r="U7" s="14">
        <v>100.4</v>
      </c>
      <c r="V7" s="14">
        <v>106</v>
      </c>
      <c r="W7" s="14">
        <v>105.2</v>
      </c>
      <c r="X7" s="14">
        <v>104.5</v>
      </c>
      <c r="Y7" s="14">
        <v>104.2</v>
      </c>
      <c r="Z7" s="14">
        <v>103.6</v>
      </c>
      <c r="AA7" s="14">
        <v>103.9</v>
      </c>
      <c r="AB7" s="14">
        <v>104.5</v>
      </c>
      <c r="AC7" s="14">
        <v>104.4</v>
      </c>
      <c r="AD7" s="15">
        <v>105.3</v>
      </c>
      <c r="AF7" s="13">
        <f>SUM('Working sheet'!$D7:$P7)</f>
        <v>1384.2</v>
      </c>
      <c r="AG7" s="14">
        <f>SUM('Working sheet'!$Q7)</f>
        <v>105.7</v>
      </c>
      <c r="AH7" s="14">
        <f>SUM('Working sheet'!$R7:$T7)</f>
        <v>319.7</v>
      </c>
      <c r="AI7" s="14">
        <f>SUM('Working sheet'!$U7)</f>
        <v>100.4</v>
      </c>
      <c r="AJ7" s="14">
        <f>SUM('Working sheet'!$V7)</f>
        <v>106</v>
      </c>
      <c r="AK7" s="15">
        <f>SUM('Working sheet'!$W7:$AC7)</f>
        <v>730.3</v>
      </c>
    </row>
    <row r="8" spans="1:37" hidden="1" x14ac:dyDescent="0.25">
      <c r="A8" s="16" t="s">
        <v>28</v>
      </c>
      <c r="B8" s="17">
        <v>2013</v>
      </c>
      <c r="C8" s="17" t="s">
        <v>33</v>
      </c>
      <c r="D8" s="17">
        <v>110.2</v>
      </c>
      <c r="E8" s="17">
        <v>108.8</v>
      </c>
      <c r="F8" s="17">
        <v>109.9</v>
      </c>
      <c r="G8" s="17">
        <v>105.6</v>
      </c>
      <c r="H8" s="17">
        <v>106.2</v>
      </c>
      <c r="I8" s="17">
        <v>105.7</v>
      </c>
      <c r="J8" s="17">
        <v>101.4</v>
      </c>
      <c r="K8" s="17">
        <v>105.7</v>
      </c>
      <c r="L8" s="17">
        <v>105</v>
      </c>
      <c r="M8" s="17">
        <v>103.3</v>
      </c>
      <c r="N8" s="17">
        <v>105.6</v>
      </c>
      <c r="O8" s="17">
        <v>108.2</v>
      </c>
      <c r="P8" s="17">
        <v>106.6</v>
      </c>
      <c r="Q8" s="17">
        <v>106.5</v>
      </c>
      <c r="R8" s="17">
        <v>107.6</v>
      </c>
      <c r="S8" s="17">
        <v>106.8</v>
      </c>
      <c r="T8" s="17">
        <v>107.5</v>
      </c>
      <c r="U8" s="17">
        <v>100.5</v>
      </c>
      <c r="V8" s="17">
        <v>106.1</v>
      </c>
      <c r="W8" s="17">
        <v>105.6</v>
      </c>
      <c r="X8" s="17">
        <v>104.7</v>
      </c>
      <c r="Y8" s="17">
        <v>104.6</v>
      </c>
      <c r="Z8" s="17">
        <v>104</v>
      </c>
      <c r="AA8" s="17">
        <v>104.3</v>
      </c>
      <c r="AB8" s="17">
        <v>104.3</v>
      </c>
      <c r="AC8" s="17">
        <v>104.6</v>
      </c>
      <c r="AD8" s="18">
        <v>106</v>
      </c>
      <c r="AF8" s="16">
        <f>SUM('Working sheet'!$D8:$P8)</f>
        <v>1382.2</v>
      </c>
      <c r="AG8" s="17">
        <f>SUM('Working sheet'!$Q8)</f>
        <v>106.5</v>
      </c>
      <c r="AH8" s="17">
        <f>SUM('Working sheet'!$R8:$T8)</f>
        <v>321.89999999999998</v>
      </c>
      <c r="AI8" s="17">
        <f>SUM('Working sheet'!$U8)</f>
        <v>100.5</v>
      </c>
      <c r="AJ8" s="17">
        <f>SUM('Working sheet'!$V8)</f>
        <v>106.1</v>
      </c>
      <c r="AK8" s="18">
        <f>SUM('Working sheet'!$W8:$AC8)</f>
        <v>732.09999999999991</v>
      </c>
    </row>
    <row r="9" spans="1:37" hidden="1" x14ac:dyDescent="0.25">
      <c r="A9" s="13" t="s">
        <v>30</v>
      </c>
      <c r="B9" s="14">
        <v>2013</v>
      </c>
      <c r="C9" s="14" t="s">
        <v>33</v>
      </c>
      <c r="D9" s="14">
        <v>113.9</v>
      </c>
      <c r="E9" s="14">
        <v>111.4</v>
      </c>
      <c r="F9" s="14">
        <v>113.2</v>
      </c>
      <c r="G9" s="14">
        <v>104.3</v>
      </c>
      <c r="H9" s="14">
        <v>102.7</v>
      </c>
      <c r="I9" s="14">
        <v>104.9</v>
      </c>
      <c r="J9" s="14">
        <v>103.8</v>
      </c>
      <c r="K9" s="14">
        <v>103.5</v>
      </c>
      <c r="L9" s="14">
        <v>102.6</v>
      </c>
      <c r="M9" s="14">
        <v>102.4</v>
      </c>
      <c r="N9" s="14">
        <v>107</v>
      </c>
      <c r="O9" s="14">
        <v>109.8</v>
      </c>
      <c r="P9" s="14">
        <v>107.3</v>
      </c>
      <c r="Q9" s="14">
        <v>106.8</v>
      </c>
      <c r="R9" s="14">
        <v>107.2</v>
      </c>
      <c r="S9" s="14">
        <v>106</v>
      </c>
      <c r="T9" s="14">
        <v>107</v>
      </c>
      <c r="U9" s="14">
        <v>100.4</v>
      </c>
      <c r="V9" s="14">
        <v>106</v>
      </c>
      <c r="W9" s="14">
        <v>105.7</v>
      </c>
      <c r="X9" s="14">
        <v>105.2</v>
      </c>
      <c r="Y9" s="14">
        <v>105.5</v>
      </c>
      <c r="Z9" s="14">
        <v>103.5</v>
      </c>
      <c r="AA9" s="14">
        <v>103.8</v>
      </c>
      <c r="AB9" s="14">
        <v>104.2</v>
      </c>
      <c r="AC9" s="14">
        <v>104.9</v>
      </c>
      <c r="AD9" s="15">
        <v>105</v>
      </c>
      <c r="AF9" s="13">
        <f>SUM('Working sheet'!$D9:$P9)</f>
        <v>1386.8</v>
      </c>
      <c r="AG9" s="14">
        <f>SUM('Working sheet'!$Q9)</f>
        <v>106.8</v>
      </c>
      <c r="AH9" s="14">
        <f>SUM('Working sheet'!$R9:$T9)</f>
        <v>320.2</v>
      </c>
      <c r="AI9" s="14">
        <f>SUM('Working sheet'!$U9)</f>
        <v>100.4</v>
      </c>
      <c r="AJ9" s="14">
        <f>SUM('Working sheet'!$V9)</f>
        <v>106</v>
      </c>
      <c r="AK9" s="15">
        <f>SUM('Working sheet'!$W9:$AC9)</f>
        <v>732.8</v>
      </c>
    </row>
    <row r="10" spans="1:37" x14ac:dyDescent="0.25">
      <c r="A10" s="16" t="s">
        <v>31</v>
      </c>
      <c r="B10" s="17">
        <v>2013</v>
      </c>
      <c r="C10" s="17" t="s">
        <v>33</v>
      </c>
      <c r="D10" s="17">
        <v>111.4</v>
      </c>
      <c r="E10" s="17">
        <v>109.7</v>
      </c>
      <c r="F10" s="17">
        <v>111.2</v>
      </c>
      <c r="G10" s="17">
        <v>105.1</v>
      </c>
      <c r="H10" s="17">
        <v>104.9</v>
      </c>
      <c r="I10" s="17">
        <v>105.3</v>
      </c>
      <c r="J10" s="17">
        <v>102.2</v>
      </c>
      <c r="K10" s="17">
        <v>105</v>
      </c>
      <c r="L10" s="17">
        <v>104.2</v>
      </c>
      <c r="M10" s="17">
        <v>103</v>
      </c>
      <c r="N10" s="17">
        <v>106.2</v>
      </c>
      <c r="O10" s="17">
        <v>108.9</v>
      </c>
      <c r="P10" s="17">
        <v>106.9</v>
      </c>
      <c r="Q10" s="17">
        <v>106.6</v>
      </c>
      <c r="R10" s="17">
        <v>107.4</v>
      </c>
      <c r="S10" s="17">
        <v>106.5</v>
      </c>
      <c r="T10" s="17">
        <v>107.3</v>
      </c>
      <c r="U10" s="17">
        <v>100.4</v>
      </c>
      <c r="V10" s="17">
        <v>106.1</v>
      </c>
      <c r="W10" s="17">
        <v>105.6</v>
      </c>
      <c r="X10" s="17">
        <v>104.9</v>
      </c>
      <c r="Y10" s="17">
        <v>105.1</v>
      </c>
      <c r="Z10" s="17">
        <v>103.7</v>
      </c>
      <c r="AA10" s="17">
        <v>104</v>
      </c>
      <c r="AB10" s="17">
        <v>104.3</v>
      </c>
      <c r="AC10" s="17">
        <v>104.7</v>
      </c>
      <c r="AD10" s="18">
        <v>105.5</v>
      </c>
      <c r="AF10" s="16">
        <f>SUM('Working sheet'!$D10:$P10)</f>
        <v>1384.0000000000002</v>
      </c>
      <c r="AG10" s="17">
        <f>SUM('Working sheet'!$Q10)</f>
        <v>106.6</v>
      </c>
      <c r="AH10" s="17">
        <f>SUM('Working sheet'!$R10:$T10)</f>
        <v>321.2</v>
      </c>
      <c r="AI10" s="17">
        <f>SUM('Working sheet'!$U10)</f>
        <v>100.4</v>
      </c>
      <c r="AJ10" s="17">
        <f>SUM('Working sheet'!$V10)</f>
        <v>106.1</v>
      </c>
      <c r="AK10" s="18">
        <f>SUM('Working sheet'!$W10:$AC10)</f>
        <v>732.3</v>
      </c>
    </row>
    <row r="11" spans="1:37" hidden="1" x14ac:dyDescent="0.25">
      <c r="A11" s="13" t="s">
        <v>28</v>
      </c>
      <c r="B11" s="14">
        <v>2013</v>
      </c>
      <c r="C11" s="14" t="s">
        <v>34</v>
      </c>
      <c r="D11" s="14">
        <v>110.2</v>
      </c>
      <c r="E11" s="14">
        <v>109.5</v>
      </c>
      <c r="F11" s="14">
        <v>106.9</v>
      </c>
      <c r="G11" s="14">
        <v>106.3</v>
      </c>
      <c r="H11" s="14">
        <v>105.7</v>
      </c>
      <c r="I11" s="14">
        <v>108.3</v>
      </c>
      <c r="J11" s="14">
        <v>103.4</v>
      </c>
      <c r="K11" s="14">
        <v>105.7</v>
      </c>
      <c r="L11" s="14">
        <v>104.2</v>
      </c>
      <c r="M11" s="14">
        <v>103.2</v>
      </c>
      <c r="N11" s="14">
        <v>106.5</v>
      </c>
      <c r="O11" s="14">
        <v>108.8</v>
      </c>
      <c r="P11" s="14">
        <v>107.1</v>
      </c>
      <c r="Q11" s="14">
        <v>107.1</v>
      </c>
      <c r="R11" s="14">
        <v>108.1</v>
      </c>
      <c r="S11" s="14">
        <v>107.4</v>
      </c>
      <c r="T11" s="14">
        <v>108</v>
      </c>
      <c r="U11" s="14">
        <v>100.5</v>
      </c>
      <c r="V11" s="14">
        <v>106.5</v>
      </c>
      <c r="W11" s="14">
        <v>106.1</v>
      </c>
      <c r="X11" s="14">
        <v>105.1</v>
      </c>
      <c r="Y11" s="14">
        <v>104.4</v>
      </c>
      <c r="Z11" s="14">
        <v>104.5</v>
      </c>
      <c r="AA11" s="14">
        <v>104.8</v>
      </c>
      <c r="AB11" s="14">
        <v>102.7</v>
      </c>
      <c r="AC11" s="14">
        <v>104.6</v>
      </c>
      <c r="AD11" s="15">
        <v>106.4</v>
      </c>
      <c r="AF11" s="13">
        <f>SUM('Working sheet'!$D11:$P11)</f>
        <v>1385.8</v>
      </c>
      <c r="AG11" s="14">
        <f>SUM('Working sheet'!$Q11)</f>
        <v>107.1</v>
      </c>
      <c r="AH11" s="14">
        <f>SUM('Working sheet'!$R11:$T11)</f>
        <v>323.5</v>
      </c>
      <c r="AI11" s="14">
        <f>SUM('Working sheet'!$U11)</f>
        <v>100.5</v>
      </c>
      <c r="AJ11" s="14">
        <f>SUM('Working sheet'!$V11)</f>
        <v>106.5</v>
      </c>
      <c r="AK11" s="15">
        <f>SUM('Working sheet'!$W11:$AC11)</f>
        <v>732.2</v>
      </c>
    </row>
    <row r="12" spans="1:37" hidden="1" x14ac:dyDescent="0.25">
      <c r="A12" s="16" t="s">
        <v>30</v>
      </c>
      <c r="B12" s="17">
        <v>2013</v>
      </c>
      <c r="C12" s="17" t="s">
        <v>34</v>
      </c>
      <c r="D12" s="17">
        <v>114.6</v>
      </c>
      <c r="E12" s="17">
        <v>113.4</v>
      </c>
      <c r="F12" s="17">
        <v>106</v>
      </c>
      <c r="G12" s="17">
        <v>104.7</v>
      </c>
      <c r="H12" s="17">
        <v>102.1</v>
      </c>
      <c r="I12" s="17">
        <v>109.5</v>
      </c>
      <c r="J12" s="17">
        <v>109.7</v>
      </c>
      <c r="K12" s="17">
        <v>104.6</v>
      </c>
      <c r="L12" s="17">
        <v>102</v>
      </c>
      <c r="M12" s="17">
        <v>103.5</v>
      </c>
      <c r="N12" s="17">
        <v>108.2</v>
      </c>
      <c r="O12" s="17">
        <v>110.6</v>
      </c>
      <c r="P12" s="17">
        <v>108.8</v>
      </c>
      <c r="Q12" s="17">
        <v>108.5</v>
      </c>
      <c r="R12" s="17">
        <v>107.9</v>
      </c>
      <c r="S12" s="17">
        <v>106.4</v>
      </c>
      <c r="T12" s="17">
        <v>107.7</v>
      </c>
      <c r="U12" s="17">
        <v>100.5</v>
      </c>
      <c r="V12" s="17">
        <v>106.4</v>
      </c>
      <c r="W12" s="17">
        <v>106.5</v>
      </c>
      <c r="X12" s="17">
        <v>105.7</v>
      </c>
      <c r="Y12" s="17">
        <v>105</v>
      </c>
      <c r="Z12" s="17">
        <v>104</v>
      </c>
      <c r="AA12" s="17">
        <v>105.2</v>
      </c>
      <c r="AB12" s="17">
        <v>103.2</v>
      </c>
      <c r="AC12" s="17">
        <v>105.1</v>
      </c>
      <c r="AD12" s="18">
        <v>105.7</v>
      </c>
      <c r="AF12" s="16">
        <f>SUM('Working sheet'!$D12:$P12)</f>
        <v>1397.6999999999998</v>
      </c>
      <c r="AG12" s="17">
        <f>SUM('Working sheet'!$Q12)</f>
        <v>108.5</v>
      </c>
      <c r="AH12" s="17">
        <f>SUM('Working sheet'!$R12:$T12)</f>
        <v>322</v>
      </c>
      <c r="AI12" s="17">
        <f>SUM('Working sheet'!$U12)</f>
        <v>100.5</v>
      </c>
      <c r="AJ12" s="17">
        <f>SUM('Working sheet'!$V12)</f>
        <v>106.4</v>
      </c>
      <c r="AK12" s="18">
        <f>SUM('Working sheet'!$W12:$AC12)</f>
        <v>734.7</v>
      </c>
    </row>
    <row r="13" spans="1:37" x14ac:dyDescent="0.25">
      <c r="A13" s="13" t="s">
        <v>31</v>
      </c>
      <c r="B13" s="14">
        <v>2013</v>
      </c>
      <c r="C13" s="14" t="s">
        <v>34</v>
      </c>
      <c r="D13" s="14">
        <v>111.6</v>
      </c>
      <c r="E13" s="14">
        <v>110.9</v>
      </c>
      <c r="F13" s="14">
        <v>106.6</v>
      </c>
      <c r="G13" s="14">
        <v>105.7</v>
      </c>
      <c r="H13" s="14">
        <v>104.4</v>
      </c>
      <c r="I13" s="14">
        <v>108.9</v>
      </c>
      <c r="J13" s="14">
        <v>105.5</v>
      </c>
      <c r="K13" s="14">
        <v>105.3</v>
      </c>
      <c r="L13" s="14">
        <v>103.5</v>
      </c>
      <c r="M13" s="14">
        <v>103.3</v>
      </c>
      <c r="N13" s="14">
        <v>107.2</v>
      </c>
      <c r="O13" s="14">
        <v>109.6</v>
      </c>
      <c r="P13" s="14">
        <v>107.7</v>
      </c>
      <c r="Q13" s="14">
        <v>107.5</v>
      </c>
      <c r="R13" s="14">
        <v>108</v>
      </c>
      <c r="S13" s="14">
        <v>107</v>
      </c>
      <c r="T13" s="14">
        <v>107.9</v>
      </c>
      <c r="U13" s="14">
        <v>100.5</v>
      </c>
      <c r="V13" s="14">
        <v>106.5</v>
      </c>
      <c r="W13" s="14">
        <v>106.3</v>
      </c>
      <c r="X13" s="14">
        <v>105.3</v>
      </c>
      <c r="Y13" s="14">
        <v>104.7</v>
      </c>
      <c r="Z13" s="14">
        <v>104.2</v>
      </c>
      <c r="AA13" s="14">
        <v>105</v>
      </c>
      <c r="AB13" s="14">
        <v>102.9</v>
      </c>
      <c r="AC13" s="14">
        <v>104.8</v>
      </c>
      <c r="AD13" s="15">
        <v>106.1</v>
      </c>
      <c r="AF13" s="13">
        <f>SUM('Working sheet'!$D13:$P13)</f>
        <v>1390.2</v>
      </c>
      <c r="AG13" s="14">
        <f>SUM('Working sheet'!$Q13)</f>
        <v>107.5</v>
      </c>
      <c r="AH13" s="14">
        <f>SUM('Working sheet'!$R13:$T13)</f>
        <v>322.89999999999998</v>
      </c>
      <c r="AI13" s="14">
        <f>SUM('Working sheet'!$U13)</f>
        <v>100.5</v>
      </c>
      <c r="AJ13" s="14">
        <f>SUM('Working sheet'!$V13)</f>
        <v>106.5</v>
      </c>
      <c r="AK13" s="15">
        <f>SUM('Working sheet'!$W13:$AC13)</f>
        <v>733.19999999999993</v>
      </c>
    </row>
    <row r="14" spans="1:37" hidden="1" x14ac:dyDescent="0.25">
      <c r="A14" s="16" t="s">
        <v>28</v>
      </c>
      <c r="B14" s="17">
        <v>2013</v>
      </c>
      <c r="C14" s="17" t="s">
        <v>35</v>
      </c>
      <c r="D14" s="17">
        <v>110.9</v>
      </c>
      <c r="E14" s="17">
        <v>109.8</v>
      </c>
      <c r="F14" s="17">
        <v>105.9</v>
      </c>
      <c r="G14" s="17">
        <v>107.5</v>
      </c>
      <c r="H14" s="17">
        <v>105.3</v>
      </c>
      <c r="I14" s="17">
        <v>108.1</v>
      </c>
      <c r="J14" s="17">
        <v>107.3</v>
      </c>
      <c r="K14" s="17">
        <v>106.1</v>
      </c>
      <c r="L14" s="17">
        <v>103.7</v>
      </c>
      <c r="M14" s="17">
        <v>104</v>
      </c>
      <c r="N14" s="17">
        <v>107.4</v>
      </c>
      <c r="O14" s="17">
        <v>109.9</v>
      </c>
      <c r="P14" s="17">
        <v>108.1</v>
      </c>
      <c r="Q14" s="17">
        <v>108.1</v>
      </c>
      <c r="R14" s="17">
        <v>108.8</v>
      </c>
      <c r="S14" s="17">
        <v>107.9</v>
      </c>
      <c r="T14" s="17">
        <v>108.6</v>
      </c>
      <c r="U14" s="17">
        <v>103.6</v>
      </c>
      <c r="V14" s="17">
        <v>107.5</v>
      </c>
      <c r="W14" s="17">
        <v>106.8</v>
      </c>
      <c r="X14" s="17">
        <v>105.7</v>
      </c>
      <c r="Y14" s="17">
        <v>104.1</v>
      </c>
      <c r="Z14" s="17">
        <v>105</v>
      </c>
      <c r="AA14" s="17">
        <v>105.5</v>
      </c>
      <c r="AB14" s="17">
        <v>102.1</v>
      </c>
      <c r="AC14" s="17">
        <v>104.8</v>
      </c>
      <c r="AD14" s="18">
        <v>107.2</v>
      </c>
      <c r="AF14" s="16">
        <f>SUM('Working sheet'!$D14:$P14)</f>
        <v>1394</v>
      </c>
      <c r="AG14" s="17">
        <f>SUM('Working sheet'!$Q14)</f>
        <v>108.1</v>
      </c>
      <c r="AH14" s="17">
        <f>SUM('Working sheet'!$R14:$T14)</f>
        <v>325.29999999999995</v>
      </c>
      <c r="AI14" s="17">
        <f>SUM('Working sheet'!$U14)</f>
        <v>103.6</v>
      </c>
      <c r="AJ14" s="17">
        <f>SUM('Working sheet'!$V14)</f>
        <v>107.5</v>
      </c>
      <c r="AK14" s="18">
        <f>SUM('Working sheet'!$W14:$AC14)</f>
        <v>734</v>
      </c>
    </row>
    <row r="15" spans="1:37" hidden="1" x14ac:dyDescent="0.25">
      <c r="A15" s="13" t="s">
        <v>30</v>
      </c>
      <c r="B15" s="14">
        <v>2013</v>
      </c>
      <c r="C15" s="14" t="s">
        <v>35</v>
      </c>
      <c r="D15" s="14">
        <v>115.4</v>
      </c>
      <c r="E15" s="14">
        <v>114.2</v>
      </c>
      <c r="F15" s="14">
        <v>102.7</v>
      </c>
      <c r="G15" s="14">
        <v>105.5</v>
      </c>
      <c r="H15" s="14">
        <v>101.5</v>
      </c>
      <c r="I15" s="14">
        <v>110.6</v>
      </c>
      <c r="J15" s="14">
        <v>123.7</v>
      </c>
      <c r="K15" s="14">
        <v>105.2</v>
      </c>
      <c r="L15" s="14">
        <v>101.9</v>
      </c>
      <c r="M15" s="14">
        <v>105</v>
      </c>
      <c r="N15" s="14">
        <v>109.1</v>
      </c>
      <c r="O15" s="14">
        <v>111.3</v>
      </c>
      <c r="P15" s="14">
        <v>111.1</v>
      </c>
      <c r="Q15" s="14">
        <v>109.8</v>
      </c>
      <c r="R15" s="14">
        <v>108.5</v>
      </c>
      <c r="S15" s="14">
        <v>106.7</v>
      </c>
      <c r="T15" s="14">
        <v>108.3</v>
      </c>
      <c r="U15" s="14">
        <v>100.5</v>
      </c>
      <c r="V15" s="14">
        <v>107.2</v>
      </c>
      <c r="W15" s="14">
        <v>107.1</v>
      </c>
      <c r="X15" s="14">
        <v>106.2</v>
      </c>
      <c r="Y15" s="14">
        <v>103.9</v>
      </c>
      <c r="Z15" s="14">
        <v>104.6</v>
      </c>
      <c r="AA15" s="14">
        <v>105.7</v>
      </c>
      <c r="AB15" s="14">
        <v>102.6</v>
      </c>
      <c r="AC15" s="14">
        <v>104.9</v>
      </c>
      <c r="AD15" s="15">
        <v>106.6</v>
      </c>
      <c r="AF15" s="13">
        <f>SUM('Working sheet'!$D15:$P15)</f>
        <v>1417.1999999999998</v>
      </c>
      <c r="AG15" s="14">
        <f>SUM('Working sheet'!$Q15)</f>
        <v>109.8</v>
      </c>
      <c r="AH15" s="14">
        <f>SUM('Working sheet'!$R15:$T15)</f>
        <v>323.5</v>
      </c>
      <c r="AI15" s="14">
        <f>SUM('Working sheet'!$U15)</f>
        <v>100.5</v>
      </c>
      <c r="AJ15" s="14">
        <f>SUM('Working sheet'!$V15)</f>
        <v>107.2</v>
      </c>
      <c r="AK15" s="15">
        <f>SUM('Working sheet'!$W15:$AC15)</f>
        <v>735.00000000000011</v>
      </c>
    </row>
    <row r="16" spans="1:37" x14ac:dyDescent="0.25">
      <c r="A16" s="16" t="s">
        <v>31</v>
      </c>
      <c r="B16" s="17">
        <v>2013</v>
      </c>
      <c r="C16" s="17" t="s">
        <v>35</v>
      </c>
      <c r="D16" s="17">
        <v>112.3</v>
      </c>
      <c r="E16" s="17">
        <v>111.3</v>
      </c>
      <c r="F16" s="17">
        <v>104.7</v>
      </c>
      <c r="G16" s="17">
        <v>106.8</v>
      </c>
      <c r="H16" s="17">
        <v>103.9</v>
      </c>
      <c r="I16" s="17">
        <v>109.3</v>
      </c>
      <c r="J16" s="17">
        <v>112.9</v>
      </c>
      <c r="K16" s="17">
        <v>105.8</v>
      </c>
      <c r="L16" s="17">
        <v>103.1</v>
      </c>
      <c r="M16" s="17">
        <v>104.3</v>
      </c>
      <c r="N16" s="17">
        <v>108.1</v>
      </c>
      <c r="O16" s="17">
        <v>110.5</v>
      </c>
      <c r="P16" s="17">
        <v>109.2</v>
      </c>
      <c r="Q16" s="17">
        <v>108.6</v>
      </c>
      <c r="R16" s="17">
        <v>108.7</v>
      </c>
      <c r="S16" s="17">
        <v>107.4</v>
      </c>
      <c r="T16" s="17">
        <v>108.5</v>
      </c>
      <c r="U16" s="17">
        <v>100.5</v>
      </c>
      <c r="V16" s="17">
        <v>107.4</v>
      </c>
      <c r="W16" s="17">
        <v>106.9</v>
      </c>
      <c r="X16" s="17">
        <v>105.9</v>
      </c>
      <c r="Y16" s="17">
        <v>104</v>
      </c>
      <c r="Z16" s="17">
        <v>104.8</v>
      </c>
      <c r="AA16" s="17">
        <v>105.6</v>
      </c>
      <c r="AB16" s="17">
        <v>102.3</v>
      </c>
      <c r="AC16" s="17">
        <v>104.8</v>
      </c>
      <c r="AD16" s="18">
        <v>106.9</v>
      </c>
      <c r="AF16" s="16">
        <f>SUM('Working sheet'!$D16:$P16)</f>
        <v>1402.1999999999998</v>
      </c>
      <c r="AG16" s="17">
        <f>SUM('Working sheet'!$Q16)</f>
        <v>108.6</v>
      </c>
      <c r="AH16" s="17">
        <f>SUM('Working sheet'!$R16:$T16)</f>
        <v>324.60000000000002</v>
      </c>
      <c r="AI16" s="17">
        <f>SUM('Working sheet'!$U16)</f>
        <v>100.5</v>
      </c>
      <c r="AJ16" s="17">
        <f>SUM('Working sheet'!$V16)</f>
        <v>107.4</v>
      </c>
      <c r="AK16" s="18">
        <f>SUM('Working sheet'!$W16:$AC16)</f>
        <v>734.3</v>
      </c>
    </row>
    <row r="17" spans="1:37" hidden="1" x14ac:dyDescent="0.25">
      <c r="A17" s="13" t="s">
        <v>28</v>
      </c>
      <c r="B17" s="14">
        <v>2013</v>
      </c>
      <c r="C17" s="14" t="s">
        <v>36</v>
      </c>
      <c r="D17" s="14">
        <v>112.3</v>
      </c>
      <c r="E17" s="14">
        <v>112.1</v>
      </c>
      <c r="F17" s="14">
        <v>108.1</v>
      </c>
      <c r="G17" s="14">
        <v>108.3</v>
      </c>
      <c r="H17" s="14">
        <v>105.9</v>
      </c>
      <c r="I17" s="14">
        <v>109.2</v>
      </c>
      <c r="J17" s="14">
        <v>118</v>
      </c>
      <c r="K17" s="14">
        <v>106.8</v>
      </c>
      <c r="L17" s="14">
        <v>104.1</v>
      </c>
      <c r="M17" s="14">
        <v>105.4</v>
      </c>
      <c r="N17" s="14">
        <v>108.2</v>
      </c>
      <c r="O17" s="14">
        <v>111</v>
      </c>
      <c r="P17" s="14">
        <v>110.6</v>
      </c>
      <c r="Q17" s="14">
        <v>109</v>
      </c>
      <c r="R17" s="14">
        <v>109.7</v>
      </c>
      <c r="S17" s="14">
        <v>108.8</v>
      </c>
      <c r="T17" s="14">
        <v>109.5</v>
      </c>
      <c r="U17" s="14">
        <v>107.2</v>
      </c>
      <c r="V17" s="14">
        <v>108.5</v>
      </c>
      <c r="W17" s="14">
        <v>107.5</v>
      </c>
      <c r="X17" s="14">
        <v>106.3</v>
      </c>
      <c r="Y17" s="14">
        <v>105</v>
      </c>
      <c r="Z17" s="14">
        <v>105.6</v>
      </c>
      <c r="AA17" s="14">
        <v>106.5</v>
      </c>
      <c r="AB17" s="14">
        <v>102.5</v>
      </c>
      <c r="AC17" s="14">
        <v>105.5</v>
      </c>
      <c r="AD17" s="15">
        <v>108.9</v>
      </c>
      <c r="AF17" s="13">
        <f>SUM('Working sheet'!$D17:$P17)</f>
        <v>1420</v>
      </c>
      <c r="AG17" s="14">
        <f>SUM('Working sheet'!$Q17)</f>
        <v>109</v>
      </c>
      <c r="AH17" s="14">
        <f>SUM('Working sheet'!$R17:$T17)</f>
        <v>328</v>
      </c>
      <c r="AI17" s="14">
        <f>SUM('Working sheet'!$U17)</f>
        <v>107.2</v>
      </c>
      <c r="AJ17" s="14">
        <f>SUM('Working sheet'!$V17)</f>
        <v>108.5</v>
      </c>
      <c r="AK17" s="15">
        <f>SUM('Working sheet'!$W17:$AC17)</f>
        <v>738.9</v>
      </c>
    </row>
    <row r="18" spans="1:37" hidden="1" x14ac:dyDescent="0.25">
      <c r="A18" s="16" t="s">
        <v>30</v>
      </c>
      <c r="B18" s="17">
        <v>2013</v>
      </c>
      <c r="C18" s="17" t="s">
        <v>36</v>
      </c>
      <c r="D18" s="17">
        <v>117</v>
      </c>
      <c r="E18" s="17">
        <v>120.1</v>
      </c>
      <c r="F18" s="17">
        <v>112.5</v>
      </c>
      <c r="G18" s="17">
        <v>107.3</v>
      </c>
      <c r="H18" s="17">
        <v>101.3</v>
      </c>
      <c r="I18" s="17">
        <v>112.4</v>
      </c>
      <c r="J18" s="17">
        <v>143.6</v>
      </c>
      <c r="K18" s="17">
        <v>105.4</v>
      </c>
      <c r="L18" s="17">
        <v>101.4</v>
      </c>
      <c r="M18" s="17">
        <v>106.4</v>
      </c>
      <c r="N18" s="17">
        <v>110</v>
      </c>
      <c r="O18" s="17">
        <v>112.2</v>
      </c>
      <c r="P18" s="17">
        <v>115</v>
      </c>
      <c r="Q18" s="17">
        <v>110.9</v>
      </c>
      <c r="R18" s="17">
        <v>109.2</v>
      </c>
      <c r="S18" s="17">
        <v>107.2</v>
      </c>
      <c r="T18" s="17">
        <v>108.9</v>
      </c>
      <c r="U18" s="17">
        <v>106.6</v>
      </c>
      <c r="V18" s="17">
        <v>108</v>
      </c>
      <c r="W18" s="17">
        <v>107.7</v>
      </c>
      <c r="X18" s="17">
        <v>106.5</v>
      </c>
      <c r="Y18" s="17">
        <v>105.2</v>
      </c>
      <c r="Z18" s="17">
        <v>105.2</v>
      </c>
      <c r="AA18" s="17">
        <v>108.1</v>
      </c>
      <c r="AB18" s="17">
        <v>103.3</v>
      </c>
      <c r="AC18" s="17">
        <v>106.1</v>
      </c>
      <c r="AD18" s="18">
        <v>109.7</v>
      </c>
      <c r="AF18" s="16">
        <f>SUM('Working sheet'!$D18:$P18)</f>
        <v>1464.6000000000001</v>
      </c>
      <c r="AG18" s="17">
        <f>SUM('Working sheet'!$Q18)</f>
        <v>110.9</v>
      </c>
      <c r="AH18" s="17">
        <f>SUM('Working sheet'!$R18:$T18)</f>
        <v>325.3</v>
      </c>
      <c r="AI18" s="17">
        <f>SUM('Working sheet'!$U18)</f>
        <v>106.6</v>
      </c>
      <c r="AJ18" s="17">
        <f>SUM('Working sheet'!$V18)</f>
        <v>108</v>
      </c>
      <c r="AK18" s="18">
        <f>SUM('Working sheet'!$W18:$AC18)</f>
        <v>742.09999999999991</v>
      </c>
    </row>
    <row r="19" spans="1:37" x14ac:dyDescent="0.25">
      <c r="A19" s="13" t="s">
        <v>31</v>
      </c>
      <c r="B19" s="14">
        <v>2013</v>
      </c>
      <c r="C19" s="14" t="s">
        <v>36</v>
      </c>
      <c r="D19" s="14">
        <v>113.8</v>
      </c>
      <c r="E19" s="14">
        <v>114.9</v>
      </c>
      <c r="F19" s="14">
        <v>109.8</v>
      </c>
      <c r="G19" s="14">
        <v>107.9</v>
      </c>
      <c r="H19" s="14">
        <v>104.2</v>
      </c>
      <c r="I19" s="14">
        <v>110.7</v>
      </c>
      <c r="J19" s="14">
        <v>126.7</v>
      </c>
      <c r="K19" s="14">
        <v>106.3</v>
      </c>
      <c r="L19" s="14">
        <v>103.2</v>
      </c>
      <c r="M19" s="14">
        <v>105.7</v>
      </c>
      <c r="N19" s="14">
        <v>109</v>
      </c>
      <c r="O19" s="14">
        <v>111.6</v>
      </c>
      <c r="P19" s="14">
        <v>112.2</v>
      </c>
      <c r="Q19" s="14">
        <v>109.5</v>
      </c>
      <c r="R19" s="14">
        <v>109.5</v>
      </c>
      <c r="S19" s="14">
        <v>108.1</v>
      </c>
      <c r="T19" s="14">
        <v>109.3</v>
      </c>
      <c r="U19" s="14">
        <v>106.6</v>
      </c>
      <c r="V19" s="14">
        <v>108.3</v>
      </c>
      <c r="W19" s="14">
        <v>107.6</v>
      </c>
      <c r="X19" s="14">
        <v>106.4</v>
      </c>
      <c r="Y19" s="14">
        <v>105.1</v>
      </c>
      <c r="Z19" s="14">
        <v>105.4</v>
      </c>
      <c r="AA19" s="14">
        <v>107.4</v>
      </c>
      <c r="AB19" s="14">
        <v>102.8</v>
      </c>
      <c r="AC19" s="14">
        <v>105.8</v>
      </c>
      <c r="AD19" s="15">
        <v>109.3</v>
      </c>
      <c r="AF19" s="13">
        <f>SUM('Working sheet'!$D19:$P19)</f>
        <v>1436</v>
      </c>
      <c r="AG19" s="14">
        <f>SUM('Working sheet'!$Q19)</f>
        <v>109.5</v>
      </c>
      <c r="AH19" s="14">
        <f>SUM('Working sheet'!$R19:$T19)</f>
        <v>326.89999999999998</v>
      </c>
      <c r="AI19" s="14">
        <f>SUM('Working sheet'!$U19)</f>
        <v>106.6</v>
      </c>
      <c r="AJ19" s="14">
        <f>SUM('Working sheet'!$V19)</f>
        <v>108.3</v>
      </c>
      <c r="AK19" s="15">
        <f>SUM('Working sheet'!$W19:$AC19)</f>
        <v>740.49999999999989</v>
      </c>
    </row>
    <row r="20" spans="1:37" hidden="1" x14ac:dyDescent="0.25">
      <c r="A20" s="16" t="s">
        <v>28</v>
      </c>
      <c r="B20" s="17">
        <v>2013</v>
      </c>
      <c r="C20" s="17" t="s">
        <v>37</v>
      </c>
      <c r="D20" s="17">
        <v>113.4</v>
      </c>
      <c r="E20" s="17">
        <v>114.9</v>
      </c>
      <c r="F20" s="17">
        <v>110.5</v>
      </c>
      <c r="G20" s="17">
        <v>109.3</v>
      </c>
      <c r="H20" s="17">
        <v>106.2</v>
      </c>
      <c r="I20" s="17">
        <v>110.3</v>
      </c>
      <c r="J20" s="17">
        <v>129.19999999999999</v>
      </c>
      <c r="K20" s="17">
        <v>107.1</v>
      </c>
      <c r="L20" s="17">
        <v>104.3</v>
      </c>
      <c r="M20" s="17">
        <v>106.4</v>
      </c>
      <c r="N20" s="17">
        <v>109.1</v>
      </c>
      <c r="O20" s="17">
        <v>112.1</v>
      </c>
      <c r="P20" s="17">
        <v>113.1</v>
      </c>
      <c r="Q20" s="17">
        <v>109.8</v>
      </c>
      <c r="R20" s="17">
        <v>110.5</v>
      </c>
      <c r="S20" s="17">
        <v>109.5</v>
      </c>
      <c r="T20" s="17">
        <v>110.3</v>
      </c>
      <c r="U20" s="17">
        <v>108.3</v>
      </c>
      <c r="V20" s="17">
        <v>109.5</v>
      </c>
      <c r="W20" s="17">
        <v>108.3</v>
      </c>
      <c r="X20" s="17">
        <v>106.9</v>
      </c>
      <c r="Y20" s="17">
        <v>106.8</v>
      </c>
      <c r="Z20" s="17">
        <v>106.4</v>
      </c>
      <c r="AA20" s="17">
        <v>107.8</v>
      </c>
      <c r="AB20" s="17">
        <v>102.5</v>
      </c>
      <c r="AC20" s="17">
        <v>106.5</v>
      </c>
      <c r="AD20" s="18">
        <v>110.7</v>
      </c>
      <c r="AF20" s="16">
        <f>SUM('Working sheet'!$D20:$P20)</f>
        <v>1445.8999999999996</v>
      </c>
      <c r="AG20" s="17">
        <f>SUM('Working sheet'!$Q20)</f>
        <v>109.8</v>
      </c>
      <c r="AH20" s="17">
        <f>SUM('Working sheet'!$R20:$T20)</f>
        <v>330.3</v>
      </c>
      <c r="AI20" s="17">
        <f>SUM('Working sheet'!$U20)</f>
        <v>108.3</v>
      </c>
      <c r="AJ20" s="17">
        <f>SUM('Working sheet'!$V20)</f>
        <v>109.5</v>
      </c>
      <c r="AK20" s="18">
        <f>SUM('Working sheet'!$W20:$AC20)</f>
        <v>745.19999999999993</v>
      </c>
    </row>
    <row r="21" spans="1:37" hidden="1" x14ac:dyDescent="0.25">
      <c r="A21" s="13" t="s">
        <v>30</v>
      </c>
      <c r="B21" s="14">
        <v>2013</v>
      </c>
      <c r="C21" s="14" t="s">
        <v>37</v>
      </c>
      <c r="D21" s="14">
        <v>117.8</v>
      </c>
      <c r="E21" s="14">
        <v>119.2</v>
      </c>
      <c r="F21" s="14">
        <v>114</v>
      </c>
      <c r="G21" s="14">
        <v>108.3</v>
      </c>
      <c r="H21" s="14">
        <v>101.1</v>
      </c>
      <c r="I21" s="14">
        <v>113.2</v>
      </c>
      <c r="J21" s="14">
        <v>160.9</v>
      </c>
      <c r="K21" s="14">
        <v>105.1</v>
      </c>
      <c r="L21" s="14">
        <v>101.3</v>
      </c>
      <c r="M21" s="14">
        <v>107.5</v>
      </c>
      <c r="N21" s="14">
        <v>110.4</v>
      </c>
      <c r="O21" s="14">
        <v>113.1</v>
      </c>
      <c r="P21" s="14">
        <v>117.5</v>
      </c>
      <c r="Q21" s="14">
        <v>111.7</v>
      </c>
      <c r="R21" s="14">
        <v>109.8</v>
      </c>
      <c r="S21" s="14">
        <v>107.8</v>
      </c>
      <c r="T21" s="14">
        <v>109.5</v>
      </c>
      <c r="U21" s="14">
        <v>107.7</v>
      </c>
      <c r="V21" s="14">
        <v>108.6</v>
      </c>
      <c r="W21" s="14">
        <v>108.1</v>
      </c>
      <c r="X21" s="14">
        <v>107.1</v>
      </c>
      <c r="Y21" s="14">
        <v>107.3</v>
      </c>
      <c r="Z21" s="14">
        <v>105.9</v>
      </c>
      <c r="AA21" s="14">
        <v>110.1</v>
      </c>
      <c r="AB21" s="14">
        <v>103.2</v>
      </c>
      <c r="AC21" s="14">
        <v>107.3</v>
      </c>
      <c r="AD21" s="15">
        <v>111.4</v>
      </c>
      <c r="AF21" s="13">
        <f>SUM('Working sheet'!$D21:$P21)</f>
        <v>1489.4</v>
      </c>
      <c r="AG21" s="14">
        <f>SUM('Working sheet'!$Q21)</f>
        <v>111.7</v>
      </c>
      <c r="AH21" s="14">
        <f>SUM('Working sheet'!$R21:$T21)</f>
        <v>327.10000000000002</v>
      </c>
      <c r="AI21" s="14">
        <f>SUM('Working sheet'!$U21)</f>
        <v>107.7</v>
      </c>
      <c r="AJ21" s="14">
        <f>SUM('Working sheet'!$V21)</f>
        <v>108.6</v>
      </c>
      <c r="AK21" s="15">
        <f>SUM('Working sheet'!$W21:$AC21)</f>
        <v>749</v>
      </c>
    </row>
    <row r="22" spans="1:37" x14ac:dyDescent="0.25">
      <c r="A22" s="16" t="s">
        <v>31</v>
      </c>
      <c r="B22" s="17">
        <v>2013</v>
      </c>
      <c r="C22" s="17" t="s">
        <v>37</v>
      </c>
      <c r="D22" s="17">
        <v>114.8</v>
      </c>
      <c r="E22" s="17">
        <v>116.4</v>
      </c>
      <c r="F22" s="17">
        <v>111.9</v>
      </c>
      <c r="G22" s="17">
        <v>108.9</v>
      </c>
      <c r="H22" s="17">
        <v>104.3</v>
      </c>
      <c r="I22" s="17">
        <v>111.7</v>
      </c>
      <c r="J22" s="17">
        <v>140</v>
      </c>
      <c r="K22" s="17">
        <v>106.4</v>
      </c>
      <c r="L22" s="17">
        <v>103.3</v>
      </c>
      <c r="M22" s="17">
        <v>106.8</v>
      </c>
      <c r="N22" s="17">
        <v>109.6</v>
      </c>
      <c r="O22" s="17">
        <v>112.6</v>
      </c>
      <c r="P22" s="17">
        <v>114.7</v>
      </c>
      <c r="Q22" s="17">
        <v>110.3</v>
      </c>
      <c r="R22" s="17">
        <v>110.2</v>
      </c>
      <c r="S22" s="17">
        <v>108.8</v>
      </c>
      <c r="T22" s="17">
        <v>110</v>
      </c>
      <c r="U22" s="17">
        <v>107.7</v>
      </c>
      <c r="V22" s="17">
        <v>109.2</v>
      </c>
      <c r="W22" s="17">
        <v>108.2</v>
      </c>
      <c r="X22" s="17">
        <v>107</v>
      </c>
      <c r="Y22" s="17">
        <v>107.1</v>
      </c>
      <c r="Z22" s="17">
        <v>106.1</v>
      </c>
      <c r="AA22" s="17">
        <v>109.1</v>
      </c>
      <c r="AB22" s="17">
        <v>102.8</v>
      </c>
      <c r="AC22" s="17">
        <v>106.9</v>
      </c>
      <c r="AD22" s="18">
        <v>111</v>
      </c>
      <c r="AF22" s="16">
        <f>SUM('Working sheet'!$D22:$P22)</f>
        <v>1461.3999999999999</v>
      </c>
      <c r="AG22" s="17">
        <f>SUM('Working sheet'!$Q22)</f>
        <v>110.3</v>
      </c>
      <c r="AH22" s="17">
        <f>SUM('Working sheet'!$R22:$T22)</f>
        <v>329</v>
      </c>
      <c r="AI22" s="17">
        <f>SUM('Working sheet'!$U22)</f>
        <v>107.7</v>
      </c>
      <c r="AJ22" s="17">
        <f>SUM('Working sheet'!$V22)</f>
        <v>109.2</v>
      </c>
      <c r="AK22" s="18">
        <f>SUM('Working sheet'!$W22:$AC22)</f>
        <v>747.19999999999993</v>
      </c>
    </row>
    <row r="23" spans="1:37" hidden="1" x14ac:dyDescent="0.25">
      <c r="A23" s="13" t="s">
        <v>28</v>
      </c>
      <c r="B23" s="14">
        <v>2013</v>
      </c>
      <c r="C23" s="14" t="s">
        <v>38</v>
      </c>
      <c r="D23" s="14">
        <v>114.3</v>
      </c>
      <c r="E23" s="14">
        <v>115.4</v>
      </c>
      <c r="F23" s="14">
        <v>111.1</v>
      </c>
      <c r="G23" s="14">
        <v>110</v>
      </c>
      <c r="H23" s="14">
        <v>106.4</v>
      </c>
      <c r="I23" s="14">
        <v>110.8</v>
      </c>
      <c r="J23" s="14">
        <v>138.9</v>
      </c>
      <c r="K23" s="14">
        <v>107.4</v>
      </c>
      <c r="L23" s="14">
        <v>104.1</v>
      </c>
      <c r="M23" s="14">
        <v>106.9</v>
      </c>
      <c r="N23" s="14">
        <v>109.7</v>
      </c>
      <c r="O23" s="14">
        <v>112.6</v>
      </c>
      <c r="P23" s="14">
        <v>114.9</v>
      </c>
      <c r="Q23" s="14">
        <v>110.7</v>
      </c>
      <c r="R23" s="14">
        <v>111.3</v>
      </c>
      <c r="S23" s="14">
        <v>110.2</v>
      </c>
      <c r="T23" s="14">
        <v>111.1</v>
      </c>
      <c r="U23" s="14">
        <v>109.3</v>
      </c>
      <c r="V23" s="14">
        <v>109.9</v>
      </c>
      <c r="W23" s="14">
        <v>108.7</v>
      </c>
      <c r="X23" s="14">
        <v>107.5</v>
      </c>
      <c r="Y23" s="14">
        <v>107.8</v>
      </c>
      <c r="Z23" s="14">
        <v>106.8</v>
      </c>
      <c r="AA23" s="14">
        <v>108.7</v>
      </c>
      <c r="AB23" s="14">
        <v>105</v>
      </c>
      <c r="AC23" s="14">
        <v>107.5</v>
      </c>
      <c r="AD23" s="15">
        <v>112.1</v>
      </c>
      <c r="AF23" s="13">
        <f>SUM('Working sheet'!$D23:$P23)</f>
        <v>1462.5</v>
      </c>
      <c r="AG23" s="14">
        <f>SUM('Working sheet'!$Q23)</f>
        <v>110.7</v>
      </c>
      <c r="AH23" s="14">
        <f>SUM('Working sheet'!$R23:$T23)</f>
        <v>332.6</v>
      </c>
      <c r="AI23" s="14">
        <f>SUM('Working sheet'!$U23)</f>
        <v>109.3</v>
      </c>
      <c r="AJ23" s="14">
        <f>SUM('Working sheet'!$V23)</f>
        <v>109.9</v>
      </c>
      <c r="AK23" s="15">
        <f>SUM('Working sheet'!$W23:$AC23)</f>
        <v>752</v>
      </c>
    </row>
    <row r="24" spans="1:37" hidden="1" x14ac:dyDescent="0.25">
      <c r="A24" s="16" t="s">
        <v>30</v>
      </c>
      <c r="B24" s="17">
        <v>2013</v>
      </c>
      <c r="C24" s="17" t="s">
        <v>38</v>
      </c>
      <c r="D24" s="17">
        <v>118.3</v>
      </c>
      <c r="E24" s="17">
        <v>120.4</v>
      </c>
      <c r="F24" s="17">
        <v>112.7</v>
      </c>
      <c r="G24" s="17">
        <v>108.9</v>
      </c>
      <c r="H24" s="17">
        <v>101.1</v>
      </c>
      <c r="I24" s="17">
        <v>108.7</v>
      </c>
      <c r="J24" s="17">
        <v>177</v>
      </c>
      <c r="K24" s="17">
        <v>104.7</v>
      </c>
      <c r="L24" s="17">
        <v>101</v>
      </c>
      <c r="M24" s="17">
        <v>108.5</v>
      </c>
      <c r="N24" s="17">
        <v>110.9</v>
      </c>
      <c r="O24" s="17">
        <v>114.3</v>
      </c>
      <c r="P24" s="17">
        <v>119.6</v>
      </c>
      <c r="Q24" s="17">
        <v>112.4</v>
      </c>
      <c r="R24" s="17">
        <v>110.6</v>
      </c>
      <c r="S24" s="17">
        <v>108.3</v>
      </c>
      <c r="T24" s="17">
        <v>110.2</v>
      </c>
      <c r="U24" s="17">
        <v>108.9</v>
      </c>
      <c r="V24" s="17">
        <v>109.3</v>
      </c>
      <c r="W24" s="17">
        <v>108.7</v>
      </c>
      <c r="X24" s="17">
        <v>107.6</v>
      </c>
      <c r="Y24" s="17">
        <v>108.1</v>
      </c>
      <c r="Z24" s="17">
        <v>106.5</v>
      </c>
      <c r="AA24" s="17">
        <v>110.8</v>
      </c>
      <c r="AB24" s="17">
        <v>106</v>
      </c>
      <c r="AC24" s="17">
        <v>108.3</v>
      </c>
      <c r="AD24" s="18">
        <v>112.7</v>
      </c>
      <c r="AF24" s="16">
        <f>SUM('Working sheet'!$D24:$P24)</f>
        <v>1506.1000000000001</v>
      </c>
      <c r="AG24" s="17">
        <f>SUM('Working sheet'!$Q24)</f>
        <v>112.4</v>
      </c>
      <c r="AH24" s="17">
        <f>SUM('Working sheet'!$R24:$T24)</f>
        <v>329.09999999999997</v>
      </c>
      <c r="AI24" s="17">
        <f>SUM('Working sheet'!$U24)</f>
        <v>108.9</v>
      </c>
      <c r="AJ24" s="17">
        <f>SUM('Working sheet'!$V24)</f>
        <v>109.3</v>
      </c>
      <c r="AK24" s="18">
        <f>SUM('Working sheet'!$W24:$AC24)</f>
        <v>755.99999999999989</v>
      </c>
    </row>
    <row r="25" spans="1:37" x14ac:dyDescent="0.25">
      <c r="A25" s="13" t="s">
        <v>31</v>
      </c>
      <c r="B25" s="14">
        <v>2013</v>
      </c>
      <c r="C25" s="14" t="s">
        <v>38</v>
      </c>
      <c r="D25" s="14">
        <v>115.6</v>
      </c>
      <c r="E25" s="14">
        <v>117.2</v>
      </c>
      <c r="F25" s="14">
        <v>111.7</v>
      </c>
      <c r="G25" s="14">
        <v>109.6</v>
      </c>
      <c r="H25" s="14">
        <v>104.5</v>
      </c>
      <c r="I25" s="14">
        <v>109.8</v>
      </c>
      <c r="J25" s="14">
        <v>151.80000000000001</v>
      </c>
      <c r="K25" s="14">
        <v>106.5</v>
      </c>
      <c r="L25" s="14">
        <v>103.1</v>
      </c>
      <c r="M25" s="14">
        <v>107.4</v>
      </c>
      <c r="N25" s="14">
        <v>110.2</v>
      </c>
      <c r="O25" s="14">
        <v>113.4</v>
      </c>
      <c r="P25" s="14">
        <v>116.6</v>
      </c>
      <c r="Q25" s="14">
        <v>111.2</v>
      </c>
      <c r="R25" s="14">
        <v>111</v>
      </c>
      <c r="S25" s="14">
        <v>109.4</v>
      </c>
      <c r="T25" s="14">
        <v>110.7</v>
      </c>
      <c r="U25" s="14">
        <v>108.9</v>
      </c>
      <c r="V25" s="14">
        <v>109.7</v>
      </c>
      <c r="W25" s="14">
        <v>108.7</v>
      </c>
      <c r="X25" s="14">
        <v>107.5</v>
      </c>
      <c r="Y25" s="14">
        <v>108</v>
      </c>
      <c r="Z25" s="14">
        <v>106.6</v>
      </c>
      <c r="AA25" s="14">
        <v>109.9</v>
      </c>
      <c r="AB25" s="14">
        <v>105.4</v>
      </c>
      <c r="AC25" s="14">
        <v>107.9</v>
      </c>
      <c r="AD25" s="15">
        <v>112.4</v>
      </c>
      <c r="AF25" s="13">
        <f>SUM('Working sheet'!$D25:$P25)</f>
        <v>1477.4</v>
      </c>
      <c r="AG25" s="14">
        <f>SUM('Working sheet'!$Q25)</f>
        <v>111.2</v>
      </c>
      <c r="AH25" s="14">
        <f>SUM('Working sheet'!$R25:$T25)</f>
        <v>331.1</v>
      </c>
      <c r="AI25" s="14">
        <f>SUM('Working sheet'!$U25)</f>
        <v>108.9</v>
      </c>
      <c r="AJ25" s="14">
        <f>SUM('Working sheet'!$V25)</f>
        <v>109.7</v>
      </c>
      <c r="AK25" s="15">
        <f>SUM('Working sheet'!$W25:$AC25)</f>
        <v>753.99999999999989</v>
      </c>
    </row>
    <row r="26" spans="1:37" hidden="1" x14ac:dyDescent="0.25">
      <c r="A26" s="16" t="s">
        <v>28</v>
      </c>
      <c r="B26" s="17">
        <v>2013</v>
      </c>
      <c r="C26" s="17" t="s">
        <v>39</v>
      </c>
      <c r="D26" s="17">
        <v>115.4</v>
      </c>
      <c r="E26" s="17">
        <v>115.7</v>
      </c>
      <c r="F26" s="17">
        <v>111.7</v>
      </c>
      <c r="G26" s="17">
        <v>111</v>
      </c>
      <c r="H26" s="17">
        <v>107.4</v>
      </c>
      <c r="I26" s="17">
        <v>110.9</v>
      </c>
      <c r="J26" s="17">
        <v>154</v>
      </c>
      <c r="K26" s="17">
        <v>108.1</v>
      </c>
      <c r="L26" s="17">
        <v>104.2</v>
      </c>
      <c r="M26" s="17">
        <v>107.9</v>
      </c>
      <c r="N26" s="17">
        <v>110.4</v>
      </c>
      <c r="O26" s="17">
        <v>114</v>
      </c>
      <c r="P26" s="17">
        <v>117.8</v>
      </c>
      <c r="Q26" s="17">
        <v>111.7</v>
      </c>
      <c r="R26" s="17">
        <v>112.7</v>
      </c>
      <c r="S26" s="17">
        <v>111.4</v>
      </c>
      <c r="T26" s="17">
        <v>112.5</v>
      </c>
      <c r="U26" s="17">
        <v>110.1</v>
      </c>
      <c r="V26" s="17">
        <v>111.1</v>
      </c>
      <c r="W26" s="17">
        <v>109.6</v>
      </c>
      <c r="X26" s="17">
        <v>108.3</v>
      </c>
      <c r="Y26" s="17">
        <v>109.3</v>
      </c>
      <c r="Z26" s="17">
        <v>107.7</v>
      </c>
      <c r="AA26" s="17">
        <v>109.8</v>
      </c>
      <c r="AB26" s="17">
        <v>106.7</v>
      </c>
      <c r="AC26" s="17">
        <v>108.7</v>
      </c>
      <c r="AD26" s="18">
        <v>114.2</v>
      </c>
      <c r="AF26" s="16">
        <f>SUM('Working sheet'!$D26:$P26)</f>
        <v>1488.5000000000002</v>
      </c>
      <c r="AG26" s="17">
        <f>SUM('Working sheet'!$Q26)</f>
        <v>111.7</v>
      </c>
      <c r="AH26" s="17">
        <f>SUM('Working sheet'!$R26:$T26)</f>
        <v>336.6</v>
      </c>
      <c r="AI26" s="17">
        <f>SUM('Working sheet'!$U26)</f>
        <v>110.1</v>
      </c>
      <c r="AJ26" s="17">
        <f>SUM('Working sheet'!$V26)</f>
        <v>111.1</v>
      </c>
      <c r="AK26" s="18">
        <f>SUM('Working sheet'!$W26:$AC26)</f>
        <v>760.1</v>
      </c>
    </row>
    <row r="27" spans="1:37" hidden="1" x14ac:dyDescent="0.25">
      <c r="A27" s="13" t="s">
        <v>30</v>
      </c>
      <c r="B27" s="14">
        <v>2013</v>
      </c>
      <c r="C27" s="14" t="s">
        <v>39</v>
      </c>
      <c r="D27" s="14">
        <v>118.6</v>
      </c>
      <c r="E27" s="14">
        <v>119.1</v>
      </c>
      <c r="F27" s="14">
        <v>113.2</v>
      </c>
      <c r="G27" s="14">
        <v>109.6</v>
      </c>
      <c r="H27" s="14">
        <v>101.7</v>
      </c>
      <c r="I27" s="14">
        <v>103.2</v>
      </c>
      <c r="J27" s="14">
        <v>174.3</v>
      </c>
      <c r="K27" s="14">
        <v>105.1</v>
      </c>
      <c r="L27" s="14">
        <v>100.8</v>
      </c>
      <c r="M27" s="14">
        <v>109.1</v>
      </c>
      <c r="N27" s="14">
        <v>111.1</v>
      </c>
      <c r="O27" s="14">
        <v>115.4</v>
      </c>
      <c r="P27" s="14">
        <v>119.2</v>
      </c>
      <c r="Q27" s="14">
        <v>112.9</v>
      </c>
      <c r="R27" s="14">
        <v>111.4</v>
      </c>
      <c r="S27" s="14">
        <v>109</v>
      </c>
      <c r="T27" s="14">
        <v>111.1</v>
      </c>
      <c r="U27" s="14">
        <v>109.7</v>
      </c>
      <c r="V27" s="14">
        <v>109.5</v>
      </c>
      <c r="W27" s="14">
        <v>109.6</v>
      </c>
      <c r="X27" s="14">
        <v>107.9</v>
      </c>
      <c r="Y27" s="14">
        <v>110.4</v>
      </c>
      <c r="Z27" s="14">
        <v>107.4</v>
      </c>
      <c r="AA27" s="14">
        <v>111.2</v>
      </c>
      <c r="AB27" s="14">
        <v>106.9</v>
      </c>
      <c r="AC27" s="14">
        <v>109.4</v>
      </c>
      <c r="AD27" s="15">
        <v>113.2</v>
      </c>
      <c r="AF27" s="13">
        <f>SUM('Working sheet'!$D27:$P27)</f>
        <v>1500.4</v>
      </c>
      <c r="AG27" s="14">
        <f>SUM('Working sheet'!$Q27)</f>
        <v>112.9</v>
      </c>
      <c r="AH27" s="14">
        <f>SUM('Working sheet'!$R27:$T27)</f>
        <v>331.5</v>
      </c>
      <c r="AI27" s="14">
        <f>SUM('Working sheet'!$U27)</f>
        <v>109.7</v>
      </c>
      <c r="AJ27" s="14">
        <f>SUM('Working sheet'!$V27)</f>
        <v>109.5</v>
      </c>
      <c r="AK27" s="15">
        <f>SUM('Working sheet'!$W27:$AC27)</f>
        <v>762.8</v>
      </c>
    </row>
    <row r="28" spans="1:37" x14ac:dyDescent="0.25">
      <c r="A28" s="16" t="s">
        <v>31</v>
      </c>
      <c r="B28" s="17">
        <v>2013</v>
      </c>
      <c r="C28" s="17" t="s">
        <v>39</v>
      </c>
      <c r="D28" s="17">
        <v>116.4</v>
      </c>
      <c r="E28" s="17">
        <v>116.9</v>
      </c>
      <c r="F28" s="17">
        <v>112.3</v>
      </c>
      <c r="G28" s="17">
        <v>110.5</v>
      </c>
      <c r="H28" s="17">
        <v>105.3</v>
      </c>
      <c r="I28" s="17">
        <v>107.3</v>
      </c>
      <c r="J28" s="17">
        <v>160.9</v>
      </c>
      <c r="K28" s="17">
        <v>107.1</v>
      </c>
      <c r="L28" s="17">
        <v>103.1</v>
      </c>
      <c r="M28" s="17">
        <v>108.3</v>
      </c>
      <c r="N28" s="17">
        <v>110.7</v>
      </c>
      <c r="O28" s="17">
        <v>114.6</v>
      </c>
      <c r="P28" s="17">
        <v>118.3</v>
      </c>
      <c r="Q28" s="17">
        <v>112</v>
      </c>
      <c r="R28" s="17">
        <v>112.2</v>
      </c>
      <c r="S28" s="17">
        <v>110.4</v>
      </c>
      <c r="T28" s="17">
        <v>111.9</v>
      </c>
      <c r="U28" s="17">
        <v>109.7</v>
      </c>
      <c r="V28" s="17">
        <v>110.5</v>
      </c>
      <c r="W28" s="17">
        <v>109.6</v>
      </c>
      <c r="X28" s="17">
        <v>108.1</v>
      </c>
      <c r="Y28" s="17">
        <v>109.9</v>
      </c>
      <c r="Z28" s="17">
        <v>107.5</v>
      </c>
      <c r="AA28" s="17">
        <v>110.6</v>
      </c>
      <c r="AB28" s="17">
        <v>106.8</v>
      </c>
      <c r="AC28" s="17">
        <v>109</v>
      </c>
      <c r="AD28" s="18">
        <v>113.7</v>
      </c>
      <c r="AF28" s="16">
        <f>SUM('Working sheet'!$D28:$P28)</f>
        <v>1491.6999999999998</v>
      </c>
      <c r="AG28" s="17">
        <f>SUM('Working sheet'!$Q28)</f>
        <v>112</v>
      </c>
      <c r="AH28" s="17">
        <f>SUM('Working sheet'!$R28:$T28)</f>
        <v>334.5</v>
      </c>
      <c r="AI28" s="17">
        <f>SUM('Working sheet'!$U28)</f>
        <v>109.7</v>
      </c>
      <c r="AJ28" s="17">
        <f>SUM('Working sheet'!$V28)</f>
        <v>110.5</v>
      </c>
      <c r="AK28" s="18">
        <f>SUM('Working sheet'!$W28:$AC28)</f>
        <v>761.5</v>
      </c>
    </row>
    <row r="29" spans="1:37" hidden="1" x14ac:dyDescent="0.25">
      <c r="A29" s="13" t="s">
        <v>28</v>
      </c>
      <c r="B29" s="14">
        <v>2013</v>
      </c>
      <c r="C29" s="14" t="s">
        <v>40</v>
      </c>
      <c r="D29" s="14">
        <v>116.3</v>
      </c>
      <c r="E29" s="14">
        <v>115.4</v>
      </c>
      <c r="F29" s="14">
        <v>112.6</v>
      </c>
      <c r="G29" s="14">
        <v>111.7</v>
      </c>
      <c r="H29" s="14">
        <v>107.7</v>
      </c>
      <c r="I29" s="14">
        <v>113.2</v>
      </c>
      <c r="J29" s="14">
        <v>164.9</v>
      </c>
      <c r="K29" s="14">
        <v>108.3</v>
      </c>
      <c r="L29" s="14">
        <v>103.9</v>
      </c>
      <c r="M29" s="14">
        <v>108.2</v>
      </c>
      <c r="N29" s="14">
        <v>111.1</v>
      </c>
      <c r="O29" s="14">
        <v>114.9</v>
      </c>
      <c r="P29" s="14">
        <v>119.8</v>
      </c>
      <c r="Q29" s="14">
        <v>112.2</v>
      </c>
      <c r="R29" s="14">
        <v>113.6</v>
      </c>
      <c r="S29" s="14">
        <v>112.3</v>
      </c>
      <c r="T29" s="14">
        <v>113.4</v>
      </c>
      <c r="U29" s="14">
        <v>110.8</v>
      </c>
      <c r="V29" s="14">
        <v>111.6</v>
      </c>
      <c r="W29" s="14">
        <v>110.4</v>
      </c>
      <c r="X29" s="14">
        <v>108.9</v>
      </c>
      <c r="Y29" s="14">
        <v>109.3</v>
      </c>
      <c r="Z29" s="14">
        <v>108.3</v>
      </c>
      <c r="AA29" s="14">
        <v>110.2</v>
      </c>
      <c r="AB29" s="14">
        <v>107.5</v>
      </c>
      <c r="AC29" s="14">
        <v>109.1</v>
      </c>
      <c r="AD29" s="15">
        <v>115.5</v>
      </c>
      <c r="AF29" s="13">
        <f>SUM('Working sheet'!$D29:$P29)</f>
        <v>1508</v>
      </c>
      <c r="AG29" s="14">
        <f>SUM('Working sheet'!$Q29)</f>
        <v>112.2</v>
      </c>
      <c r="AH29" s="14">
        <f>SUM('Working sheet'!$R29:$T29)</f>
        <v>339.29999999999995</v>
      </c>
      <c r="AI29" s="14">
        <f>SUM('Working sheet'!$U29)</f>
        <v>110.8</v>
      </c>
      <c r="AJ29" s="14">
        <f>SUM('Working sheet'!$V29)</f>
        <v>111.6</v>
      </c>
      <c r="AK29" s="15">
        <f>SUM('Working sheet'!$W29:$AC29)</f>
        <v>763.7</v>
      </c>
    </row>
    <row r="30" spans="1:37" hidden="1" x14ac:dyDescent="0.25">
      <c r="A30" s="16" t="s">
        <v>30</v>
      </c>
      <c r="B30" s="17">
        <v>2013</v>
      </c>
      <c r="C30" s="17" t="s">
        <v>40</v>
      </c>
      <c r="D30" s="17">
        <v>118.9</v>
      </c>
      <c r="E30" s="17">
        <v>118.1</v>
      </c>
      <c r="F30" s="17">
        <v>114.5</v>
      </c>
      <c r="G30" s="17">
        <v>110.4</v>
      </c>
      <c r="H30" s="17">
        <v>102.3</v>
      </c>
      <c r="I30" s="17">
        <v>106.2</v>
      </c>
      <c r="J30" s="17">
        <v>183.5</v>
      </c>
      <c r="K30" s="17">
        <v>105.3</v>
      </c>
      <c r="L30" s="17">
        <v>100.2</v>
      </c>
      <c r="M30" s="17">
        <v>109.6</v>
      </c>
      <c r="N30" s="17">
        <v>111.4</v>
      </c>
      <c r="O30" s="17">
        <v>116</v>
      </c>
      <c r="P30" s="17">
        <v>120.8</v>
      </c>
      <c r="Q30" s="17">
        <v>113.5</v>
      </c>
      <c r="R30" s="17">
        <v>112.5</v>
      </c>
      <c r="S30" s="17">
        <v>109.7</v>
      </c>
      <c r="T30" s="17">
        <v>112</v>
      </c>
      <c r="U30" s="17">
        <v>110.5</v>
      </c>
      <c r="V30" s="17">
        <v>109.7</v>
      </c>
      <c r="W30" s="17">
        <v>110.2</v>
      </c>
      <c r="X30" s="17">
        <v>108.2</v>
      </c>
      <c r="Y30" s="17">
        <v>109.7</v>
      </c>
      <c r="Z30" s="17">
        <v>108</v>
      </c>
      <c r="AA30" s="17">
        <v>111.3</v>
      </c>
      <c r="AB30" s="17">
        <v>107.3</v>
      </c>
      <c r="AC30" s="17">
        <v>109.4</v>
      </c>
      <c r="AD30" s="18">
        <v>114</v>
      </c>
      <c r="AF30" s="16">
        <f>SUM('Working sheet'!$D30:$P30)</f>
        <v>1517.1999999999998</v>
      </c>
      <c r="AG30" s="17">
        <f>SUM('Working sheet'!$Q30)</f>
        <v>113.5</v>
      </c>
      <c r="AH30" s="17">
        <f>SUM('Working sheet'!$R30:$T30)</f>
        <v>334.2</v>
      </c>
      <c r="AI30" s="17">
        <f>SUM('Working sheet'!$U30)</f>
        <v>110.5</v>
      </c>
      <c r="AJ30" s="17">
        <f>SUM('Working sheet'!$V30)</f>
        <v>109.7</v>
      </c>
      <c r="AK30" s="18">
        <f>SUM('Working sheet'!$W30:$AC30)</f>
        <v>764.09999999999991</v>
      </c>
    </row>
    <row r="31" spans="1:37" x14ac:dyDescent="0.25">
      <c r="A31" s="13" t="s">
        <v>31</v>
      </c>
      <c r="B31" s="14">
        <v>2013</v>
      </c>
      <c r="C31" s="14" t="s">
        <v>40</v>
      </c>
      <c r="D31" s="14">
        <v>117.1</v>
      </c>
      <c r="E31" s="14">
        <v>116.3</v>
      </c>
      <c r="F31" s="14">
        <v>113.3</v>
      </c>
      <c r="G31" s="14">
        <v>111.2</v>
      </c>
      <c r="H31" s="14">
        <v>105.7</v>
      </c>
      <c r="I31" s="14">
        <v>109.9</v>
      </c>
      <c r="J31" s="14">
        <v>171.2</v>
      </c>
      <c r="K31" s="14">
        <v>107.3</v>
      </c>
      <c r="L31" s="14">
        <v>102.7</v>
      </c>
      <c r="M31" s="14">
        <v>108.7</v>
      </c>
      <c r="N31" s="14">
        <v>111.2</v>
      </c>
      <c r="O31" s="14">
        <v>115.4</v>
      </c>
      <c r="P31" s="14">
        <v>120.2</v>
      </c>
      <c r="Q31" s="14">
        <v>112.5</v>
      </c>
      <c r="R31" s="14">
        <v>113.2</v>
      </c>
      <c r="S31" s="14">
        <v>111.2</v>
      </c>
      <c r="T31" s="14">
        <v>112.8</v>
      </c>
      <c r="U31" s="14">
        <v>110.5</v>
      </c>
      <c r="V31" s="14">
        <v>110.9</v>
      </c>
      <c r="W31" s="14">
        <v>110.3</v>
      </c>
      <c r="X31" s="14">
        <v>108.6</v>
      </c>
      <c r="Y31" s="14">
        <v>109.5</v>
      </c>
      <c r="Z31" s="14">
        <v>108.1</v>
      </c>
      <c r="AA31" s="14">
        <v>110.8</v>
      </c>
      <c r="AB31" s="14">
        <v>107.4</v>
      </c>
      <c r="AC31" s="14">
        <v>109.2</v>
      </c>
      <c r="AD31" s="15">
        <v>114.8</v>
      </c>
      <c r="AF31" s="13">
        <f>SUM('Working sheet'!$D31:$P31)</f>
        <v>1510.2000000000003</v>
      </c>
      <c r="AG31" s="14">
        <f>SUM('Working sheet'!$Q31)</f>
        <v>112.5</v>
      </c>
      <c r="AH31" s="14">
        <f>SUM('Working sheet'!$R31:$T31)</f>
        <v>337.2</v>
      </c>
      <c r="AI31" s="14">
        <f>SUM('Working sheet'!$U31)</f>
        <v>110.5</v>
      </c>
      <c r="AJ31" s="14">
        <f>SUM('Working sheet'!$V31)</f>
        <v>110.9</v>
      </c>
      <c r="AK31" s="15">
        <f>SUM('Working sheet'!$W31:$AC31)</f>
        <v>763.9</v>
      </c>
    </row>
    <row r="32" spans="1:37" hidden="1" x14ac:dyDescent="0.25">
      <c r="A32" s="16" t="s">
        <v>28</v>
      </c>
      <c r="B32" s="17">
        <v>2013</v>
      </c>
      <c r="C32" s="17" t="s">
        <v>41</v>
      </c>
      <c r="D32" s="17">
        <v>117.3</v>
      </c>
      <c r="E32" s="17">
        <v>114.9</v>
      </c>
      <c r="F32" s="17">
        <v>116.2</v>
      </c>
      <c r="G32" s="17">
        <v>112.8</v>
      </c>
      <c r="H32" s="17">
        <v>108.9</v>
      </c>
      <c r="I32" s="17">
        <v>116.6</v>
      </c>
      <c r="J32" s="17">
        <v>178.1</v>
      </c>
      <c r="K32" s="17">
        <v>109.1</v>
      </c>
      <c r="L32" s="17">
        <v>103.6</v>
      </c>
      <c r="M32" s="17">
        <v>109</v>
      </c>
      <c r="N32" s="17">
        <v>111.8</v>
      </c>
      <c r="O32" s="17">
        <v>116</v>
      </c>
      <c r="P32" s="17">
        <v>122.5</v>
      </c>
      <c r="Q32" s="17">
        <v>112.8</v>
      </c>
      <c r="R32" s="17">
        <v>114.6</v>
      </c>
      <c r="S32" s="17">
        <v>113.1</v>
      </c>
      <c r="T32" s="17">
        <v>114.4</v>
      </c>
      <c r="U32" s="17">
        <v>110.9</v>
      </c>
      <c r="V32" s="17">
        <v>112.6</v>
      </c>
      <c r="W32" s="17">
        <v>111.3</v>
      </c>
      <c r="X32" s="17">
        <v>109.7</v>
      </c>
      <c r="Y32" s="17">
        <v>109.6</v>
      </c>
      <c r="Z32" s="17">
        <v>108.7</v>
      </c>
      <c r="AA32" s="17">
        <v>111</v>
      </c>
      <c r="AB32" s="17">
        <v>108.2</v>
      </c>
      <c r="AC32" s="17">
        <v>109.8</v>
      </c>
      <c r="AD32" s="18">
        <v>117.4</v>
      </c>
      <c r="AF32" s="16">
        <f>SUM('Working sheet'!$D32:$P32)</f>
        <v>1536.8</v>
      </c>
      <c r="AG32" s="17">
        <f>SUM('Working sheet'!$Q32)</f>
        <v>112.8</v>
      </c>
      <c r="AH32" s="17">
        <f>SUM('Working sheet'!$R32:$T32)</f>
        <v>342.1</v>
      </c>
      <c r="AI32" s="17">
        <f>SUM('Working sheet'!$U32)</f>
        <v>110.9</v>
      </c>
      <c r="AJ32" s="17">
        <f>SUM('Working sheet'!$V32)</f>
        <v>112.6</v>
      </c>
      <c r="AK32" s="18">
        <f>SUM('Working sheet'!$W32:$AC32)</f>
        <v>768.3</v>
      </c>
    </row>
    <row r="33" spans="1:37" hidden="1" x14ac:dyDescent="0.25">
      <c r="A33" s="13" t="s">
        <v>30</v>
      </c>
      <c r="B33" s="14">
        <v>2013</v>
      </c>
      <c r="C33" s="14" t="s">
        <v>42</v>
      </c>
      <c r="D33" s="14">
        <v>119.8</v>
      </c>
      <c r="E33" s="14">
        <v>116.3</v>
      </c>
      <c r="F33" s="14">
        <v>122.6</v>
      </c>
      <c r="G33" s="14">
        <v>112</v>
      </c>
      <c r="H33" s="14">
        <v>103.2</v>
      </c>
      <c r="I33" s="14">
        <v>110</v>
      </c>
      <c r="J33" s="14">
        <v>192.8</v>
      </c>
      <c r="K33" s="14">
        <v>106.3</v>
      </c>
      <c r="L33" s="14">
        <v>99.5</v>
      </c>
      <c r="M33" s="14">
        <v>110.3</v>
      </c>
      <c r="N33" s="14">
        <v>111.8</v>
      </c>
      <c r="O33" s="14">
        <v>117.1</v>
      </c>
      <c r="P33" s="14">
        <v>122.9</v>
      </c>
      <c r="Q33" s="14">
        <v>114.1</v>
      </c>
      <c r="R33" s="14">
        <v>113.5</v>
      </c>
      <c r="S33" s="14">
        <v>110.3</v>
      </c>
      <c r="T33" s="14">
        <v>113</v>
      </c>
      <c r="U33" s="14">
        <v>111.1</v>
      </c>
      <c r="V33" s="14">
        <v>110</v>
      </c>
      <c r="W33" s="14">
        <v>110.9</v>
      </c>
      <c r="X33" s="14">
        <v>108.6</v>
      </c>
      <c r="Y33" s="14">
        <v>109.5</v>
      </c>
      <c r="Z33" s="14">
        <v>108.5</v>
      </c>
      <c r="AA33" s="14">
        <v>111.3</v>
      </c>
      <c r="AB33" s="14">
        <v>107.9</v>
      </c>
      <c r="AC33" s="14">
        <v>109.6</v>
      </c>
      <c r="AD33" s="15">
        <v>115</v>
      </c>
      <c r="AF33" s="13">
        <f>SUM('Working sheet'!$D33:$P33)</f>
        <v>1544.6</v>
      </c>
      <c r="AG33" s="14">
        <f>SUM('Working sheet'!$Q33)</f>
        <v>114.1</v>
      </c>
      <c r="AH33" s="14">
        <f>SUM('Working sheet'!$R33:$T33)</f>
        <v>336.8</v>
      </c>
      <c r="AI33" s="14">
        <f>SUM('Working sheet'!$U33)</f>
        <v>111.1</v>
      </c>
      <c r="AJ33" s="14">
        <f>SUM('Working sheet'!$V33)</f>
        <v>110</v>
      </c>
      <c r="AK33" s="15">
        <f>SUM('Working sheet'!$W33:$AC33)</f>
        <v>766.3</v>
      </c>
    </row>
    <row r="34" spans="1:37" x14ac:dyDescent="0.25">
      <c r="A34" s="16" t="s">
        <v>31</v>
      </c>
      <c r="B34" s="17">
        <v>2013</v>
      </c>
      <c r="C34" s="17" t="s">
        <v>42</v>
      </c>
      <c r="D34" s="17">
        <v>118.1</v>
      </c>
      <c r="E34" s="17">
        <v>115.4</v>
      </c>
      <c r="F34" s="17">
        <v>118.7</v>
      </c>
      <c r="G34" s="17">
        <v>112.5</v>
      </c>
      <c r="H34" s="17">
        <v>106.8</v>
      </c>
      <c r="I34" s="17">
        <v>113.5</v>
      </c>
      <c r="J34" s="17">
        <v>183.1</v>
      </c>
      <c r="K34" s="17">
        <v>108.2</v>
      </c>
      <c r="L34" s="17">
        <v>102.2</v>
      </c>
      <c r="M34" s="17">
        <v>109.4</v>
      </c>
      <c r="N34" s="17">
        <v>111.8</v>
      </c>
      <c r="O34" s="17">
        <v>116.5</v>
      </c>
      <c r="P34" s="17">
        <v>122.6</v>
      </c>
      <c r="Q34" s="17">
        <v>113.1</v>
      </c>
      <c r="R34" s="17">
        <v>114.2</v>
      </c>
      <c r="S34" s="17">
        <v>111.9</v>
      </c>
      <c r="T34" s="17">
        <v>113.8</v>
      </c>
      <c r="U34" s="17">
        <v>111.1</v>
      </c>
      <c r="V34" s="17">
        <v>111.6</v>
      </c>
      <c r="W34" s="17">
        <v>111.1</v>
      </c>
      <c r="X34" s="17">
        <v>109.3</v>
      </c>
      <c r="Y34" s="17">
        <v>109.5</v>
      </c>
      <c r="Z34" s="17">
        <v>108.6</v>
      </c>
      <c r="AA34" s="17">
        <v>111.2</v>
      </c>
      <c r="AB34" s="17">
        <v>108.1</v>
      </c>
      <c r="AC34" s="17">
        <v>109.7</v>
      </c>
      <c r="AD34" s="18">
        <v>116.3</v>
      </c>
      <c r="AF34" s="16">
        <f>SUM('Working sheet'!$D34:$P34)</f>
        <v>1538.8</v>
      </c>
      <c r="AG34" s="17">
        <f>SUM('Working sheet'!$Q34)</f>
        <v>113.1</v>
      </c>
      <c r="AH34" s="17">
        <f>SUM('Working sheet'!$R34:$T34)</f>
        <v>339.90000000000003</v>
      </c>
      <c r="AI34" s="17">
        <f>SUM('Working sheet'!$U34)</f>
        <v>111.1</v>
      </c>
      <c r="AJ34" s="17">
        <f>SUM('Working sheet'!$V34)</f>
        <v>111.6</v>
      </c>
      <c r="AK34" s="18">
        <f>SUM('Working sheet'!$W34:$AC34)</f>
        <v>767.50000000000011</v>
      </c>
    </row>
    <row r="35" spans="1:37" hidden="1" x14ac:dyDescent="0.25">
      <c r="A35" s="13" t="s">
        <v>28</v>
      </c>
      <c r="B35" s="14">
        <v>2013</v>
      </c>
      <c r="C35" s="14" t="s">
        <v>43</v>
      </c>
      <c r="D35" s="14">
        <v>118.4</v>
      </c>
      <c r="E35" s="14">
        <v>115.9</v>
      </c>
      <c r="F35" s="14">
        <v>120.4</v>
      </c>
      <c r="G35" s="14">
        <v>113.8</v>
      </c>
      <c r="H35" s="14">
        <v>109.5</v>
      </c>
      <c r="I35" s="14">
        <v>115.5</v>
      </c>
      <c r="J35" s="14">
        <v>145.69999999999999</v>
      </c>
      <c r="K35" s="14">
        <v>109.5</v>
      </c>
      <c r="L35" s="14">
        <v>102.9</v>
      </c>
      <c r="M35" s="14">
        <v>109.8</v>
      </c>
      <c r="N35" s="14">
        <v>112.1</v>
      </c>
      <c r="O35" s="14">
        <v>116.8</v>
      </c>
      <c r="P35" s="14">
        <v>118.7</v>
      </c>
      <c r="Q35" s="14">
        <v>113.6</v>
      </c>
      <c r="R35" s="14">
        <v>115.8</v>
      </c>
      <c r="S35" s="14">
        <v>114</v>
      </c>
      <c r="T35" s="14">
        <v>115.5</v>
      </c>
      <c r="U35" s="14">
        <v>111.2</v>
      </c>
      <c r="V35" s="14">
        <v>112.8</v>
      </c>
      <c r="W35" s="14">
        <v>112.1</v>
      </c>
      <c r="X35" s="14">
        <v>110.1</v>
      </c>
      <c r="Y35" s="14">
        <v>109.9</v>
      </c>
      <c r="Z35" s="14">
        <v>109.2</v>
      </c>
      <c r="AA35" s="14">
        <v>111.6</v>
      </c>
      <c r="AB35" s="14">
        <v>108.1</v>
      </c>
      <c r="AC35" s="14">
        <v>110.1</v>
      </c>
      <c r="AD35" s="15">
        <v>115.5</v>
      </c>
      <c r="AF35" s="13">
        <f>SUM('Working sheet'!$D35:$P35)</f>
        <v>1509</v>
      </c>
      <c r="AG35" s="14">
        <f>SUM('Working sheet'!$Q35)</f>
        <v>113.6</v>
      </c>
      <c r="AH35" s="14">
        <f>SUM('Working sheet'!$R35:$T35)</f>
        <v>345.3</v>
      </c>
      <c r="AI35" s="14">
        <f>SUM('Working sheet'!$U35)</f>
        <v>111.2</v>
      </c>
      <c r="AJ35" s="14">
        <f>SUM('Working sheet'!$V35)</f>
        <v>112.8</v>
      </c>
      <c r="AK35" s="15">
        <f>SUM('Working sheet'!$W35:$AC35)</f>
        <v>771.1</v>
      </c>
    </row>
    <row r="36" spans="1:37" hidden="1" x14ac:dyDescent="0.25">
      <c r="A36" s="16" t="s">
        <v>30</v>
      </c>
      <c r="B36" s="17">
        <v>2013</v>
      </c>
      <c r="C36" s="17" t="s">
        <v>43</v>
      </c>
      <c r="D36" s="17">
        <v>120.5</v>
      </c>
      <c r="E36" s="17">
        <v>118.1</v>
      </c>
      <c r="F36" s="17">
        <v>128.5</v>
      </c>
      <c r="G36" s="17">
        <v>112.8</v>
      </c>
      <c r="H36" s="17">
        <v>103.4</v>
      </c>
      <c r="I36" s="17">
        <v>110.7</v>
      </c>
      <c r="J36" s="17">
        <v>144.80000000000001</v>
      </c>
      <c r="K36" s="17">
        <v>107.1</v>
      </c>
      <c r="L36" s="17">
        <v>98.6</v>
      </c>
      <c r="M36" s="17">
        <v>111.9</v>
      </c>
      <c r="N36" s="17">
        <v>112.1</v>
      </c>
      <c r="O36" s="17">
        <v>118.1</v>
      </c>
      <c r="P36" s="17">
        <v>117.8</v>
      </c>
      <c r="Q36" s="17">
        <v>115</v>
      </c>
      <c r="R36" s="17">
        <v>114.2</v>
      </c>
      <c r="S36" s="17">
        <v>110.9</v>
      </c>
      <c r="T36" s="17">
        <v>113.7</v>
      </c>
      <c r="U36" s="17">
        <v>110.7</v>
      </c>
      <c r="V36" s="17">
        <v>110.4</v>
      </c>
      <c r="W36" s="17">
        <v>111.3</v>
      </c>
      <c r="X36" s="17">
        <v>109</v>
      </c>
      <c r="Y36" s="17">
        <v>109.7</v>
      </c>
      <c r="Z36" s="17">
        <v>108.9</v>
      </c>
      <c r="AA36" s="17">
        <v>111.4</v>
      </c>
      <c r="AB36" s="17">
        <v>107.7</v>
      </c>
      <c r="AC36" s="17">
        <v>109.8</v>
      </c>
      <c r="AD36" s="18">
        <v>113.3</v>
      </c>
      <c r="AF36" s="16">
        <f>SUM('Working sheet'!$D36:$P36)</f>
        <v>1504.4</v>
      </c>
      <c r="AG36" s="17">
        <f>SUM('Working sheet'!$Q36)</f>
        <v>115</v>
      </c>
      <c r="AH36" s="17">
        <f>SUM('Working sheet'!$R36:$T36)</f>
        <v>338.8</v>
      </c>
      <c r="AI36" s="17">
        <f>SUM('Working sheet'!$U36)</f>
        <v>110.7</v>
      </c>
      <c r="AJ36" s="17">
        <f>SUM('Working sheet'!$V36)</f>
        <v>110.4</v>
      </c>
      <c r="AK36" s="18">
        <f>SUM('Working sheet'!$W36:$AC36)</f>
        <v>767.8</v>
      </c>
    </row>
    <row r="37" spans="1:37" x14ac:dyDescent="0.25">
      <c r="A37" s="13" t="s">
        <v>31</v>
      </c>
      <c r="B37" s="14">
        <v>2013</v>
      </c>
      <c r="C37" s="14" t="s">
        <v>43</v>
      </c>
      <c r="D37" s="14">
        <v>119.1</v>
      </c>
      <c r="E37" s="14">
        <v>116.7</v>
      </c>
      <c r="F37" s="14">
        <v>123.5</v>
      </c>
      <c r="G37" s="14">
        <v>113.4</v>
      </c>
      <c r="H37" s="14">
        <v>107.3</v>
      </c>
      <c r="I37" s="14">
        <v>113.3</v>
      </c>
      <c r="J37" s="14">
        <v>145.4</v>
      </c>
      <c r="K37" s="14">
        <v>108.7</v>
      </c>
      <c r="L37" s="14">
        <v>101.5</v>
      </c>
      <c r="M37" s="14">
        <v>110.5</v>
      </c>
      <c r="N37" s="14">
        <v>112.1</v>
      </c>
      <c r="O37" s="14">
        <v>117.4</v>
      </c>
      <c r="P37" s="14">
        <v>118.4</v>
      </c>
      <c r="Q37" s="14">
        <v>114</v>
      </c>
      <c r="R37" s="14">
        <v>115.2</v>
      </c>
      <c r="S37" s="14">
        <v>112.7</v>
      </c>
      <c r="T37" s="14">
        <v>114.8</v>
      </c>
      <c r="U37" s="14">
        <v>110.7</v>
      </c>
      <c r="V37" s="14">
        <v>111.9</v>
      </c>
      <c r="W37" s="14">
        <v>111.7</v>
      </c>
      <c r="X37" s="14">
        <v>109.7</v>
      </c>
      <c r="Y37" s="14">
        <v>109.8</v>
      </c>
      <c r="Z37" s="14">
        <v>109</v>
      </c>
      <c r="AA37" s="14">
        <v>111.5</v>
      </c>
      <c r="AB37" s="14">
        <v>107.9</v>
      </c>
      <c r="AC37" s="14">
        <v>110</v>
      </c>
      <c r="AD37" s="15">
        <v>114.5</v>
      </c>
      <c r="AF37" s="13">
        <f>SUM('Working sheet'!$D37:$P37)</f>
        <v>1507.3000000000002</v>
      </c>
      <c r="AG37" s="14">
        <f>SUM('Working sheet'!$Q37)</f>
        <v>114</v>
      </c>
      <c r="AH37" s="14">
        <f>SUM('Working sheet'!$R37:$T37)</f>
        <v>342.7</v>
      </c>
      <c r="AI37" s="14">
        <f>SUM('Working sheet'!$U37)</f>
        <v>110.7</v>
      </c>
      <c r="AJ37" s="14">
        <f>SUM('Working sheet'!$V37)</f>
        <v>111.9</v>
      </c>
      <c r="AK37" s="15">
        <f>SUM('Working sheet'!$W37:$AC37)</f>
        <v>769.6</v>
      </c>
    </row>
    <row r="38" spans="1:37" hidden="1" x14ac:dyDescent="0.25">
      <c r="A38" s="16" t="s">
        <v>28</v>
      </c>
      <c r="B38" s="17">
        <v>2014</v>
      </c>
      <c r="C38" s="17" t="s">
        <v>29</v>
      </c>
      <c r="D38" s="17">
        <v>118.9</v>
      </c>
      <c r="E38" s="17">
        <v>117.1</v>
      </c>
      <c r="F38" s="17">
        <v>120.5</v>
      </c>
      <c r="G38" s="17">
        <v>114.4</v>
      </c>
      <c r="H38" s="17">
        <v>109</v>
      </c>
      <c r="I38" s="17">
        <v>115.5</v>
      </c>
      <c r="J38" s="17">
        <v>123.9</v>
      </c>
      <c r="K38" s="17">
        <v>109.6</v>
      </c>
      <c r="L38" s="17">
        <v>101.8</v>
      </c>
      <c r="M38" s="17">
        <v>110.2</v>
      </c>
      <c r="N38" s="17">
        <v>112.4</v>
      </c>
      <c r="O38" s="17">
        <v>117.3</v>
      </c>
      <c r="P38" s="17">
        <v>116</v>
      </c>
      <c r="Q38" s="17">
        <v>114</v>
      </c>
      <c r="R38" s="17">
        <v>116.5</v>
      </c>
      <c r="S38" s="17">
        <v>114.5</v>
      </c>
      <c r="T38" s="17">
        <v>116.2</v>
      </c>
      <c r="U38" s="17">
        <v>112.1</v>
      </c>
      <c r="V38" s="17">
        <v>113</v>
      </c>
      <c r="W38" s="17">
        <v>112.6</v>
      </c>
      <c r="X38" s="17">
        <v>110.6</v>
      </c>
      <c r="Y38" s="17">
        <v>110.5</v>
      </c>
      <c r="Z38" s="17">
        <v>109.6</v>
      </c>
      <c r="AA38" s="17">
        <v>111.8</v>
      </c>
      <c r="AB38" s="17">
        <v>108.3</v>
      </c>
      <c r="AC38" s="17">
        <v>110.6</v>
      </c>
      <c r="AD38" s="18">
        <v>114.2</v>
      </c>
      <c r="AF38" s="16">
        <f>SUM('Working sheet'!$D38:$P38)</f>
        <v>1486.6000000000001</v>
      </c>
      <c r="AG38" s="17">
        <f>SUM('Working sheet'!$Q38)</f>
        <v>114</v>
      </c>
      <c r="AH38" s="17">
        <f>SUM('Working sheet'!$R38:$T38)</f>
        <v>347.2</v>
      </c>
      <c r="AI38" s="17">
        <f>SUM('Working sheet'!$U38)</f>
        <v>112.1</v>
      </c>
      <c r="AJ38" s="17">
        <f>SUM('Working sheet'!$V38)</f>
        <v>113</v>
      </c>
      <c r="AK38" s="18">
        <f>SUM('Working sheet'!$W38:$AC38)</f>
        <v>773.99999999999989</v>
      </c>
    </row>
    <row r="39" spans="1:37" hidden="1" x14ac:dyDescent="0.25">
      <c r="A39" s="13" t="s">
        <v>30</v>
      </c>
      <c r="B39" s="14">
        <v>2014</v>
      </c>
      <c r="C39" s="14" t="s">
        <v>29</v>
      </c>
      <c r="D39" s="14">
        <v>121.2</v>
      </c>
      <c r="E39" s="14">
        <v>122</v>
      </c>
      <c r="F39" s="14">
        <v>129.9</v>
      </c>
      <c r="G39" s="14">
        <v>113.6</v>
      </c>
      <c r="H39" s="14">
        <v>102.9</v>
      </c>
      <c r="I39" s="14">
        <v>112.1</v>
      </c>
      <c r="J39" s="14">
        <v>118.9</v>
      </c>
      <c r="K39" s="14">
        <v>107.5</v>
      </c>
      <c r="L39" s="14">
        <v>96.9</v>
      </c>
      <c r="M39" s="14">
        <v>112.7</v>
      </c>
      <c r="N39" s="14">
        <v>112.1</v>
      </c>
      <c r="O39" s="14">
        <v>119</v>
      </c>
      <c r="P39" s="14">
        <v>115.5</v>
      </c>
      <c r="Q39" s="14">
        <v>115.7</v>
      </c>
      <c r="R39" s="14">
        <v>114.8</v>
      </c>
      <c r="S39" s="14">
        <v>111.3</v>
      </c>
      <c r="T39" s="14">
        <v>114.3</v>
      </c>
      <c r="U39" s="14">
        <v>111.6</v>
      </c>
      <c r="V39" s="14">
        <v>111</v>
      </c>
      <c r="W39" s="14">
        <v>111.9</v>
      </c>
      <c r="X39" s="14">
        <v>109.7</v>
      </c>
      <c r="Y39" s="14">
        <v>110.8</v>
      </c>
      <c r="Z39" s="14">
        <v>109.8</v>
      </c>
      <c r="AA39" s="14">
        <v>111.5</v>
      </c>
      <c r="AB39" s="14">
        <v>108</v>
      </c>
      <c r="AC39" s="14">
        <v>110.5</v>
      </c>
      <c r="AD39" s="15">
        <v>112.9</v>
      </c>
      <c r="AF39" s="13">
        <f>SUM('Working sheet'!$D39:$P39)</f>
        <v>1484.3</v>
      </c>
      <c r="AG39" s="14">
        <f>SUM('Working sheet'!$Q39)</f>
        <v>115.7</v>
      </c>
      <c r="AH39" s="14">
        <f>SUM('Working sheet'!$R39:$T39)</f>
        <v>340.4</v>
      </c>
      <c r="AI39" s="14">
        <f>SUM('Working sheet'!$U39)</f>
        <v>111.6</v>
      </c>
      <c r="AJ39" s="14">
        <f>SUM('Working sheet'!$V39)</f>
        <v>111</v>
      </c>
      <c r="AK39" s="15">
        <f>SUM('Working sheet'!$W39:$AC39)</f>
        <v>772.2</v>
      </c>
    </row>
    <row r="40" spans="1:37" x14ac:dyDescent="0.25">
      <c r="A40" s="16" t="s">
        <v>31</v>
      </c>
      <c r="B40" s="17">
        <v>2014</v>
      </c>
      <c r="C40" s="17" t="s">
        <v>29</v>
      </c>
      <c r="D40" s="17">
        <v>119.6</v>
      </c>
      <c r="E40" s="17">
        <v>118.8</v>
      </c>
      <c r="F40" s="17">
        <v>124.1</v>
      </c>
      <c r="G40" s="17">
        <v>114.1</v>
      </c>
      <c r="H40" s="17">
        <v>106.8</v>
      </c>
      <c r="I40" s="17">
        <v>113.9</v>
      </c>
      <c r="J40" s="17">
        <v>122.2</v>
      </c>
      <c r="K40" s="17">
        <v>108.9</v>
      </c>
      <c r="L40" s="17">
        <v>100.2</v>
      </c>
      <c r="M40" s="17">
        <v>111</v>
      </c>
      <c r="N40" s="17">
        <v>112.3</v>
      </c>
      <c r="O40" s="17">
        <v>118.1</v>
      </c>
      <c r="P40" s="17">
        <v>115.8</v>
      </c>
      <c r="Q40" s="17">
        <v>114.5</v>
      </c>
      <c r="R40" s="17">
        <v>115.8</v>
      </c>
      <c r="S40" s="17">
        <v>113.2</v>
      </c>
      <c r="T40" s="17">
        <v>115.4</v>
      </c>
      <c r="U40" s="17">
        <v>111.6</v>
      </c>
      <c r="V40" s="17">
        <v>112.2</v>
      </c>
      <c r="W40" s="17">
        <v>112.3</v>
      </c>
      <c r="X40" s="17">
        <v>110.3</v>
      </c>
      <c r="Y40" s="17">
        <v>110.7</v>
      </c>
      <c r="Z40" s="17">
        <v>109.7</v>
      </c>
      <c r="AA40" s="17">
        <v>111.6</v>
      </c>
      <c r="AB40" s="17">
        <v>108.2</v>
      </c>
      <c r="AC40" s="17">
        <v>110.6</v>
      </c>
      <c r="AD40" s="18">
        <v>113.6</v>
      </c>
      <c r="AF40" s="16">
        <f>SUM('Working sheet'!$D40:$P40)</f>
        <v>1485.7999999999997</v>
      </c>
      <c r="AG40" s="17">
        <f>SUM('Working sheet'!$Q40)</f>
        <v>114.5</v>
      </c>
      <c r="AH40" s="17">
        <f>SUM('Working sheet'!$R40:$T40)</f>
        <v>344.4</v>
      </c>
      <c r="AI40" s="17">
        <f>SUM('Working sheet'!$U40)</f>
        <v>111.6</v>
      </c>
      <c r="AJ40" s="17">
        <f>SUM('Working sheet'!$V40)</f>
        <v>112.2</v>
      </c>
      <c r="AK40" s="18">
        <f>SUM('Working sheet'!$W40:$AC40)</f>
        <v>773.40000000000009</v>
      </c>
    </row>
    <row r="41" spans="1:37" hidden="1" x14ac:dyDescent="0.25">
      <c r="A41" s="13" t="s">
        <v>28</v>
      </c>
      <c r="B41" s="14">
        <v>2014</v>
      </c>
      <c r="C41" s="14" t="s">
        <v>32</v>
      </c>
      <c r="D41" s="14">
        <v>119.4</v>
      </c>
      <c r="E41" s="14">
        <v>117.7</v>
      </c>
      <c r="F41" s="14">
        <v>121.2</v>
      </c>
      <c r="G41" s="14">
        <v>115</v>
      </c>
      <c r="H41" s="14">
        <v>109</v>
      </c>
      <c r="I41" s="14">
        <v>116.6</v>
      </c>
      <c r="J41" s="14">
        <v>116</v>
      </c>
      <c r="K41" s="14">
        <v>109.8</v>
      </c>
      <c r="L41" s="14">
        <v>101.1</v>
      </c>
      <c r="M41" s="14">
        <v>110.4</v>
      </c>
      <c r="N41" s="14">
        <v>112.9</v>
      </c>
      <c r="O41" s="14">
        <v>117.8</v>
      </c>
      <c r="P41" s="14">
        <v>115.3</v>
      </c>
      <c r="Q41" s="14">
        <v>114.2</v>
      </c>
      <c r="R41" s="14">
        <v>117.1</v>
      </c>
      <c r="S41" s="14">
        <v>114.5</v>
      </c>
      <c r="T41" s="14">
        <v>116.7</v>
      </c>
      <c r="U41" s="14">
        <v>112.9</v>
      </c>
      <c r="V41" s="14">
        <v>113.2</v>
      </c>
      <c r="W41" s="14">
        <v>112.9</v>
      </c>
      <c r="X41" s="14">
        <v>110.9</v>
      </c>
      <c r="Y41" s="14">
        <v>110.8</v>
      </c>
      <c r="Z41" s="14">
        <v>109.9</v>
      </c>
      <c r="AA41" s="14">
        <v>112</v>
      </c>
      <c r="AB41" s="14">
        <v>108.7</v>
      </c>
      <c r="AC41" s="14">
        <v>110.9</v>
      </c>
      <c r="AD41" s="15">
        <v>114</v>
      </c>
      <c r="AF41" s="13">
        <f>SUM('Working sheet'!$D41:$P41)</f>
        <v>1482.2</v>
      </c>
      <c r="AG41" s="14">
        <f>SUM('Working sheet'!$Q41)</f>
        <v>114.2</v>
      </c>
      <c r="AH41" s="14">
        <f>SUM('Working sheet'!$R41:$T41)</f>
        <v>348.3</v>
      </c>
      <c r="AI41" s="14">
        <f>SUM('Working sheet'!$U41)</f>
        <v>112.9</v>
      </c>
      <c r="AJ41" s="14">
        <f>SUM('Working sheet'!$V41)</f>
        <v>113.2</v>
      </c>
      <c r="AK41" s="15">
        <f>SUM('Working sheet'!$W41:$AC41)</f>
        <v>776.1</v>
      </c>
    </row>
    <row r="42" spans="1:37" hidden="1" x14ac:dyDescent="0.25">
      <c r="A42" s="16" t="s">
        <v>30</v>
      </c>
      <c r="B42" s="17">
        <v>2014</v>
      </c>
      <c r="C42" s="17" t="s">
        <v>32</v>
      </c>
      <c r="D42" s="17">
        <v>121.9</v>
      </c>
      <c r="E42" s="17">
        <v>122</v>
      </c>
      <c r="F42" s="17">
        <v>124.5</v>
      </c>
      <c r="G42" s="17">
        <v>115.2</v>
      </c>
      <c r="H42" s="17">
        <v>102.5</v>
      </c>
      <c r="I42" s="17">
        <v>114.1</v>
      </c>
      <c r="J42" s="17">
        <v>111.5</v>
      </c>
      <c r="K42" s="17">
        <v>108.2</v>
      </c>
      <c r="L42" s="17">
        <v>95.4</v>
      </c>
      <c r="M42" s="17">
        <v>113.5</v>
      </c>
      <c r="N42" s="17">
        <v>112.1</v>
      </c>
      <c r="O42" s="17">
        <v>119.9</v>
      </c>
      <c r="P42" s="17">
        <v>115.2</v>
      </c>
      <c r="Q42" s="17">
        <v>116.2</v>
      </c>
      <c r="R42" s="17">
        <v>115.3</v>
      </c>
      <c r="S42" s="17">
        <v>111.7</v>
      </c>
      <c r="T42" s="17">
        <v>114.7</v>
      </c>
      <c r="U42" s="17">
        <v>112.5</v>
      </c>
      <c r="V42" s="17">
        <v>111.1</v>
      </c>
      <c r="W42" s="17">
        <v>112.6</v>
      </c>
      <c r="X42" s="17">
        <v>110.4</v>
      </c>
      <c r="Y42" s="17">
        <v>111.3</v>
      </c>
      <c r="Z42" s="17">
        <v>110.3</v>
      </c>
      <c r="AA42" s="17">
        <v>111.6</v>
      </c>
      <c r="AB42" s="17">
        <v>108.7</v>
      </c>
      <c r="AC42" s="17">
        <v>111</v>
      </c>
      <c r="AD42" s="18">
        <v>113.1</v>
      </c>
      <c r="AF42" s="16">
        <f>SUM('Working sheet'!$D42:$P42)</f>
        <v>1476</v>
      </c>
      <c r="AG42" s="17">
        <f>SUM('Working sheet'!$Q42)</f>
        <v>116.2</v>
      </c>
      <c r="AH42" s="17">
        <f>SUM('Working sheet'!$R42:$T42)</f>
        <v>341.7</v>
      </c>
      <c r="AI42" s="17">
        <f>SUM('Working sheet'!$U42)</f>
        <v>112.5</v>
      </c>
      <c r="AJ42" s="17">
        <f>SUM('Working sheet'!$V42)</f>
        <v>111.1</v>
      </c>
      <c r="AK42" s="18">
        <f>SUM('Working sheet'!$W42:$AC42)</f>
        <v>775.90000000000009</v>
      </c>
    </row>
    <row r="43" spans="1:37" x14ac:dyDescent="0.25">
      <c r="A43" s="13" t="s">
        <v>31</v>
      </c>
      <c r="B43" s="14">
        <v>2014</v>
      </c>
      <c r="C43" s="14" t="s">
        <v>32</v>
      </c>
      <c r="D43" s="14">
        <v>120.2</v>
      </c>
      <c r="E43" s="14">
        <v>119.2</v>
      </c>
      <c r="F43" s="14">
        <v>122.5</v>
      </c>
      <c r="G43" s="14">
        <v>115.1</v>
      </c>
      <c r="H43" s="14">
        <v>106.6</v>
      </c>
      <c r="I43" s="14">
        <v>115.4</v>
      </c>
      <c r="J43" s="14">
        <v>114.5</v>
      </c>
      <c r="K43" s="14">
        <v>109.3</v>
      </c>
      <c r="L43" s="14">
        <v>99.2</v>
      </c>
      <c r="M43" s="14">
        <v>111.4</v>
      </c>
      <c r="N43" s="14">
        <v>112.6</v>
      </c>
      <c r="O43" s="14">
        <v>118.8</v>
      </c>
      <c r="P43" s="14">
        <v>115.3</v>
      </c>
      <c r="Q43" s="14">
        <v>114.7</v>
      </c>
      <c r="R43" s="14">
        <v>116.4</v>
      </c>
      <c r="S43" s="14">
        <v>113.3</v>
      </c>
      <c r="T43" s="14">
        <v>115.9</v>
      </c>
      <c r="U43" s="14">
        <v>112.5</v>
      </c>
      <c r="V43" s="14">
        <v>112.4</v>
      </c>
      <c r="W43" s="14">
        <v>112.8</v>
      </c>
      <c r="X43" s="14">
        <v>110.7</v>
      </c>
      <c r="Y43" s="14">
        <v>111.1</v>
      </c>
      <c r="Z43" s="14">
        <v>110.1</v>
      </c>
      <c r="AA43" s="14">
        <v>111.8</v>
      </c>
      <c r="AB43" s="14">
        <v>108.7</v>
      </c>
      <c r="AC43" s="14">
        <v>110.9</v>
      </c>
      <c r="AD43" s="15">
        <v>113.6</v>
      </c>
      <c r="AF43" s="13">
        <f>SUM('Working sheet'!$D43:$P43)</f>
        <v>1480.1</v>
      </c>
      <c r="AG43" s="14">
        <f>SUM('Working sheet'!$Q43)</f>
        <v>114.7</v>
      </c>
      <c r="AH43" s="14">
        <f>SUM('Working sheet'!$R43:$T43)</f>
        <v>345.6</v>
      </c>
      <c r="AI43" s="14">
        <f>SUM('Working sheet'!$U43)</f>
        <v>112.5</v>
      </c>
      <c r="AJ43" s="14">
        <f>SUM('Working sheet'!$V43)</f>
        <v>112.4</v>
      </c>
      <c r="AK43" s="15">
        <f>SUM('Working sheet'!$W43:$AC43)</f>
        <v>776.1</v>
      </c>
    </row>
    <row r="44" spans="1:37" hidden="1" x14ac:dyDescent="0.25">
      <c r="A44" s="16" t="s">
        <v>28</v>
      </c>
      <c r="B44" s="17">
        <v>2014</v>
      </c>
      <c r="C44" s="17" t="s">
        <v>33</v>
      </c>
      <c r="D44" s="17">
        <v>120.1</v>
      </c>
      <c r="E44" s="17">
        <v>118.1</v>
      </c>
      <c r="F44" s="17">
        <v>120.7</v>
      </c>
      <c r="G44" s="17">
        <v>116.1</v>
      </c>
      <c r="H44" s="17">
        <v>109.3</v>
      </c>
      <c r="I44" s="17">
        <v>119.6</v>
      </c>
      <c r="J44" s="17">
        <v>117.9</v>
      </c>
      <c r="K44" s="17">
        <v>110.2</v>
      </c>
      <c r="L44" s="17">
        <v>101.2</v>
      </c>
      <c r="M44" s="17">
        <v>110.7</v>
      </c>
      <c r="N44" s="17">
        <v>113</v>
      </c>
      <c r="O44" s="17">
        <v>118.3</v>
      </c>
      <c r="P44" s="17">
        <v>116.2</v>
      </c>
      <c r="Q44" s="17">
        <v>114.6</v>
      </c>
      <c r="R44" s="17">
        <v>117.5</v>
      </c>
      <c r="S44" s="17">
        <v>114.9</v>
      </c>
      <c r="T44" s="17">
        <v>117.2</v>
      </c>
      <c r="U44" s="17">
        <v>113.6</v>
      </c>
      <c r="V44" s="17">
        <v>113.4</v>
      </c>
      <c r="W44" s="17">
        <v>113.4</v>
      </c>
      <c r="X44" s="17">
        <v>111.4</v>
      </c>
      <c r="Y44" s="17">
        <v>111.2</v>
      </c>
      <c r="Z44" s="17">
        <v>110.2</v>
      </c>
      <c r="AA44" s="17">
        <v>112.4</v>
      </c>
      <c r="AB44" s="17">
        <v>108.9</v>
      </c>
      <c r="AC44" s="17">
        <v>111.3</v>
      </c>
      <c r="AD44" s="18">
        <v>114.6</v>
      </c>
      <c r="AF44" s="16">
        <f>SUM('Working sheet'!$D44:$P44)</f>
        <v>1491.4</v>
      </c>
      <c r="AG44" s="17">
        <f>SUM('Working sheet'!$Q44)</f>
        <v>114.6</v>
      </c>
      <c r="AH44" s="17">
        <f>SUM('Working sheet'!$R44:$T44)</f>
        <v>349.6</v>
      </c>
      <c r="AI44" s="17">
        <f>SUM('Working sheet'!$U44)</f>
        <v>113.6</v>
      </c>
      <c r="AJ44" s="17">
        <f>SUM('Working sheet'!$V44)</f>
        <v>113.4</v>
      </c>
      <c r="AK44" s="18">
        <f>SUM('Working sheet'!$W44:$AC44)</f>
        <v>778.8</v>
      </c>
    </row>
    <row r="45" spans="1:37" hidden="1" x14ac:dyDescent="0.25">
      <c r="A45" s="13" t="s">
        <v>30</v>
      </c>
      <c r="B45" s="14">
        <v>2014</v>
      </c>
      <c r="C45" s="14" t="s">
        <v>33</v>
      </c>
      <c r="D45" s="14">
        <v>122.1</v>
      </c>
      <c r="E45" s="14">
        <v>121.4</v>
      </c>
      <c r="F45" s="14">
        <v>121.5</v>
      </c>
      <c r="G45" s="14">
        <v>116.2</v>
      </c>
      <c r="H45" s="14">
        <v>102.8</v>
      </c>
      <c r="I45" s="14">
        <v>117.7</v>
      </c>
      <c r="J45" s="14">
        <v>113.3</v>
      </c>
      <c r="K45" s="14">
        <v>108.9</v>
      </c>
      <c r="L45" s="14">
        <v>96.3</v>
      </c>
      <c r="M45" s="14">
        <v>114.1</v>
      </c>
      <c r="N45" s="14">
        <v>112.2</v>
      </c>
      <c r="O45" s="14">
        <v>120.5</v>
      </c>
      <c r="P45" s="14">
        <v>116</v>
      </c>
      <c r="Q45" s="14">
        <v>116.7</v>
      </c>
      <c r="R45" s="14">
        <v>115.8</v>
      </c>
      <c r="S45" s="14">
        <v>112.1</v>
      </c>
      <c r="T45" s="14">
        <v>115.2</v>
      </c>
      <c r="U45" s="14">
        <v>113.2</v>
      </c>
      <c r="V45" s="14">
        <v>110.9</v>
      </c>
      <c r="W45" s="14">
        <v>113</v>
      </c>
      <c r="X45" s="14">
        <v>110.8</v>
      </c>
      <c r="Y45" s="14">
        <v>111.6</v>
      </c>
      <c r="Z45" s="14">
        <v>110.9</v>
      </c>
      <c r="AA45" s="14">
        <v>111.8</v>
      </c>
      <c r="AB45" s="14">
        <v>109.2</v>
      </c>
      <c r="AC45" s="14">
        <v>111.4</v>
      </c>
      <c r="AD45" s="15">
        <v>113.7</v>
      </c>
      <c r="AF45" s="13">
        <f>SUM('Working sheet'!$D45:$P45)</f>
        <v>1483</v>
      </c>
      <c r="AG45" s="14">
        <f>SUM('Working sheet'!$Q45)</f>
        <v>116.7</v>
      </c>
      <c r="AH45" s="14">
        <f>SUM('Working sheet'!$R45:$T45)</f>
        <v>343.09999999999997</v>
      </c>
      <c r="AI45" s="14">
        <f>SUM('Working sheet'!$U45)</f>
        <v>113.2</v>
      </c>
      <c r="AJ45" s="14">
        <f>SUM('Working sheet'!$V45)</f>
        <v>110.9</v>
      </c>
      <c r="AK45" s="15">
        <f>SUM('Working sheet'!$W45:$AC45)</f>
        <v>778.69999999999993</v>
      </c>
    </row>
    <row r="46" spans="1:37" x14ac:dyDescent="0.25">
      <c r="A46" s="16" t="s">
        <v>31</v>
      </c>
      <c r="B46" s="17">
        <v>2014</v>
      </c>
      <c r="C46" s="17" t="s">
        <v>44</v>
      </c>
      <c r="D46" s="17">
        <v>120.7</v>
      </c>
      <c r="E46" s="17">
        <v>119.3</v>
      </c>
      <c r="F46" s="17">
        <v>121</v>
      </c>
      <c r="G46" s="17">
        <v>116.1</v>
      </c>
      <c r="H46" s="17">
        <v>106.9</v>
      </c>
      <c r="I46" s="17">
        <v>118.7</v>
      </c>
      <c r="J46" s="17">
        <v>116.3</v>
      </c>
      <c r="K46" s="17">
        <v>109.8</v>
      </c>
      <c r="L46" s="17">
        <v>99.6</v>
      </c>
      <c r="M46" s="17">
        <v>111.8</v>
      </c>
      <c r="N46" s="17">
        <v>112.7</v>
      </c>
      <c r="O46" s="17">
        <v>119.3</v>
      </c>
      <c r="P46" s="17">
        <v>116.1</v>
      </c>
      <c r="Q46" s="17">
        <v>115.2</v>
      </c>
      <c r="R46" s="17">
        <v>116.8</v>
      </c>
      <c r="S46" s="17">
        <v>113.7</v>
      </c>
      <c r="T46" s="17">
        <v>116.4</v>
      </c>
      <c r="U46" s="17">
        <v>113.2</v>
      </c>
      <c r="V46" s="17">
        <v>112.5</v>
      </c>
      <c r="W46" s="17">
        <v>113.2</v>
      </c>
      <c r="X46" s="17">
        <v>111.2</v>
      </c>
      <c r="Y46" s="17">
        <v>111.4</v>
      </c>
      <c r="Z46" s="17">
        <v>110.6</v>
      </c>
      <c r="AA46" s="17">
        <v>112</v>
      </c>
      <c r="AB46" s="17">
        <v>109</v>
      </c>
      <c r="AC46" s="17">
        <v>111.3</v>
      </c>
      <c r="AD46" s="18">
        <v>114.2</v>
      </c>
      <c r="AF46" s="16">
        <f>SUM('Working sheet'!$D46:$P46)</f>
        <v>1488.2999999999997</v>
      </c>
      <c r="AG46" s="17">
        <f>SUM('Working sheet'!$Q46)</f>
        <v>115.2</v>
      </c>
      <c r="AH46" s="17">
        <f>SUM('Working sheet'!$R46:$T46)</f>
        <v>346.9</v>
      </c>
      <c r="AI46" s="17">
        <f>SUM('Working sheet'!$U46)</f>
        <v>113.2</v>
      </c>
      <c r="AJ46" s="17">
        <f>SUM('Working sheet'!$V46)</f>
        <v>112.5</v>
      </c>
      <c r="AK46" s="18">
        <f>SUM('Working sheet'!$W46:$AC46)</f>
        <v>778.69999999999993</v>
      </c>
    </row>
    <row r="47" spans="1:37" hidden="1" x14ac:dyDescent="0.25">
      <c r="A47" s="13" t="s">
        <v>28</v>
      </c>
      <c r="B47" s="14">
        <v>2014</v>
      </c>
      <c r="C47" s="14" t="s">
        <v>34</v>
      </c>
      <c r="D47" s="14">
        <v>120.2</v>
      </c>
      <c r="E47" s="14">
        <v>118.9</v>
      </c>
      <c r="F47" s="14">
        <v>118.1</v>
      </c>
      <c r="G47" s="14">
        <v>117</v>
      </c>
      <c r="H47" s="14">
        <v>109.7</v>
      </c>
      <c r="I47" s="14">
        <v>125.5</v>
      </c>
      <c r="J47" s="14">
        <v>120.5</v>
      </c>
      <c r="K47" s="14">
        <v>111</v>
      </c>
      <c r="L47" s="14">
        <v>102.6</v>
      </c>
      <c r="M47" s="14">
        <v>111.2</v>
      </c>
      <c r="N47" s="14">
        <v>113.5</v>
      </c>
      <c r="O47" s="14">
        <v>118.7</v>
      </c>
      <c r="P47" s="14">
        <v>117.2</v>
      </c>
      <c r="Q47" s="14">
        <v>115.4</v>
      </c>
      <c r="R47" s="14">
        <v>118.1</v>
      </c>
      <c r="S47" s="14">
        <v>116.1</v>
      </c>
      <c r="T47" s="14">
        <v>117.8</v>
      </c>
      <c r="U47" s="14">
        <v>114.1</v>
      </c>
      <c r="V47" s="14">
        <v>113.4</v>
      </c>
      <c r="W47" s="14">
        <v>113.7</v>
      </c>
      <c r="X47" s="14">
        <v>111.8</v>
      </c>
      <c r="Y47" s="14">
        <v>111.2</v>
      </c>
      <c r="Z47" s="14">
        <v>110.5</v>
      </c>
      <c r="AA47" s="14">
        <v>113</v>
      </c>
      <c r="AB47" s="14">
        <v>108.9</v>
      </c>
      <c r="AC47" s="14">
        <v>111.5</v>
      </c>
      <c r="AD47" s="15">
        <v>115.4</v>
      </c>
      <c r="AF47" s="13">
        <f>SUM('Working sheet'!$D47:$P47)</f>
        <v>1504.1000000000001</v>
      </c>
      <c r="AG47" s="14">
        <f>SUM('Working sheet'!$Q47)</f>
        <v>115.4</v>
      </c>
      <c r="AH47" s="14">
        <f>SUM('Working sheet'!$R47:$T47)</f>
        <v>352</v>
      </c>
      <c r="AI47" s="14">
        <f>SUM('Working sheet'!$U47)</f>
        <v>114.1</v>
      </c>
      <c r="AJ47" s="14">
        <f>SUM('Working sheet'!$V47)</f>
        <v>113.4</v>
      </c>
      <c r="AK47" s="15">
        <f>SUM('Working sheet'!$W47:$AC47)</f>
        <v>780.6</v>
      </c>
    </row>
    <row r="48" spans="1:37" hidden="1" x14ac:dyDescent="0.25">
      <c r="A48" s="16" t="s">
        <v>30</v>
      </c>
      <c r="B48" s="17">
        <v>2014</v>
      </c>
      <c r="C48" s="17" t="s">
        <v>34</v>
      </c>
      <c r="D48" s="17">
        <v>122.5</v>
      </c>
      <c r="E48" s="17">
        <v>121.7</v>
      </c>
      <c r="F48" s="17">
        <v>113.3</v>
      </c>
      <c r="G48" s="17">
        <v>117</v>
      </c>
      <c r="H48" s="17">
        <v>103.1</v>
      </c>
      <c r="I48" s="17">
        <v>126.7</v>
      </c>
      <c r="J48" s="17">
        <v>121.2</v>
      </c>
      <c r="K48" s="17">
        <v>111</v>
      </c>
      <c r="L48" s="17">
        <v>100.3</v>
      </c>
      <c r="M48" s="17">
        <v>115.3</v>
      </c>
      <c r="N48" s="17">
        <v>112.7</v>
      </c>
      <c r="O48" s="17">
        <v>121</v>
      </c>
      <c r="P48" s="17">
        <v>118.2</v>
      </c>
      <c r="Q48" s="17">
        <v>117.6</v>
      </c>
      <c r="R48" s="17">
        <v>116.3</v>
      </c>
      <c r="S48" s="17">
        <v>112.5</v>
      </c>
      <c r="T48" s="17">
        <v>115.7</v>
      </c>
      <c r="U48" s="17">
        <v>113.9</v>
      </c>
      <c r="V48" s="17">
        <v>110.9</v>
      </c>
      <c r="W48" s="17">
        <v>113.4</v>
      </c>
      <c r="X48" s="17">
        <v>111</v>
      </c>
      <c r="Y48" s="17">
        <v>111.2</v>
      </c>
      <c r="Z48" s="17">
        <v>111.2</v>
      </c>
      <c r="AA48" s="17">
        <v>112.5</v>
      </c>
      <c r="AB48" s="17">
        <v>109.1</v>
      </c>
      <c r="AC48" s="17">
        <v>111.4</v>
      </c>
      <c r="AD48" s="18">
        <v>114.7</v>
      </c>
      <c r="AF48" s="16">
        <f>SUM('Working sheet'!$D48:$P48)</f>
        <v>1504.0000000000002</v>
      </c>
      <c r="AG48" s="17">
        <f>SUM('Working sheet'!$Q48)</f>
        <v>117.6</v>
      </c>
      <c r="AH48" s="17">
        <f>SUM('Working sheet'!$R48:$T48)</f>
        <v>344.5</v>
      </c>
      <c r="AI48" s="17">
        <f>SUM('Working sheet'!$U48)</f>
        <v>113.9</v>
      </c>
      <c r="AJ48" s="17">
        <f>SUM('Working sheet'!$V48)</f>
        <v>110.9</v>
      </c>
      <c r="AK48" s="18">
        <f>SUM('Working sheet'!$W48:$AC48)</f>
        <v>779.8</v>
      </c>
    </row>
    <row r="49" spans="1:37" x14ac:dyDescent="0.25">
      <c r="A49" s="13" t="s">
        <v>31</v>
      </c>
      <c r="B49" s="14">
        <v>2014</v>
      </c>
      <c r="C49" s="14" t="s">
        <v>34</v>
      </c>
      <c r="D49" s="14">
        <v>120.9</v>
      </c>
      <c r="E49" s="14">
        <v>119.9</v>
      </c>
      <c r="F49" s="14">
        <v>116.2</v>
      </c>
      <c r="G49" s="14">
        <v>117</v>
      </c>
      <c r="H49" s="14">
        <v>107.3</v>
      </c>
      <c r="I49" s="14">
        <v>126.1</v>
      </c>
      <c r="J49" s="14">
        <v>120.7</v>
      </c>
      <c r="K49" s="14">
        <v>111</v>
      </c>
      <c r="L49" s="14">
        <v>101.8</v>
      </c>
      <c r="M49" s="14">
        <v>112.6</v>
      </c>
      <c r="N49" s="14">
        <v>113.2</v>
      </c>
      <c r="O49" s="14">
        <v>119.8</v>
      </c>
      <c r="P49" s="14">
        <v>117.6</v>
      </c>
      <c r="Q49" s="14">
        <v>116</v>
      </c>
      <c r="R49" s="14">
        <v>117.4</v>
      </c>
      <c r="S49" s="14">
        <v>114.6</v>
      </c>
      <c r="T49" s="14">
        <v>117</v>
      </c>
      <c r="U49" s="14">
        <v>113.9</v>
      </c>
      <c r="V49" s="14">
        <v>112.5</v>
      </c>
      <c r="W49" s="14">
        <v>113.6</v>
      </c>
      <c r="X49" s="14">
        <v>111.5</v>
      </c>
      <c r="Y49" s="14">
        <v>111.2</v>
      </c>
      <c r="Z49" s="14">
        <v>110.9</v>
      </c>
      <c r="AA49" s="14">
        <v>112.7</v>
      </c>
      <c r="AB49" s="14">
        <v>109</v>
      </c>
      <c r="AC49" s="14">
        <v>111.5</v>
      </c>
      <c r="AD49" s="15">
        <v>115.1</v>
      </c>
      <c r="AF49" s="13">
        <f>SUM('Working sheet'!$D49:$P49)</f>
        <v>1504.1</v>
      </c>
      <c r="AG49" s="14">
        <f>SUM('Working sheet'!$Q49)</f>
        <v>116</v>
      </c>
      <c r="AH49" s="14">
        <f>SUM('Working sheet'!$R49:$T49)</f>
        <v>349</v>
      </c>
      <c r="AI49" s="14">
        <f>SUM('Working sheet'!$U49)</f>
        <v>113.9</v>
      </c>
      <c r="AJ49" s="14">
        <f>SUM('Working sheet'!$V49)</f>
        <v>112.5</v>
      </c>
      <c r="AK49" s="15">
        <f>SUM('Working sheet'!$W49:$AC49)</f>
        <v>780.40000000000009</v>
      </c>
    </row>
    <row r="50" spans="1:37" hidden="1" x14ac:dyDescent="0.25">
      <c r="A50" s="16" t="s">
        <v>28</v>
      </c>
      <c r="B50" s="17">
        <v>2014</v>
      </c>
      <c r="C50" s="17" t="s">
        <v>35</v>
      </c>
      <c r="D50" s="17">
        <v>120.3</v>
      </c>
      <c r="E50" s="17">
        <v>120.2</v>
      </c>
      <c r="F50" s="17">
        <v>116.9</v>
      </c>
      <c r="G50" s="17">
        <v>118</v>
      </c>
      <c r="H50" s="17">
        <v>110.1</v>
      </c>
      <c r="I50" s="17">
        <v>126.3</v>
      </c>
      <c r="J50" s="17">
        <v>123.9</v>
      </c>
      <c r="K50" s="17">
        <v>111.5</v>
      </c>
      <c r="L50" s="17">
        <v>103.5</v>
      </c>
      <c r="M50" s="17">
        <v>111.6</v>
      </c>
      <c r="N50" s="17">
        <v>114.2</v>
      </c>
      <c r="O50" s="17">
        <v>119.2</v>
      </c>
      <c r="P50" s="17">
        <v>118.2</v>
      </c>
      <c r="Q50" s="17">
        <v>116.3</v>
      </c>
      <c r="R50" s="17">
        <v>118.7</v>
      </c>
      <c r="S50" s="17">
        <v>116.8</v>
      </c>
      <c r="T50" s="17">
        <v>118.5</v>
      </c>
      <c r="U50" s="17">
        <v>114.1</v>
      </c>
      <c r="V50" s="17">
        <v>113.4</v>
      </c>
      <c r="W50" s="17">
        <v>114.1</v>
      </c>
      <c r="X50" s="17">
        <v>112.1</v>
      </c>
      <c r="Y50" s="17">
        <v>111.4</v>
      </c>
      <c r="Z50" s="17">
        <v>110.9</v>
      </c>
      <c r="AA50" s="17">
        <v>113.1</v>
      </c>
      <c r="AB50" s="17">
        <v>108.9</v>
      </c>
      <c r="AC50" s="17">
        <v>111.8</v>
      </c>
      <c r="AD50" s="18">
        <v>116</v>
      </c>
      <c r="AF50" s="16">
        <f>SUM('Working sheet'!$D50:$P50)</f>
        <v>1513.8999999999999</v>
      </c>
      <c r="AG50" s="17">
        <f>SUM('Working sheet'!$Q50)</f>
        <v>116.3</v>
      </c>
      <c r="AH50" s="17">
        <f>SUM('Working sheet'!$R50:$T50)</f>
        <v>354</v>
      </c>
      <c r="AI50" s="17">
        <f>SUM('Working sheet'!$U50)</f>
        <v>114.1</v>
      </c>
      <c r="AJ50" s="17">
        <f>SUM('Working sheet'!$V50)</f>
        <v>113.4</v>
      </c>
      <c r="AK50" s="18">
        <f>SUM('Working sheet'!$W50:$AC50)</f>
        <v>782.3</v>
      </c>
    </row>
    <row r="51" spans="1:37" hidden="1" x14ac:dyDescent="0.25">
      <c r="A51" s="13" t="s">
        <v>30</v>
      </c>
      <c r="B51" s="14">
        <v>2014</v>
      </c>
      <c r="C51" s="14" t="s">
        <v>35</v>
      </c>
      <c r="D51" s="14">
        <v>122.7</v>
      </c>
      <c r="E51" s="14">
        <v>124.1</v>
      </c>
      <c r="F51" s="14">
        <v>114.2</v>
      </c>
      <c r="G51" s="14">
        <v>119.1</v>
      </c>
      <c r="H51" s="14">
        <v>103.5</v>
      </c>
      <c r="I51" s="14">
        <v>129.19999999999999</v>
      </c>
      <c r="J51" s="14">
        <v>127</v>
      </c>
      <c r="K51" s="14">
        <v>112.6</v>
      </c>
      <c r="L51" s="14">
        <v>101.3</v>
      </c>
      <c r="M51" s="14">
        <v>117</v>
      </c>
      <c r="N51" s="14">
        <v>112.9</v>
      </c>
      <c r="O51" s="14">
        <v>121.7</v>
      </c>
      <c r="P51" s="14">
        <v>120</v>
      </c>
      <c r="Q51" s="14">
        <v>118.3</v>
      </c>
      <c r="R51" s="14">
        <v>116.8</v>
      </c>
      <c r="S51" s="14">
        <v>112.9</v>
      </c>
      <c r="T51" s="14">
        <v>116.2</v>
      </c>
      <c r="U51" s="14">
        <v>114.3</v>
      </c>
      <c r="V51" s="14">
        <v>111.1</v>
      </c>
      <c r="W51" s="14">
        <v>114.1</v>
      </c>
      <c r="X51" s="14">
        <v>111.2</v>
      </c>
      <c r="Y51" s="14">
        <v>111.3</v>
      </c>
      <c r="Z51" s="14">
        <v>111.5</v>
      </c>
      <c r="AA51" s="14">
        <v>112.9</v>
      </c>
      <c r="AB51" s="14">
        <v>109.3</v>
      </c>
      <c r="AC51" s="14">
        <v>111.7</v>
      </c>
      <c r="AD51" s="15">
        <v>115.6</v>
      </c>
      <c r="AF51" s="13">
        <f>SUM('Working sheet'!$D51:$P51)</f>
        <v>1525.3000000000002</v>
      </c>
      <c r="AG51" s="14">
        <f>SUM('Working sheet'!$Q51)</f>
        <v>118.3</v>
      </c>
      <c r="AH51" s="14">
        <f>SUM('Working sheet'!$R51:$T51)</f>
        <v>345.9</v>
      </c>
      <c r="AI51" s="14">
        <f>SUM('Working sheet'!$U51)</f>
        <v>114.3</v>
      </c>
      <c r="AJ51" s="14">
        <f>SUM('Working sheet'!$V51)</f>
        <v>111.1</v>
      </c>
      <c r="AK51" s="15">
        <f>SUM('Working sheet'!$W51:$AC51)</f>
        <v>782</v>
      </c>
    </row>
    <row r="52" spans="1:37" x14ac:dyDescent="0.25">
      <c r="A52" s="16" t="s">
        <v>31</v>
      </c>
      <c r="B52" s="17">
        <v>2014</v>
      </c>
      <c r="C52" s="17" t="s">
        <v>35</v>
      </c>
      <c r="D52" s="17">
        <v>121.1</v>
      </c>
      <c r="E52" s="17">
        <v>121.6</v>
      </c>
      <c r="F52" s="17">
        <v>115.9</v>
      </c>
      <c r="G52" s="17">
        <v>118.4</v>
      </c>
      <c r="H52" s="17">
        <v>107.7</v>
      </c>
      <c r="I52" s="17">
        <v>127.7</v>
      </c>
      <c r="J52" s="17">
        <v>125</v>
      </c>
      <c r="K52" s="17">
        <v>111.9</v>
      </c>
      <c r="L52" s="17">
        <v>102.8</v>
      </c>
      <c r="M52" s="17">
        <v>113.4</v>
      </c>
      <c r="N52" s="17">
        <v>113.7</v>
      </c>
      <c r="O52" s="17">
        <v>120.4</v>
      </c>
      <c r="P52" s="17">
        <v>118.9</v>
      </c>
      <c r="Q52" s="17">
        <v>116.8</v>
      </c>
      <c r="R52" s="17">
        <v>118</v>
      </c>
      <c r="S52" s="17">
        <v>115.2</v>
      </c>
      <c r="T52" s="17">
        <v>117.6</v>
      </c>
      <c r="U52" s="17">
        <v>114.3</v>
      </c>
      <c r="V52" s="17">
        <v>112.5</v>
      </c>
      <c r="W52" s="17">
        <v>114.1</v>
      </c>
      <c r="X52" s="17">
        <v>111.8</v>
      </c>
      <c r="Y52" s="17">
        <v>111.3</v>
      </c>
      <c r="Z52" s="17">
        <v>111.2</v>
      </c>
      <c r="AA52" s="17">
        <v>113</v>
      </c>
      <c r="AB52" s="17">
        <v>109.1</v>
      </c>
      <c r="AC52" s="17">
        <v>111.8</v>
      </c>
      <c r="AD52" s="18">
        <v>115.8</v>
      </c>
      <c r="AF52" s="16">
        <f>SUM('Working sheet'!$D52:$P52)</f>
        <v>1518.5000000000005</v>
      </c>
      <c r="AG52" s="17">
        <f>SUM('Working sheet'!$Q52)</f>
        <v>116.8</v>
      </c>
      <c r="AH52" s="17">
        <f>SUM('Working sheet'!$R52:$T52)</f>
        <v>350.79999999999995</v>
      </c>
      <c r="AI52" s="17">
        <f>SUM('Working sheet'!$U52)</f>
        <v>114.3</v>
      </c>
      <c r="AJ52" s="17">
        <f>SUM('Working sheet'!$V52)</f>
        <v>112.5</v>
      </c>
      <c r="AK52" s="18">
        <f>SUM('Working sheet'!$W52:$AC52)</f>
        <v>782.3</v>
      </c>
    </row>
    <row r="53" spans="1:37" hidden="1" x14ac:dyDescent="0.25">
      <c r="A53" s="13" t="s">
        <v>28</v>
      </c>
      <c r="B53" s="14">
        <v>2014</v>
      </c>
      <c r="C53" s="14" t="s">
        <v>36</v>
      </c>
      <c r="D53" s="14">
        <v>120.7</v>
      </c>
      <c r="E53" s="14">
        <v>121.6</v>
      </c>
      <c r="F53" s="14">
        <v>116.1</v>
      </c>
      <c r="G53" s="14">
        <v>119.3</v>
      </c>
      <c r="H53" s="14">
        <v>110.3</v>
      </c>
      <c r="I53" s="14">
        <v>125.8</v>
      </c>
      <c r="J53" s="14">
        <v>129.30000000000001</v>
      </c>
      <c r="K53" s="14">
        <v>112.2</v>
      </c>
      <c r="L53" s="14">
        <v>103.6</v>
      </c>
      <c r="M53" s="14">
        <v>112.3</v>
      </c>
      <c r="N53" s="14">
        <v>114.9</v>
      </c>
      <c r="O53" s="14">
        <v>120.1</v>
      </c>
      <c r="P53" s="14">
        <v>119.5</v>
      </c>
      <c r="Q53" s="14">
        <v>117.3</v>
      </c>
      <c r="R53" s="14">
        <v>119.7</v>
      </c>
      <c r="S53" s="14">
        <v>117.3</v>
      </c>
      <c r="T53" s="14">
        <v>119.3</v>
      </c>
      <c r="U53" s="14">
        <v>114.4</v>
      </c>
      <c r="V53" s="14">
        <v>114.4</v>
      </c>
      <c r="W53" s="14">
        <v>114.9</v>
      </c>
      <c r="X53" s="14">
        <v>112.8</v>
      </c>
      <c r="Y53" s="14">
        <v>112.2</v>
      </c>
      <c r="Z53" s="14">
        <v>111.4</v>
      </c>
      <c r="AA53" s="14">
        <v>114.3</v>
      </c>
      <c r="AB53" s="14">
        <v>108</v>
      </c>
      <c r="AC53" s="14">
        <v>112.3</v>
      </c>
      <c r="AD53" s="15">
        <v>117</v>
      </c>
      <c r="AF53" s="13">
        <f>SUM('Working sheet'!$D53:$P53)</f>
        <v>1525.6999999999998</v>
      </c>
      <c r="AG53" s="14">
        <f>SUM('Working sheet'!$Q53)</f>
        <v>117.3</v>
      </c>
      <c r="AH53" s="14">
        <f>SUM('Working sheet'!$R53:$T53)</f>
        <v>356.3</v>
      </c>
      <c r="AI53" s="14">
        <f>SUM('Working sheet'!$U53)</f>
        <v>114.4</v>
      </c>
      <c r="AJ53" s="14">
        <f>SUM('Working sheet'!$V53)</f>
        <v>114.4</v>
      </c>
      <c r="AK53" s="15">
        <f>SUM('Working sheet'!$W53:$AC53)</f>
        <v>785.89999999999986</v>
      </c>
    </row>
    <row r="54" spans="1:37" hidden="1" x14ac:dyDescent="0.25">
      <c r="A54" s="16" t="s">
        <v>30</v>
      </c>
      <c r="B54" s="17">
        <v>2014</v>
      </c>
      <c r="C54" s="17" t="s">
        <v>36</v>
      </c>
      <c r="D54" s="17">
        <v>123.1</v>
      </c>
      <c r="E54" s="17">
        <v>125.9</v>
      </c>
      <c r="F54" s="17">
        <v>115.4</v>
      </c>
      <c r="G54" s="17">
        <v>120.4</v>
      </c>
      <c r="H54" s="17">
        <v>103.4</v>
      </c>
      <c r="I54" s="17">
        <v>131.19999999999999</v>
      </c>
      <c r="J54" s="17">
        <v>137.5</v>
      </c>
      <c r="K54" s="17">
        <v>112.8</v>
      </c>
      <c r="L54" s="17">
        <v>101.4</v>
      </c>
      <c r="M54" s="17">
        <v>118.3</v>
      </c>
      <c r="N54" s="17">
        <v>113.2</v>
      </c>
      <c r="O54" s="17">
        <v>122.4</v>
      </c>
      <c r="P54" s="17">
        <v>122</v>
      </c>
      <c r="Q54" s="17">
        <v>119</v>
      </c>
      <c r="R54" s="17">
        <v>117.4</v>
      </c>
      <c r="S54" s="17">
        <v>113.2</v>
      </c>
      <c r="T54" s="17">
        <v>116.7</v>
      </c>
      <c r="U54" s="17">
        <v>113.9</v>
      </c>
      <c r="V54" s="17">
        <v>111.2</v>
      </c>
      <c r="W54" s="17">
        <v>114.3</v>
      </c>
      <c r="X54" s="17">
        <v>111.4</v>
      </c>
      <c r="Y54" s="17">
        <v>111.5</v>
      </c>
      <c r="Z54" s="17">
        <v>111.8</v>
      </c>
      <c r="AA54" s="17">
        <v>115.1</v>
      </c>
      <c r="AB54" s="17">
        <v>108.7</v>
      </c>
      <c r="AC54" s="17">
        <v>112.2</v>
      </c>
      <c r="AD54" s="18">
        <v>116.4</v>
      </c>
      <c r="AF54" s="16">
        <f>SUM('Working sheet'!$D54:$P54)</f>
        <v>1547</v>
      </c>
      <c r="AG54" s="17">
        <f>SUM('Working sheet'!$Q54)</f>
        <v>119</v>
      </c>
      <c r="AH54" s="17">
        <f>SUM('Working sheet'!$R54:$T54)</f>
        <v>347.3</v>
      </c>
      <c r="AI54" s="17">
        <f>SUM('Working sheet'!$U54)</f>
        <v>113.9</v>
      </c>
      <c r="AJ54" s="17">
        <f>SUM('Working sheet'!$V54)</f>
        <v>111.2</v>
      </c>
      <c r="AK54" s="18">
        <f>SUM('Working sheet'!$W54:$AC54)</f>
        <v>785.00000000000011</v>
      </c>
    </row>
    <row r="55" spans="1:37" x14ac:dyDescent="0.25">
      <c r="A55" s="13" t="s">
        <v>31</v>
      </c>
      <c r="B55" s="14">
        <v>2014</v>
      </c>
      <c r="C55" s="14" t="s">
        <v>36</v>
      </c>
      <c r="D55" s="14">
        <v>121.5</v>
      </c>
      <c r="E55" s="14">
        <v>123.1</v>
      </c>
      <c r="F55" s="14">
        <v>115.8</v>
      </c>
      <c r="G55" s="14">
        <v>119.7</v>
      </c>
      <c r="H55" s="14">
        <v>107.8</v>
      </c>
      <c r="I55" s="14">
        <v>128.30000000000001</v>
      </c>
      <c r="J55" s="14">
        <v>132.1</v>
      </c>
      <c r="K55" s="14">
        <v>112.4</v>
      </c>
      <c r="L55" s="14">
        <v>102.9</v>
      </c>
      <c r="M55" s="14">
        <v>114.3</v>
      </c>
      <c r="N55" s="14">
        <v>114.2</v>
      </c>
      <c r="O55" s="14">
        <v>121.2</v>
      </c>
      <c r="P55" s="14">
        <v>120.4</v>
      </c>
      <c r="Q55" s="14">
        <v>117.8</v>
      </c>
      <c r="R55" s="14">
        <v>118.8</v>
      </c>
      <c r="S55" s="14">
        <v>115.6</v>
      </c>
      <c r="T55" s="14">
        <v>118.3</v>
      </c>
      <c r="U55" s="14">
        <v>113.9</v>
      </c>
      <c r="V55" s="14">
        <v>113.2</v>
      </c>
      <c r="W55" s="14">
        <v>114.6</v>
      </c>
      <c r="X55" s="14">
        <v>112.3</v>
      </c>
      <c r="Y55" s="14">
        <v>111.8</v>
      </c>
      <c r="Z55" s="14">
        <v>111.6</v>
      </c>
      <c r="AA55" s="14">
        <v>114.8</v>
      </c>
      <c r="AB55" s="14">
        <v>108.3</v>
      </c>
      <c r="AC55" s="14">
        <v>112.3</v>
      </c>
      <c r="AD55" s="15">
        <v>116.7</v>
      </c>
      <c r="AF55" s="13">
        <f>SUM('Working sheet'!$D55:$P55)</f>
        <v>1533.7000000000003</v>
      </c>
      <c r="AG55" s="14">
        <f>SUM('Working sheet'!$Q55)</f>
        <v>117.8</v>
      </c>
      <c r="AH55" s="14">
        <f>SUM('Working sheet'!$R55:$T55)</f>
        <v>352.7</v>
      </c>
      <c r="AI55" s="14">
        <f>SUM('Working sheet'!$U55)</f>
        <v>113.9</v>
      </c>
      <c r="AJ55" s="14">
        <f>SUM('Working sheet'!$V55)</f>
        <v>113.2</v>
      </c>
      <c r="AK55" s="15">
        <f>SUM('Working sheet'!$W55:$AC55)</f>
        <v>785.69999999999982</v>
      </c>
    </row>
    <row r="56" spans="1:37" hidden="1" x14ac:dyDescent="0.25">
      <c r="A56" s="16" t="s">
        <v>28</v>
      </c>
      <c r="B56" s="17">
        <v>2014</v>
      </c>
      <c r="C56" s="17" t="s">
        <v>37</v>
      </c>
      <c r="D56" s="17">
        <v>121.7</v>
      </c>
      <c r="E56" s="17">
        <v>122.5</v>
      </c>
      <c r="F56" s="17">
        <v>117.7</v>
      </c>
      <c r="G56" s="17">
        <v>120.6</v>
      </c>
      <c r="H56" s="17">
        <v>110.4</v>
      </c>
      <c r="I56" s="17">
        <v>129.1</v>
      </c>
      <c r="J56" s="17">
        <v>150.1</v>
      </c>
      <c r="K56" s="17">
        <v>113.2</v>
      </c>
      <c r="L56" s="17">
        <v>104.8</v>
      </c>
      <c r="M56" s="17">
        <v>113.3</v>
      </c>
      <c r="N56" s="17">
        <v>115.6</v>
      </c>
      <c r="O56" s="17">
        <v>120.9</v>
      </c>
      <c r="P56" s="17">
        <v>123.3</v>
      </c>
      <c r="Q56" s="17">
        <v>118</v>
      </c>
      <c r="R56" s="17">
        <v>120.7</v>
      </c>
      <c r="S56" s="17">
        <v>118.3</v>
      </c>
      <c r="T56" s="17">
        <v>120.3</v>
      </c>
      <c r="U56" s="17">
        <v>115.2</v>
      </c>
      <c r="V56" s="17">
        <v>115.3</v>
      </c>
      <c r="W56" s="17">
        <v>115.4</v>
      </c>
      <c r="X56" s="17">
        <v>113.4</v>
      </c>
      <c r="Y56" s="17">
        <v>113.2</v>
      </c>
      <c r="Z56" s="17">
        <v>111.8</v>
      </c>
      <c r="AA56" s="17">
        <v>115.5</v>
      </c>
      <c r="AB56" s="17">
        <v>108.8</v>
      </c>
      <c r="AC56" s="17">
        <v>113.1</v>
      </c>
      <c r="AD56" s="18">
        <v>119.5</v>
      </c>
      <c r="AF56" s="16">
        <f>SUM('Working sheet'!$D56:$P56)</f>
        <v>1563.2</v>
      </c>
      <c r="AG56" s="17">
        <f>SUM('Working sheet'!$Q56)</f>
        <v>118</v>
      </c>
      <c r="AH56" s="17">
        <f>SUM('Working sheet'!$R56:$T56)</f>
        <v>359.3</v>
      </c>
      <c r="AI56" s="17">
        <f>SUM('Working sheet'!$U56)</f>
        <v>115.2</v>
      </c>
      <c r="AJ56" s="17">
        <f>SUM('Working sheet'!$V56)</f>
        <v>115.3</v>
      </c>
      <c r="AK56" s="18">
        <f>SUM('Working sheet'!$W56:$AC56)</f>
        <v>791.19999999999993</v>
      </c>
    </row>
    <row r="57" spans="1:37" hidden="1" x14ac:dyDescent="0.25">
      <c r="A57" s="13" t="s">
        <v>30</v>
      </c>
      <c r="B57" s="14">
        <v>2014</v>
      </c>
      <c r="C57" s="14" t="s">
        <v>37</v>
      </c>
      <c r="D57" s="14">
        <v>123.8</v>
      </c>
      <c r="E57" s="14">
        <v>126.4</v>
      </c>
      <c r="F57" s="14">
        <v>118</v>
      </c>
      <c r="G57" s="14">
        <v>121.6</v>
      </c>
      <c r="H57" s="14">
        <v>103.5</v>
      </c>
      <c r="I57" s="14">
        <v>133.69999999999999</v>
      </c>
      <c r="J57" s="14">
        <v>172.4</v>
      </c>
      <c r="K57" s="14">
        <v>113.1</v>
      </c>
      <c r="L57" s="14">
        <v>102.7</v>
      </c>
      <c r="M57" s="14">
        <v>120</v>
      </c>
      <c r="N57" s="14">
        <v>113.8</v>
      </c>
      <c r="O57" s="14">
        <v>123.4</v>
      </c>
      <c r="P57" s="14">
        <v>127.1</v>
      </c>
      <c r="Q57" s="14">
        <v>121</v>
      </c>
      <c r="R57" s="14">
        <v>118</v>
      </c>
      <c r="S57" s="14">
        <v>113.6</v>
      </c>
      <c r="T57" s="14">
        <v>117.4</v>
      </c>
      <c r="U57" s="14">
        <v>114.8</v>
      </c>
      <c r="V57" s="14">
        <v>111.6</v>
      </c>
      <c r="W57" s="14">
        <v>114.9</v>
      </c>
      <c r="X57" s="14">
        <v>111.5</v>
      </c>
      <c r="Y57" s="14">
        <v>113</v>
      </c>
      <c r="Z57" s="14">
        <v>112.4</v>
      </c>
      <c r="AA57" s="14">
        <v>117.8</v>
      </c>
      <c r="AB57" s="14">
        <v>109.7</v>
      </c>
      <c r="AC57" s="14">
        <v>113.5</v>
      </c>
      <c r="AD57" s="15">
        <v>118.9</v>
      </c>
      <c r="AF57" s="13">
        <f>SUM('Working sheet'!$D57:$P57)</f>
        <v>1599.5</v>
      </c>
      <c r="AG57" s="14">
        <f>SUM('Working sheet'!$Q57)</f>
        <v>121</v>
      </c>
      <c r="AH57" s="14">
        <f>SUM('Working sheet'!$R57:$T57)</f>
        <v>349</v>
      </c>
      <c r="AI57" s="14">
        <f>SUM('Working sheet'!$U57)</f>
        <v>114.8</v>
      </c>
      <c r="AJ57" s="14">
        <f>SUM('Working sheet'!$V57)</f>
        <v>111.6</v>
      </c>
      <c r="AK57" s="15">
        <f>SUM('Working sheet'!$W57:$AC57)</f>
        <v>792.8</v>
      </c>
    </row>
    <row r="58" spans="1:37" x14ac:dyDescent="0.25">
      <c r="A58" s="16" t="s">
        <v>31</v>
      </c>
      <c r="B58" s="17">
        <v>2014</v>
      </c>
      <c r="C58" s="17" t="s">
        <v>37</v>
      </c>
      <c r="D58" s="17">
        <v>122.4</v>
      </c>
      <c r="E58" s="17">
        <v>123.9</v>
      </c>
      <c r="F58" s="17">
        <v>117.8</v>
      </c>
      <c r="G58" s="17">
        <v>121</v>
      </c>
      <c r="H58" s="17">
        <v>107.9</v>
      </c>
      <c r="I58" s="17">
        <v>131.19999999999999</v>
      </c>
      <c r="J58" s="17">
        <v>157.69999999999999</v>
      </c>
      <c r="K58" s="17">
        <v>113.2</v>
      </c>
      <c r="L58" s="17">
        <v>104.1</v>
      </c>
      <c r="M58" s="17">
        <v>115.5</v>
      </c>
      <c r="N58" s="17">
        <v>114.8</v>
      </c>
      <c r="O58" s="17">
        <v>122.1</v>
      </c>
      <c r="P58" s="17">
        <v>124.7</v>
      </c>
      <c r="Q58" s="17">
        <v>118.8</v>
      </c>
      <c r="R58" s="17">
        <v>119.6</v>
      </c>
      <c r="S58" s="17">
        <v>116.3</v>
      </c>
      <c r="T58" s="17">
        <v>119.1</v>
      </c>
      <c r="U58" s="17">
        <v>114.8</v>
      </c>
      <c r="V58" s="17">
        <v>113.9</v>
      </c>
      <c r="W58" s="17">
        <v>115.2</v>
      </c>
      <c r="X58" s="17">
        <v>112.7</v>
      </c>
      <c r="Y58" s="17">
        <v>113.1</v>
      </c>
      <c r="Z58" s="17">
        <v>112.1</v>
      </c>
      <c r="AA58" s="17">
        <v>116.8</v>
      </c>
      <c r="AB58" s="17">
        <v>109.2</v>
      </c>
      <c r="AC58" s="17">
        <v>113.3</v>
      </c>
      <c r="AD58" s="18">
        <v>119.2</v>
      </c>
      <c r="AF58" s="16">
        <f>SUM('Working sheet'!$D58:$P58)</f>
        <v>1576.3</v>
      </c>
      <c r="AG58" s="17">
        <f>SUM('Working sheet'!$Q58)</f>
        <v>118.8</v>
      </c>
      <c r="AH58" s="17">
        <f>SUM('Working sheet'!$R58:$T58)</f>
        <v>355</v>
      </c>
      <c r="AI58" s="17">
        <f>SUM('Working sheet'!$U58)</f>
        <v>114.8</v>
      </c>
      <c r="AJ58" s="17">
        <f>SUM('Working sheet'!$V58)</f>
        <v>113.9</v>
      </c>
      <c r="AK58" s="18">
        <f>SUM('Working sheet'!$W58:$AC58)</f>
        <v>792.4</v>
      </c>
    </row>
    <row r="59" spans="1:37" hidden="1" x14ac:dyDescent="0.25">
      <c r="A59" s="13" t="s">
        <v>28</v>
      </c>
      <c r="B59" s="14">
        <v>2014</v>
      </c>
      <c r="C59" s="14" t="s">
        <v>38</v>
      </c>
      <c r="D59" s="14">
        <v>121.8</v>
      </c>
      <c r="E59" s="14">
        <v>122.8</v>
      </c>
      <c r="F59" s="14">
        <v>117.8</v>
      </c>
      <c r="G59" s="14">
        <v>121.9</v>
      </c>
      <c r="H59" s="14">
        <v>110.6</v>
      </c>
      <c r="I59" s="14">
        <v>129.69999999999999</v>
      </c>
      <c r="J59" s="14">
        <v>161.1</v>
      </c>
      <c r="K59" s="14">
        <v>114.1</v>
      </c>
      <c r="L59" s="14">
        <v>105.1</v>
      </c>
      <c r="M59" s="14">
        <v>114.6</v>
      </c>
      <c r="N59" s="14">
        <v>115.8</v>
      </c>
      <c r="O59" s="14">
        <v>121.7</v>
      </c>
      <c r="P59" s="14">
        <v>125.3</v>
      </c>
      <c r="Q59" s="14">
        <v>118.8</v>
      </c>
      <c r="R59" s="14">
        <v>120.9</v>
      </c>
      <c r="S59" s="14">
        <v>118.8</v>
      </c>
      <c r="T59" s="14">
        <v>120.7</v>
      </c>
      <c r="U59" s="14">
        <v>115.8</v>
      </c>
      <c r="V59" s="14">
        <v>115.4</v>
      </c>
      <c r="W59" s="14">
        <v>115.9</v>
      </c>
      <c r="X59" s="14">
        <v>114</v>
      </c>
      <c r="Y59" s="14">
        <v>113.2</v>
      </c>
      <c r="Z59" s="14">
        <v>112.2</v>
      </c>
      <c r="AA59" s="14">
        <v>116.2</v>
      </c>
      <c r="AB59" s="14">
        <v>109.4</v>
      </c>
      <c r="AC59" s="14">
        <v>113.5</v>
      </c>
      <c r="AD59" s="15">
        <v>120.7</v>
      </c>
      <c r="AF59" s="13">
        <f>SUM('Working sheet'!$D59:$P59)</f>
        <v>1582.2999999999997</v>
      </c>
      <c r="AG59" s="14">
        <f>SUM('Working sheet'!$Q59)</f>
        <v>118.8</v>
      </c>
      <c r="AH59" s="14">
        <f>SUM('Working sheet'!$R59:$T59)</f>
        <v>360.4</v>
      </c>
      <c r="AI59" s="14">
        <f>SUM('Working sheet'!$U59)</f>
        <v>115.8</v>
      </c>
      <c r="AJ59" s="14">
        <f>SUM('Working sheet'!$V59)</f>
        <v>115.4</v>
      </c>
      <c r="AK59" s="15">
        <f>SUM('Working sheet'!$W59:$AC59)</f>
        <v>794.4</v>
      </c>
    </row>
    <row r="60" spans="1:37" hidden="1" x14ac:dyDescent="0.25">
      <c r="A60" s="16" t="s">
        <v>30</v>
      </c>
      <c r="B60" s="17">
        <v>2014</v>
      </c>
      <c r="C60" s="17" t="s">
        <v>38</v>
      </c>
      <c r="D60" s="17">
        <v>124.8</v>
      </c>
      <c r="E60" s="17">
        <v>127.3</v>
      </c>
      <c r="F60" s="17">
        <v>116.5</v>
      </c>
      <c r="G60" s="17">
        <v>122.2</v>
      </c>
      <c r="H60" s="17">
        <v>103.6</v>
      </c>
      <c r="I60" s="17">
        <v>132.69999999999999</v>
      </c>
      <c r="J60" s="17">
        <v>181.9</v>
      </c>
      <c r="K60" s="17">
        <v>115.2</v>
      </c>
      <c r="L60" s="17">
        <v>102.7</v>
      </c>
      <c r="M60" s="17">
        <v>122.1</v>
      </c>
      <c r="N60" s="17">
        <v>114.4</v>
      </c>
      <c r="O60" s="17">
        <v>124.7</v>
      </c>
      <c r="P60" s="17">
        <v>128.9</v>
      </c>
      <c r="Q60" s="17">
        <v>123</v>
      </c>
      <c r="R60" s="17">
        <v>118.6</v>
      </c>
      <c r="S60" s="17">
        <v>114.1</v>
      </c>
      <c r="T60" s="17">
        <v>117.9</v>
      </c>
      <c r="U60" s="17">
        <v>115.5</v>
      </c>
      <c r="V60" s="17">
        <v>111.8</v>
      </c>
      <c r="W60" s="17">
        <v>115.3</v>
      </c>
      <c r="X60" s="17">
        <v>112.2</v>
      </c>
      <c r="Y60" s="17">
        <v>112.5</v>
      </c>
      <c r="Z60" s="17">
        <v>112.9</v>
      </c>
      <c r="AA60" s="17">
        <v>119.2</v>
      </c>
      <c r="AB60" s="17">
        <v>110.5</v>
      </c>
      <c r="AC60" s="17">
        <v>113.9</v>
      </c>
      <c r="AD60" s="18">
        <v>119.9</v>
      </c>
      <c r="AF60" s="16">
        <f>SUM('Working sheet'!$D60:$P60)</f>
        <v>1617</v>
      </c>
      <c r="AG60" s="17">
        <f>SUM('Working sheet'!$Q60)</f>
        <v>123</v>
      </c>
      <c r="AH60" s="17">
        <f>SUM('Working sheet'!$R60:$T60)</f>
        <v>350.6</v>
      </c>
      <c r="AI60" s="17">
        <f>SUM('Working sheet'!$U60)</f>
        <v>115.5</v>
      </c>
      <c r="AJ60" s="17">
        <f>SUM('Working sheet'!$V60)</f>
        <v>111.8</v>
      </c>
      <c r="AK60" s="18">
        <f>SUM('Working sheet'!$W60:$AC60)</f>
        <v>796.5</v>
      </c>
    </row>
    <row r="61" spans="1:37" x14ac:dyDescent="0.25">
      <c r="A61" s="13" t="s">
        <v>31</v>
      </c>
      <c r="B61" s="14">
        <v>2014</v>
      </c>
      <c r="C61" s="14" t="s">
        <v>38</v>
      </c>
      <c r="D61" s="14">
        <v>122.7</v>
      </c>
      <c r="E61" s="14">
        <v>124.4</v>
      </c>
      <c r="F61" s="14">
        <v>117.3</v>
      </c>
      <c r="G61" s="14">
        <v>122</v>
      </c>
      <c r="H61" s="14">
        <v>108</v>
      </c>
      <c r="I61" s="14">
        <v>131.1</v>
      </c>
      <c r="J61" s="14">
        <v>168.2</v>
      </c>
      <c r="K61" s="14">
        <v>114.5</v>
      </c>
      <c r="L61" s="14">
        <v>104.3</v>
      </c>
      <c r="M61" s="14">
        <v>117.1</v>
      </c>
      <c r="N61" s="14">
        <v>115.2</v>
      </c>
      <c r="O61" s="14">
        <v>123.1</v>
      </c>
      <c r="P61" s="14">
        <v>126.6</v>
      </c>
      <c r="Q61" s="14">
        <v>119.9</v>
      </c>
      <c r="R61" s="14">
        <v>120</v>
      </c>
      <c r="S61" s="14">
        <v>116.8</v>
      </c>
      <c r="T61" s="14">
        <v>119.6</v>
      </c>
      <c r="U61" s="14">
        <v>115.5</v>
      </c>
      <c r="V61" s="14">
        <v>114</v>
      </c>
      <c r="W61" s="14">
        <v>115.6</v>
      </c>
      <c r="X61" s="14">
        <v>113.3</v>
      </c>
      <c r="Y61" s="14">
        <v>112.8</v>
      </c>
      <c r="Z61" s="14">
        <v>112.6</v>
      </c>
      <c r="AA61" s="14">
        <v>118</v>
      </c>
      <c r="AB61" s="14">
        <v>109.9</v>
      </c>
      <c r="AC61" s="14">
        <v>113.7</v>
      </c>
      <c r="AD61" s="15">
        <v>120.3</v>
      </c>
      <c r="AF61" s="13">
        <f>SUM('Working sheet'!$D61:$P61)</f>
        <v>1594.4999999999998</v>
      </c>
      <c r="AG61" s="14">
        <f>SUM('Working sheet'!$Q61)</f>
        <v>119.9</v>
      </c>
      <c r="AH61" s="14">
        <f>SUM('Working sheet'!$R61:$T61)</f>
        <v>356.4</v>
      </c>
      <c r="AI61" s="14">
        <f>SUM('Working sheet'!$U61)</f>
        <v>115.5</v>
      </c>
      <c r="AJ61" s="14">
        <f>SUM('Working sheet'!$V61)</f>
        <v>114</v>
      </c>
      <c r="AK61" s="15">
        <f>SUM('Working sheet'!$W61:$AC61)</f>
        <v>795.9</v>
      </c>
    </row>
    <row r="62" spans="1:37" hidden="1" x14ac:dyDescent="0.25">
      <c r="A62" s="16" t="s">
        <v>28</v>
      </c>
      <c r="B62" s="17">
        <v>2014</v>
      </c>
      <c r="C62" s="17" t="s">
        <v>39</v>
      </c>
      <c r="D62" s="17">
        <v>122.3</v>
      </c>
      <c r="E62" s="17">
        <v>122.4</v>
      </c>
      <c r="F62" s="17">
        <v>117.8</v>
      </c>
      <c r="G62" s="17">
        <v>122.7</v>
      </c>
      <c r="H62" s="17">
        <v>110.4</v>
      </c>
      <c r="I62" s="17">
        <v>129.80000000000001</v>
      </c>
      <c r="J62" s="17">
        <v>158.80000000000001</v>
      </c>
      <c r="K62" s="17">
        <v>115</v>
      </c>
      <c r="L62" s="17">
        <v>104.7</v>
      </c>
      <c r="M62" s="17">
        <v>114.9</v>
      </c>
      <c r="N62" s="17">
        <v>116.5</v>
      </c>
      <c r="O62" s="17">
        <v>122.6</v>
      </c>
      <c r="P62" s="17">
        <v>125.3</v>
      </c>
      <c r="Q62" s="17">
        <v>119.5</v>
      </c>
      <c r="R62" s="17">
        <v>121.7</v>
      </c>
      <c r="S62" s="17">
        <v>119.2</v>
      </c>
      <c r="T62" s="17">
        <v>121.3</v>
      </c>
      <c r="U62" s="17">
        <v>116.4</v>
      </c>
      <c r="V62" s="17">
        <v>115.8</v>
      </c>
      <c r="W62" s="17">
        <v>116.7</v>
      </c>
      <c r="X62" s="17">
        <v>114.5</v>
      </c>
      <c r="Y62" s="17">
        <v>112.8</v>
      </c>
      <c r="Z62" s="17">
        <v>112.6</v>
      </c>
      <c r="AA62" s="17">
        <v>116.6</v>
      </c>
      <c r="AB62" s="17">
        <v>109.1</v>
      </c>
      <c r="AC62" s="17">
        <v>113.7</v>
      </c>
      <c r="AD62" s="18">
        <v>120.9</v>
      </c>
      <c r="AF62" s="16">
        <f>SUM('Working sheet'!$D62:$P62)</f>
        <v>1583.2</v>
      </c>
      <c r="AG62" s="17">
        <f>SUM('Working sheet'!$Q62)</f>
        <v>119.5</v>
      </c>
      <c r="AH62" s="17">
        <f>SUM('Working sheet'!$R62:$T62)</f>
        <v>362.2</v>
      </c>
      <c r="AI62" s="17">
        <f>SUM('Working sheet'!$U62)</f>
        <v>116.4</v>
      </c>
      <c r="AJ62" s="17">
        <f>SUM('Working sheet'!$V62)</f>
        <v>115.8</v>
      </c>
      <c r="AK62" s="18">
        <f>SUM('Working sheet'!$W62:$AC62)</f>
        <v>796.00000000000011</v>
      </c>
    </row>
    <row r="63" spans="1:37" hidden="1" x14ac:dyDescent="0.25">
      <c r="A63" s="13" t="s">
        <v>30</v>
      </c>
      <c r="B63" s="14">
        <v>2014</v>
      </c>
      <c r="C63" s="14" t="s">
        <v>39</v>
      </c>
      <c r="D63" s="14">
        <v>124.2</v>
      </c>
      <c r="E63" s="14">
        <v>125.4</v>
      </c>
      <c r="F63" s="14">
        <v>116.4</v>
      </c>
      <c r="G63" s="14">
        <v>122.7</v>
      </c>
      <c r="H63" s="14">
        <v>103.5</v>
      </c>
      <c r="I63" s="14">
        <v>124.5</v>
      </c>
      <c r="J63" s="14">
        <v>168.6</v>
      </c>
      <c r="K63" s="14">
        <v>116.9</v>
      </c>
      <c r="L63" s="14">
        <v>101.9</v>
      </c>
      <c r="M63" s="14">
        <v>122.9</v>
      </c>
      <c r="N63" s="14">
        <v>114.8</v>
      </c>
      <c r="O63" s="14">
        <v>125.2</v>
      </c>
      <c r="P63" s="14">
        <v>126.7</v>
      </c>
      <c r="Q63" s="14">
        <v>124.3</v>
      </c>
      <c r="R63" s="14">
        <v>119.2</v>
      </c>
      <c r="S63" s="14">
        <v>114.5</v>
      </c>
      <c r="T63" s="14">
        <v>118.4</v>
      </c>
      <c r="U63" s="14">
        <v>116.1</v>
      </c>
      <c r="V63" s="14">
        <v>111.8</v>
      </c>
      <c r="W63" s="14">
        <v>115.5</v>
      </c>
      <c r="X63" s="14">
        <v>112.3</v>
      </c>
      <c r="Y63" s="14">
        <v>111.2</v>
      </c>
      <c r="Z63" s="14">
        <v>113.4</v>
      </c>
      <c r="AA63" s="14">
        <v>120</v>
      </c>
      <c r="AB63" s="14">
        <v>110</v>
      </c>
      <c r="AC63" s="14">
        <v>113.6</v>
      </c>
      <c r="AD63" s="15">
        <v>119.2</v>
      </c>
      <c r="AF63" s="13">
        <f>SUM('Working sheet'!$D63:$P63)</f>
        <v>1593.7000000000003</v>
      </c>
      <c r="AG63" s="14">
        <f>SUM('Working sheet'!$Q63)</f>
        <v>124.3</v>
      </c>
      <c r="AH63" s="14">
        <f>SUM('Working sheet'!$R63:$T63)</f>
        <v>352.1</v>
      </c>
      <c r="AI63" s="14">
        <f>SUM('Working sheet'!$U63)</f>
        <v>116.1</v>
      </c>
      <c r="AJ63" s="14">
        <f>SUM('Working sheet'!$V63)</f>
        <v>111.8</v>
      </c>
      <c r="AK63" s="15">
        <f>SUM('Working sheet'!$W63:$AC63)</f>
        <v>796</v>
      </c>
    </row>
    <row r="64" spans="1:37" x14ac:dyDescent="0.25">
      <c r="A64" s="16" t="s">
        <v>31</v>
      </c>
      <c r="B64" s="17">
        <v>2014</v>
      </c>
      <c r="C64" s="17" t="s">
        <v>39</v>
      </c>
      <c r="D64" s="17">
        <v>122.9</v>
      </c>
      <c r="E64" s="17">
        <v>123.5</v>
      </c>
      <c r="F64" s="17">
        <v>117.3</v>
      </c>
      <c r="G64" s="17">
        <v>122.7</v>
      </c>
      <c r="H64" s="17">
        <v>107.9</v>
      </c>
      <c r="I64" s="17">
        <v>127.3</v>
      </c>
      <c r="J64" s="17">
        <v>162.1</v>
      </c>
      <c r="K64" s="17">
        <v>115.6</v>
      </c>
      <c r="L64" s="17">
        <v>103.8</v>
      </c>
      <c r="M64" s="17">
        <v>117.6</v>
      </c>
      <c r="N64" s="17">
        <v>115.8</v>
      </c>
      <c r="O64" s="17">
        <v>123.8</v>
      </c>
      <c r="P64" s="17">
        <v>125.8</v>
      </c>
      <c r="Q64" s="17">
        <v>120.8</v>
      </c>
      <c r="R64" s="17">
        <v>120.7</v>
      </c>
      <c r="S64" s="17">
        <v>117.2</v>
      </c>
      <c r="T64" s="17">
        <v>120.1</v>
      </c>
      <c r="U64" s="17">
        <v>116.1</v>
      </c>
      <c r="V64" s="17">
        <v>114.3</v>
      </c>
      <c r="W64" s="17">
        <v>116.1</v>
      </c>
      <c r="X64" s="17">
        <v>113.7</v>
      </c>
      <c r="Y64" s="17">
        <v>112</v>
      </c>
      <c r="Z64" s="17">
        <v>113.1</v>
      </c>
      <c r="AA64" s="17">
        <v>118.6</v>
      </c>
      <c r="AB64" s="17">
        <v>109.5</v>
      </c>
      <c r="AC64" s="17">
        <v>113.7</v>
      </c>
      <c r="AD64" s="18">
        <v>120.1</v>
      </c>
      <c r="AF64" s="16">
        <f>SUM('Working sheet'!$D64:$P64)</f>
        <v>1586.0999999999997</v>
      </c>
      <c r="AG64" s="17">
        <f>SUM('Working sheet'!$Q64)</f>
        <v>120.8</v>
      </c>
      <c r="AH64" s="17">
        <f>SUM('Working sheet'!$R64:$T64)</f>
        <v>358</v>
      </c>
      <c r="AI64" s="17">
        <f>SUM('Working sheet'!$U64)</f>
        <v>116.1</v>
      </c>
      <c r="AJ64" s="17">
        <f>SUM('Working sheet'!$V64)</f>
        <v>114.3</v>
      </c>
      <c r="AK64" s="18">
        <f>SUM('Working sheet'!$W64:$AC64)</f>
        <v>796.7</v>
      </c>
    </row>
    <row r="65" spans="1:37" hidden="1" x14ac:dyDescent="0.25">
      <c r="A65" s="13" t="s">
        <v>28</v>
      </c>
      <c r="B65" s="14">
        <v>2014</v>
      </c>
      <c r="C65" s="14" t="s">
        <v>40</v>
      </c>
      <c r="D65" s="14">
        <v>122.6</v>
      </c>
      <c r="E65" s="14">
        <v>122.5</v>
      </c>
      <c r="F65" s="14">
        <v>118.3</v>
      </c>
      <c r="G65" s="14">
        <v>123.2</v>
      </c>
      <c r="H65" s="14">
        <v>110.5</v>
      </c>
      <c r="I65" s="14">
        <v>128.9</v>
      </c>
      <c r="J65" s="14">
        <v>155.30000000000001</v>
      </c>
      <c r="K65" s="14">
        <v>115.5</v>
      </c>
      <c r="L65" s="14">
        <v>104</v>
      </c>
      <c r="M65" s="14">
        <v>115.3</v>
      </c>
      <c r="N65" s="14">
        <v>116.8</v>
      </c>
      <c r="O65" s="14">
        <v>123.2</v>
      </c>
      <c r="P65" s="14">
        <v>125.1</v>
      </c>
      <c r="Q65" s="14">
        <v>120</v>
      </c>
      <c r="R65" s="14">
        <v>122.7</v>
      </c>
      <c r="S65" s="14">
        <v>120.3</v>
      </c>
      <c r="T65" s="14">
        <v>122.3</v>
      </c>
      <c r="U65" s="14">
        <v>116.9</v>
      </c>
      <c r="V65" s="14">
        <v>116.4</v>
      </c>
      <c r="W65" s="14">
        <v>117.5</v>
      </c>
      <c r="X65" s="14">
        <v>115.3</v>
      </c>
      <c r="Y65" s="14">
        <v>112.6</v>
      </c>
      <c r="Z65" s="14">
        <v>113</v>
      </c>
      <c r="AA65" s="14">
        <v>116.9</v>
      </c>
      <c r="AB65" s="14">
        <v>109.3</v>
      </c>
      <c r="AC65" s="14">
        <v>114</v>
      </c>
      <c r="AD65" s="15">
        <v>121</v>
      </c>
      <c r="AF65" s="13">
        <f>SUM('Working sheet'!$D65:$P65)</f>
        <v>1581.1999999999998</v>
      </c>
      <c r="AG65" s="14">
        <f>SUM('Working sheet'!$Q65)</f>
        <v>120</v>
      </c>
      <c r="AH65" s="14">
        <f>SUM('Working sheet'!$R65:$T65)</f>
        <v>365.3</v>
      </c>
      <c r="AI65" s="14">
        <f>SUM('Working sheet'!$U65)</f>
        <v>116.9</v>
      </c>
      <c r="AJ65" s="14">
        <f>SUM('Working sheet'!$V65)</f>
        <v>116.4</v>
      </c>
      <c r="AK65" s="15">
        <f>SUM('Working sheet'!$W65:$AC65)</f>
        <v>798.59999999999991</v>
      </c>
    </row>
    <row r="66" spans="1:37" hidden="1" x14ac:dyDescent="0.25">
      <c r="A66" s="16" t="s">
        <v>30</v>
      </c>
      <c r="B66" s="17">
        <v>2014</v>
      </c>
      <c r="C66" s="17" t="s">
        <v>40</v>
      </c>
      <c r="D66" s="17">
        <v>124.6</v>
      </c>
      <c r="E66" s="17">
        <v>126.1</v>
      </c>
      <c r="F66" s="17">
        <v>117.8</v>
      </c>
      <c r="G66" s="17">
        <v>123.1</v>
      </c>
      <c r="H66" s="17">
        <v>103.5</v>
      </c>
      <c r="I66" s="17">
        <v>123.5</v>
      </c>
      <c r="J66" s="17">
        <v>159.6</v>
      </c>
      <c r="K66" s="17">
        <v>117.4</v>
      </c>
      <c r="L66" s="17">
        <v>101.2</v>
      </c>
      <c r="M66" s="17">
        <v>123.8</v>
      </c>
      <c r="N66" s="17">
        <v>115.2</v>
      </c>
      <c r="O66" s="17">
        <v>125.9</v>
      </c>
      <c r="P66" s="17">
        <v>125.8</v>
      </c>
      <c r="Q66" s="17">
        <v>124.3</v>
      </c>
      <c r="R66" s="17">
        <v>119.6</v>
      </c>
      <c r="S66" s="17">
        <v>114.9</v>
      </c>
      <c r="T66" s="17">
        <v>118.9</v>
      </c>
      <c r="U66" s="17">
        <v>116.7</v>
      </c>
      <c r="V66" s="17">
        <v>112</v>
      </c>
      <c r="W66" s="17">
        <v>115.8</v>
      </c>
      <c r="X66" s="17">
        <v>112.6</v>
      </c>
      <c r="Y66" s="17">
        <v>111</v>
      </c>
      <c r="Z66" s="17">
        <v>113.6</v>
      </c>
      <c r="AA66" s="17">
        <v>120.2</v>
      </c>
      <c r="AB66" s="17">
        <v>110.1</v>
      </c>
      <c r="AC66" s="17">
        <v>113.7</v>
      </c>
      <c r="AD66" s="18">
        <v>119.1</v>
      </c>
      <c r="AF66" s="16">
        <f>SUM('Working sheet'!$D66:$P66)</f>
        <v>1587.5</v>
      </c>
      <c r="AG66" s="17">
        <f>SUM('Working sheet'!$Q66)</f>
        <v>124.3</v>
      </c>
      <c r="AH66" s="17">
        <f>SUM('Working sheet'!$R66:$T66)</f>
        <v>353.4</v>
      </c>
      <c r="AI66" s="17">
        <f>SUM('Working sheet'!$U66)</f>
        <v>116.7</v>
      </c>
      <c r="AJ66" s="17">
        <f>SUM('Working sheet'!$V66)</f>
        <v>112</v>
      </c>
      <c r="AK66" s="18">
        <f>SUM('Working sheet'!$W66:$AC66)</f>
        <v>797.00000000000011</v>
      </c>
    </row>
    <row r="67" spans="1:37" x14ac:dyDescent="0.25">
      <c r="A67" s="13" t="s">
        <v>31</v>
      </c>
      <c r="B67" s="14">
        <v>2014</v>
      </c>
      <c r="C67" s="14" t="s">
        <v>40</v>
      </c>
      <c r="D67" s="14">
        <v>123.2</v>
      </c>
      <c r="E67" s="14">
        <v>123.8</v>
      </c>
      <c r="F67" s="14">
        <v>118.1</v>
      </c>
      <c r="G67" s="14">
        <v>123.2</v>
      </c>
      <c r="H67" s="14">
        <v>107.9</v>
      </c>
      <c r="I67" s="14">
        <v>126.4</v>
      </c>
      <c r="J67" s="14">
        <v>156.80000000000001</v>
      </c>
      <c r="K67" s="14">
        <v>116.1</v>
      </c>
      <c r="L67" s="14">
        <v>103.1</v>
      </c>
      <c r="M67" s="14">
        <v>118.1</v>
      </c>
      <c r="N67" s="14">
        <v>116.1</v>
      </c>
      <c r="O67" s="14">
        <v>124.5</v>
      </c>
      <c r="P67" s="14">
        <v>125.4</v>
      </c>
      <c r="Q67" s="14">
        <v>121.1</v>
      </c>
      <c r="R67" s="14">
        <v>121.5</v>
      </c>
      <c r="S67" s="14">
        <v>118.1</v>
      </c>
      <c r="T67" s="14">
        <v>121</v>
      </c>
      <c r="U67" s="14">
        <v>116.7</v>
      </c>
      <c r="V67" s="14">
        <v>114.7</v>
      </c>
      <c r="W67" s="14">
        <v>116.7</v>
      </c>
      <c r="X67" s="14">
        <v>114.3</v>
      </c>
      <c r="Y67" s="14">
        <v>111.8</v>
      </c>
      <c r="Z67" s="14">
        <v>113.3</v>
      </c>
      <c r="AA67" s="14">
        <v>118.8</v>
      </c>
      <c r="AB67" s="14">
        <v>109.6</v>
      </c>
      <c r="AC67" s="14">
        <v>113.9</v>
      </c>
      <c r="AD67" s="15">
        <v>120.1</v>
      </c>
      <c r="AF67" s="13">
        <f>SUM('Working sheet'!$D67:$P67)</f>
        <v>1582.7</v>
      </c>
      <c r="AG67" s="14">
        <f>SUM('Working sheet'!$Q67)</f>
        <v>121.1</v>
      </c>
      <c r="AH67" s="14">
        <f>SUM('Working sheet'!$R67:$T67)</f>
        <v>360.6</v>
      </c>
      <c r="AI67" s="14">
        <f>SUM('Working sheet'!$U67)</f>
        <v>116.7</v>
      </c>
      <c r="AJ67" s="14">
        <f>SUM('Working sheet'!$V67)</f>
        <v>114.7</v>
      </c>
      <c r="AK67" s="15">
        <f>SUM('Working sheet'!$W67:$AC67)</f>
        <v>798.4</v>
      </c>
    </row>
    <row r="68" spans="1:37" hidden="1" x14ac:dyDescent="0.25">
      <c r="A68" s="16" t="s">
        <v>28</v>
      </c>
      <c r="B68" s="17">
        <v>2014</v>
      </c>
      <c r="C68" s="17" t="s">
        <v>42</v>
      </c>
      <c r="D68" s="17">
        <v>122.7</v>
      </c>
      <c r="E68" s="17">
        <v>122.6</v>
      </c>
      <c r="F68" s="17">
        <v>119.9</v>
      </c>
      <c r="G68" s="17">
        <v>124</v>
      </c>
      <c r="H68" s="17">
        <v>110.5</v>
      </c>
      <c r="I68" s="17">
        <v>128.80000000000001</v>
      </c>
      <c r="J68" s="17">
        <v>152</v>
      </c>
      <c r="K68" s="17">
        <v>116.2</v>
      </c>
      <c r="L68" s="17">
        <v>103.3</v>
      </c>
      <c r="M68" s="17">
        <v>115.8</v>
      </c>
      <c r="N68" s="17">
        <v>116.8</v>
      </c>
      <c r="O68" s="17">
        <v>124.5</v>
      </c>
      <c r="P68" s="17">
        <v>124.9</v>
      </c>
      <c r="Q68" s="17">
        <v>120.8</v>
      </c>
      <c r="R68" s="17">
        <v>123.3</v>
      </c>
      <c r="S68" s="17">
        <v>120.5</v>
      </c>
      <c r="T68" s="17">
        <v>122.9</v>
      </c>
      <c r="U68" s="17">
        <v>116.8</v>
      </c>
      <c r="V68" s="17">
        <v>117.3</v>
      </c>
      <c r="W68" s="17">
        <v>118.1</v>
      </c>
      <c r="X68" s="17">
        <v>115.9</v>
      </c>
      <c r="Y68" s="17">
        <v>112</v>
      </c>
      <c r="Z68" s="17">
        <v>113.3</v>
      </c>
      <c r="AA68" s="17">
        <v>117.2</v>
      </c>
      <c r="AB68" s="17">
        <v>108.8</v>
      </c>
      <c r="AC68" s="17">
        <v>114.1</v>
      </c>
      <c r="AD68" s="18">
        <v>121.1</v>
      </c>
      <c r="AF68" s="16">
        <f>SUM('Working sheet'!$D68:$P68)</f>
        <v>1582</v>
      </c>
      <c r="AG68" s="17">
        <f>SUM('Working sheet'!$Q68)</f>
        <v>120.8</v>
      </c>
      <c r="AH68" s="17">
        <f>SUM('Working sheet'!$R68:$T68)</f>
        <v>366.70000000000005</v>
      </c>
      <c r="AI68" s="17">
        <f>SUM('Working sheet'!$U68)</f>
        <v>116.8</v>
      </c>
      <c r="AJ68" s="17">
        <f>SUM('Working sheet'!$V68)</f>
        <v>117.3</v>
      </c>
      <c r="AK68" s="18">
        <f>SUM('Working sheet'!$W68:$AC68)</f>
        <v>799.4</v>
      </c>
    </row>
    <row r="69" spans="1:37" hidden="1" x14ac:dyDescent="0.25">
      <c r="A69" s="13" t="s">
        <v>30</v>
      </c>
      <c r="B69" s="14">
        <v>2014</v>
      </c>
      <c r="C69" s="14" t="s">
        <v>42</v>
      </c>
      <c r="D69" s="14">
        <v>124.5</v>
      </c>
      <c r="E69" s="14">
        <v>125.6</v>
      </c>
      <c r="F69" s="14">
        <v>122.7</v>
      </c>
      <c r="G69" s="14">
        <v>124.6</v>
      </c>
      <c r="H69" s="14">
        <v>103.2</v>
      </c>
      <c r="I69" s="14">
        <v>122.2</v>
      </c>
      <c r="J69" s="14">
        <v>153.19999999999999</v>
      </c>
      <c r="K69" s="14">
        <v>119.3</v>
      </c>
      <c r="L69" s="14">
        <v>99.8</v>
      </c>
      <c r="M69" s="14">
        <v>124.6</v>
      </c>
      <c r="N69" s="14">
        <v>115.8</v>
      </c>
      <c r="O69" s="14">
        <v>126.9</v>
      </c>
      <c r="P69" s="14">
        <v>125.4</v>
      </c>
      <c r="Q69" s="14">
        <v>125.8</v>
      </c>
      <c r="R69" s="14">
        <v>120.3</v>
      </c>
      <c r="S69" s="14">
        <v>115.4</v>
      </c>
      <c r="T69" s="14">
        <v>119.5</v>
      </c>
      <c r="U69" s="14">
        <v>117.1</v>
      </c>
      <c r="V69" s="14">
        <v>112.6</v>
      </c>
      <c r="W69" s="14">
        <v>116.4</v>
      </c>
      <c r="X69" s="14">
        <v>113</v>
      </c>
      <c r="Y69" s="14">
        <v>109.7</v>
      </c>
      <c r="Z69" s="14">
        <v>114</v>
      </c>
      <c r="AA69" s="14">
        <v>120.3</v>
      </c>
      <c r="AB69" s="14">
        <v>109.6</v>
      </c>
      <c r="AC69" s="14">
        <v>113.4</v>
      </c>
      <c r="AD69" s="15">
        <v>119</v>
      </c>
      <c r="AF69" s="13">
        <f>SUM('Working sheet'!$D69:$P69)</f>
        <v>1587.8</v>
      </c>
      <c r="AG69" s="14">
        <f>SUM('Working sheet'!$Q69)</f>
        <v>125.8</v>
      </c>
      <c r="AH69" s="14">
        <f>SUM('Working sheet'!$R69:$T69)</f>
        <v>355.2</v>
      </c>
      <c r="AI69" s="14">
        <f>SUM('Working sheet'!$U69)</f>
        <v>117.1</v>
      </c>
      <c r="AJ69" s="14">
        <f>SUM('Working sheet'!$V69)</f>
        <v>112.6</v>
      </c>
      <c r="AK69" s="15">
        <f>SUM('Working sheet'!$W69:$AC69)</f>
        <v>796.4</v>
      </c>
    </row>
    <row r="70" spans="1:37" x14ac:dyDescent="0.25">
      <c r="A70" s="16" t="s">
        <v>31</v>
      </c>
      <c r="B70" s="17">
        <v>2014</v>
      </c>
      <c r="C70" s="17" t="s">
        <v>42</v>
      </c>
      <c r="D70" s="17">
        <v>123.3</v>
      </c>
      <c r="E70" s="17">
        <v>123.7</v>
      </c>
      <c r="F70" s="17">
        <v>121</v>
      </c>
      <c r="G70" s="17">
        <v>124.2</v>
      </c>
      <c r="H70" s="17">
        <v>107.8</v>
      </c>
      <c r="I70" s="17">
        <v>125.7</v>
      </c>
      <c r="J70" s="17">
        <v>152.4</v>
      </c>
      <c r="K70" s="17">
        <v>117.2</v>
      </c>
      <c r="L70" s="17">
        <v>102.1</v>
      </c>
      <c r="M70" s="17">
        <v>118.7</v>
      </c>
      <c r="N70" s="17">
        <v>116.4</v>
      </c>
      <c r="O70" s="17">
        <v>125.6</v>
      </c>
      <c r="P70" s="17">
        <v>125.1</v>
      </c>
      <c r="Q70" s="17">
        <v>122.1</v>
      </c>
      <c r="R70" s="17">
        <v>122.1</v>
      </c>
      <c r="S70" s="17">
        <v>118.4</v>
      </c>
      <c r="T70" s="17">
        <v>121.6</v>
      </c>
      <c r="U70" s="17">
        <v>117.1</v>
      </c>
      <c r="V70" s="17">
        <v>115.5</v>
      </c>
      <c r="W70" s="17">
        <v>117.3</v>
      </c>
      <c r="X70" s="17">
        <v>114.8</v>
      </c>
      <c r="Y70" s="17">
        <v>110.8</v>
      </c>
      <c r="Z70" s="17">
        <v>113.7</v>
      </c>
      <c r="AA70" s="17">
        <v>119</v>
      </c>
      <c r="AB70" s="17">
        <v>109.1</v>
      </c>
      <c r="AC70" s="17">
        <v>113.8</v>
      </c>
      <c r="AD70" s="18">
        <v>120.1</v>
      </c>
      <c r="AF70" s="16">
        <f>SUM('Working sheet'!$D70:$P70)</f>
        <v>1583.2</v>
      </c>
      <c r="AG70" s="17">
        <f>SUM('Working sheet'!$Q70)</f>
        <v>122.1</v>
      </c>
      <c r="AH70" s="17">
        <f>SUM('Working sheet'!$R70:$T70)</f>
        <v>362.1</v>
      </c>
      <c r="AI70" s="17">
        <f>SUM('Working sheet'!$U70)</f>
        <v>117.1</v>
      </c>
      <c r="AJ70" s="17">
        <f>SUM('Working sheet'!$V70)</f>
        <v>115.5</v>
      </c>
      <c r="AK70" s="18">
        <f>SUM('Working sheet'!$W70:$AC70)</f>
        <v>798.49999999999989</v>
      </c>
    </row>
    <row r="71" spans="1:37" hidden="1" x14ac:dyDescent="0.25">
      <c r="A71" s="13" t="s">
        <v>28</v>
      </c>
      <c r="B71" s="14">
        <v>2014</v>
      </c>
      <c r="C71" s="14" t="s">
        <v>43</v>
      </c>
      <c r="D71" s="14">
        <v>122.4</v>
      </c>
      <c r="E71" s="14">
        <v>122.4</v>
      </c>
      <c r="F71" s="14">
        <v>121.8</v>
      </c>
      <c r="G71" s="14">
        <v>124.2</v>
      </c>
      <c r="H71" s="14">
        <v>110.2</v>
      </c>
      <c r="I71" s="14">
        <v>128.6</v>
      </c>
      <c r="J71" s="14">
        <v>140.30000000000001</v>
      </c>
      <c r="K71" s="14">
        <v>116.3</v>
      </c>
      <c r="L71" s="14">
        <v>102</v>
      </c>
      <c r="M71" s="14">
        <v>116</v>
      </c>
      <c r="N71" s="14">
        <v>117.3</v>
      </c>
      <c r="O71" s="14">
        <v>124.8</v>
      </c>
      <c r="P71" s="14">
        <v>123.3</v>
      </c>
      <c r="Q71" s="14">
        <v>121.7</v>
      </c>
      <c r="R71" s="14">
        <v>123.8</v>
      </c>
      <c r="S71" s="14">
        <v>120.6</v>
      </c>
      <c r="T71" s="14">
        <v>123.3</v>
      </c>
      <c r="U71" s="14">
        <v>116.9</v>
      </c>
      <c r="V71" s="14">
        <v>117.4</v>
      </c>
      <c r="W71" s="14">
        <v>118.2</v>
      </c>
      <c r="X71" s="14">
        <v>116.2</v>
      </c>
      <c r="Y71" s="14">
        <v>111.5</v>
      </c>
      <c r="Z71" s="14">
        <v>113.3</v>
      </c>
      <c r="AA71" s="14">
        <v>117.7</v>
      </c>
      <c r="AB71" s="14">
        <v>109.4</v>
      </c>
      <c r="AC71" s="14">
        <v>114.2</v>
      </c>
      <c r="AD71" s="15">
        <v>120.3</v>
      </c>
      <c r="AF71" s="13">
        <f>SUM('Working sheet'!$D71:$P71)</f>
        <v>1569.6</v>
      </c>
      <c r="AG71" s="14">
        <f>SUM('Working sheet'!$Q71)</f>
        <v>121.7</v>
      </c>
      <c r="AH71" s="14">
        <f>SUM('Working sheet'!$R71:$T71)</f>
        <v>367.7</v>
      </c>
      <c r="AI71" s="14">
        <f>SUM('Working sheet'!$U71)</f>
        <v>116.9</v>
      </c>
      <c r="AJ71" s="14">
        <f>SUM('Working sheet'!$V71)</f>
        <v>117.4</v>
      </c>
      <c r="AK71" s="15">
        <f>SUM('Working sheet'!$W71:$AC71)</f>
        <v>800.5</v>
      </c>
    </row>
    <row r="72" spans="1:37" hidden="1" x14ac:dyDescent="0.25">
      <c r="A72" s="16" t="s">
        <v>30</v>
      </c>
      <c r="B72" s="17">
        <v>2014</v>
      </c>
      <c r="C72" s="17" t="s">
        <v>43</v>
      </c>
      <c r="D72" s="17">
        <v>124</v>
      </c>
      <c r="E72" s="17">
        <v>124.7</v>
      </c>
      <c r="F72" s="17">
        <v>126.3</v>
      </c>
      <c r="G72" s="17">
        <v>124.9</v>
      </c>
      <c r="H72" s="17">
        <v>103</v>
      </c>
      <c r="I72" s="17">
        <v>122.3</v>
      </c>
      <c r="J72" s="17">
        <v>141</v>
      </c>
      <c r="K72" s="17">
        <v>120.1</v>
      </c>
      <c r="L72" s="17">
        <v>97.8</v>
      </c>
      <c r="M72" s="17">
        <v>125.4</v>
      </c>
      <c r="N72" s="17">
        <v>116.1</v>
      </c>
      <c r="O72" s="17">
        <v>127.6</v>
      </c>
      <c r="P72" s="17">
        <v>124</v>
      </c>
      <c r="Q72" s="17">
        <v>126.4</v>
      </c>
      <c r="R72" s="17">
        <v>120.7</v>
      </c>
      <c r="S72" s="17">
        <v>115.8</v>
      </c>
      <c r="T72" s="17">
        <v>120</v>
      </c>
      <c r="U72" s="17">
        <v>116.5</v>
      </c>
      <c r="V72" s="17">
        <v>113</v>
      </c>
      <c r="W72" s="17">
        <v>116.8</v>
      </c>
      <c r="X72" s="17">
        <v>113.2</v>
      </c>
      <c r="Y72" s="17">
        <v>108.8</v>
      </c>
      <c r="Z72" s="17">
        <v>114.3</v>
      </c>
      <c r="AA72" s="17">
        <v>120.7</v>
      </c>
      <c r="AB72" s="17">
        <v>110.4</v>
      </c>
      <c r="AC72" s="17">
        <v>113.4</v>
      </c>
      <c r="AD72" s="18">
        <v>118.4</v>
      </c>
      <c r="AF72" s="16">
        <f>SUM('Working sheet'!$D72:$P72)</f>
        <v>1577.1999999999998</v>
      </c>
      <c r="AG72" s="17">
        <f>SUM('Working sheet'!$Q72)</f>
        <v>126.4</v>
      </c>
      <c r="AH72" s="17">
        <f>SUM('Working sheet'!$R72:$T72)</f>
        <v>356.5</v>
      </c>
      <c r="AI72" s="17">
        <f>SUM('Working sheet'!$U72)</f>
        <v>116.5</v>
      </c>
      <c r="AJ72" s="17">
        <f>SUM('Working sheet'!$V72)</f>
        <v>113</v>
      </c>
      <c r="AK72" s="18">
        <f>SUM('Working sheet'!$W72:$AC72)</f>
        <v>797.6</v>
      </c>
    </row>
    <row r="73" spans="1:37" x14ac:dyDescent="0.25">
      <c r="A73" s="13" t="s">
        <v>31</v>
      </c>
      <c r="B73" s="14">
        <v>2014</v>
      </c>
      <c r="C73" s="14" t="s">
        <v>43</v>
      </c>
      <c r="D73" s="14">
        <v>122.9</v>
      </c>
      <c r="E73" s="14">
        <v>123.2</v>
      </c>
      <c r="F73" s="14">
        <v>123.5</v>
      </c>
      <c r="G73" s="14">
        <v>124.5</v>
      </c>
      <c r="H73" s="14">
        <v>107.6</v>
      </c>
      <c r="I73" s="14">
        <v>125.7</v>
      </c>
      <c r="J73" s="14">
        <v>140.5</v>
      </c>
      <c r="K73" s="14">
        <v>117.6</v>
      </c>
      <c r="L73" s="14">
        <v>100.6</v>
      </c>
      <c r="M73" s="14">
        <v>119.1</v>
      </c>
      <c r="N73" s="14">
        <v>116.8</v>
      </c>
      <c r="O73" s="14">
        <v>126.1</v>
      </c>
      <c r="P73" s="14">
        <v>123.6</v>
      </c>
      <c r="Q73" s="14">
        <v>123</v>
      </c>
      <c r="R73" s="14">
        <v>122.6</v>
      </c>
      <c r="S73" s="14">
        <v>118.6</v>
      </c>
      <c r="T73" s="14">
        <v>122</v>
      </c>
      <c r="U73" s="14">
        <v>116.5</v>
      </c>
      <c r="V73" s="14">
        <v>115.7</v>
      </c>
      <c r="W73" s="14">
        <v>117.5</v>
      </c>
      <c r="X73" s="14">
        <v>115.1</v>
      </c>
      <c r="Y73" s="14">
        <v>110.1</v>
      </c>
      <c r="Z73" s="14">
        <v>113.9</v>
      </c>
      <c r="AA73" s="14">
        <v>119.5</v>
      </c>
      <c r="AB73" s="14">
        <v>109.8</v>
      </c>
      <c r="AC73" s="14">
        <v>113.8</v>
      </c>
      <c r="AD73" s="15">
        <v>119.4</v>
      </c>
      <c r="AF73" s="13">
        <f>SUM('Working sheet'!$D73:$P73)</f>
        <v>1571.6999999999998</v>
      </c>
      <c r="AG73" s="14">
        <f>SUM('Working sheet'!$Q73)</f>
        <v>123</v>
      </c>
      <c r="AH73" s="14">
        <f>SUM('Working sheet'!$R73:$T73)</f>
        <v>363.2</v>
      </c>
      <c r="AI73" s="14">
        <f>SUM('Working sheet'!$U73)</f>
        <v>116.5</v>
      </c>
      <c r="AJ73" s="14">
        <f>SUM('Working sheet'!$V73)</f>
        <v>115.7</v>
      </c>
      <c r="AK73" s="15">
        <f>SUM('Working sheet'!$W73:$AC73)</f>
        <v>799.69999999999993</v>
      </c>
    </row>
    <row r="74" spans="1:37" hidden="1" x14ac:dyDescent="0.25">
      <c r="A74" s="16" t="s">
        <v>28</v>
      </c>
      <c r="B74" s="17">
        <v>2015</v>
      </c>
      <c r="C74" s="17" t="s">
        <v>29</v>
      </c>
      <c r="D74" s="17">
        <v>123.1</v>
      </c>
      <c r="E74" s="17">
        <v>123.1</v>
      </c>
      <c r="F74" s="17">
        <v>122.1</v>
      </c>
      <c r="G74" s="17">
        <v>124.9</v>
      </c>
      <c r="H74" s="17">
        <v>111</v>
      </c>
      <c r="I74" s="17">
        <v>130.4</v>
      </c>
      <c r="J74" s="17">
        <v>132.30000000000001</v>
      </c>
      <c r="K74" s="17">
        <v>117.2</v>
      </c>
      <c r="L74" s="17">
        <v>100.5</v>
      </c>
      <c r="M74" s="17">
        <v>117.2</v>
      </c>
      <c r="N74" s="17">
        <v>117.9</v>
      </c>
      <c r="O74" s="17">
        <v>125.6</v>
      </c>
      <c r="P74" s="17">
        <v>122.8</v>
      </c>
      <c r="Q74" s="17">
        <v>122.7</v>
      </c>
      <c r="R74" s="17">
        <v>124.4</v>
      </c>
      <c r="S74" s="17">
        <v>121.6</v>
      </c>
      <c r="T74" s="17">
        <v>124</v>
      </c>
      <c r="U74" s="17">
        <v>117.7</v>
      </c>
      <c r="V74" s="17">
        <v>118.4</v>
      </c>
      <c r="W74" s="17">
        <v>118.9</v>
      </c>
      <c r="X74" s="17">
        <v>116.6</v>
      </c>
      <c r="Y74" s="17">
        <v>111</v>
      </c>
      <c r="Z74" s="17">
        <v>114</v>
      </c>
      <c r="AA74" s="17">
        <v>118.2</v>
      </c>
      <c r="AB74" s="17">
        <v>110.2</v>
      </c>
      <c r="AC74" s="17">
        <v>114.5</v>
      </c>
      <c r="AD74" s="18">
        <v>120.3</v>
      </c>
      <c r="AF74" s="16">
        <f>SUM('Working sheet'!$D74:$P74)</f>
        <v>1568.1</v>
      </c>
      <c r="AG74" s="17">
        <f>SUM('Working sheet'!$Q74)</f>
        <v>122.7</v>
      </c>
      <c r="AH74" s="17">
        <f>SUM('Working sheet'!$R74:$T74)</f>
        <v>370</v>
      </c>
      <c r="AI74" s="17">
        <f>SUM('Working sheet'!$U74)</f>
        <v>117.7</v>
      </c>
      <c r="AJ74" s="17">
        <f>SUM('Working sheet'!$V74)</f>
        <v>118.4</v>
      </c>
      <c r="AK74" s="18">
        <f>SUM('Working sheet'!$W74:$AC74)</f>
        <v>803.40000000000009</v>
      </c>
    </row>
    <row r="75" spans="1:37" hidden="1" x14ac:dyDescent="0.25">
      <c r="A75" s="13" t="s">
        <v>30</v>
      </c>
      <c r="B75" s="14">
        <v>2015</v>
      </c>
      <c r="C75" s="14" t="s">
        <v>29</v>
      </c>
      <c r="D75" s="14">
        <v>124</v>
      </c>
      <c r="E75" s="14">
        <v>125.5</v>
      </c>
      <c r="F75" s="14">
        <v>126.6</v>
      </c>
      <c r="G75" s="14">
        <v>125.2</v>
      </c>
      <c r="H75" s="14">
        <v>104.3</v>
      </c>
      <c r="I75" s="14">
        <v>121.3</v>
      </c>
      <c r="J75" s="14">
        <v>134.4</v>
      </c>
      <c r="K75" s="14">
        <v>122.9</v>
      </c>
      <c r="L75" s="14">
        <v>96.1</v>
      </c>
      <c r="M75" s="14">
        <v>126.6</v>
      </c>
      <c r="N75" s="14">
        <v>116.5</v>
      </c>
      <c r="O75" s="14">
        <v>128</v>
      </c>
      <c r="P75" s="14">
        <v>123.5</v>
      </c>
      <c r="Q75" s="14">
        <v>127.4</v>
      </c>
      <c r="R75" s="14">
        <v>121</v>
      </c>
      <c r="S75" s="14">
        <v>116.1</v>
      </c>
      <c r="T75" s="14">
        <v>120.2</v>
      </c>
      <c r="U75" s="14">
        <v>117.3</v>
      </c>
      <c r="V75" s="14">
        <v>113.4</v>
      </c>
      <c r="W75" s="14">
        <v>117.2</v>
      </c>
      <c r="X75" s="14">
        <v>113.7</v>
      </c>
      <c r="Y75" s="14">
        <v>107.9</v>
      </c>
      <c r="Z75" s="14">
        <v>114.6</v>
      </c>
      <c r="AA75" s="14">
        <v>120.8</v>
      </c>
      <c r="AB75" s="14">
        <v>111.4</v>
      </c>
      <c r="AC75" s="14">
        <v>113.4</v>
      </c>
      <c r="AD75" s="15">
        <v>118.5</v>
      </c>
      <c r="AF75" s="13">
        <f>SUM('Working sheet'!$D75:$P75)</f>
        <v>1574.8999999999999</v>
      </c>
      <c r="AG75" s="14">
        <f>SUM('Working sheet'!$Q75)</f>
        <v>127.4</v>
      </c>
      <c r="AH75" s="14">
        <f>SUM('Working sheet'!$R75:$T75)</f>
        <v>357.3</v>
      </c>
      <c r="AI75" s="14">
        <f>SUM('Working sheet'!$U75)</f>
        <v>117.3</v>
      </c>
      <c r="AJ75" s="14">
        <f>SUM('Working sheet'!$V75)</f>
        <v>113.4</v>
      </c>
      <c r="AK75" s="15">
        <f>SUM('Working sheet'!$W75:$AC75)</f>
        <v>798.99999999999989</v>
      </c>
    </row>
    <row r="76" spans="1:37" x14ac:dyDescent="0.25">
      <c r="A76" s="16" t="s">
        <v>31</v>
      </c>
      <c r="B76" s="17">
        <v>2015</v>
      </c>
      <c r="C76" s="17" t="s">
        <v>29</v>
      </c>
      <c r="D76" s="17">
        <v>123.4</v>
      </c>
      <c r="E76" s="17">
        <v>123.9</v>
      </c>
      <c r="F76" s="17">
        <v>123.8</v>
      </c>
      <c r="G76" s="17">
        <v>125</v>
      </c>
      <c r="H76" s="17">
        <v>108.5</v>
      </c>
      <c r="I76" s="17">
        <v>126.2</v>
      </c>
      <c r="J76" s="17">
        <v>133</v>
      </c>
      <c r="K76" s="17">
        <v>119.1</v>
      </c>
      <c r="L76" s="17">
        <v>99</v>
      </c>
      <c r="M76" s="17">
        <v>120.3</v>
      </c>
      <c r="N76" s="17">
        <v>117.3</v>
      </c>
      <c r="O76" s="17">
        <v>126.7</v>
      </c>
      <c r="P76" s="17">
        <v>123.1</v>
      </c>
      <c r="Q76" s="17">
        <v>124</v>
      </c>
      <c r="R76" s="17">
        <v>123.1</v>
      </c>
      <c r="S76" s="17">
        <v>119.3</v>
      </c>
      <c r="T76" s="17">
        <v>122.5</v>
      </c>
      <c r="U76" s="17">
        <v>117.3</v>
      </c>
      <c r="V76" s="17">
        <v>116.5</v>
      </c>
      <c r="W76" s="17">
        <v>118.1</v>
      </c>
      <c r="X76" s="17">
        <v>115.5</v>
      </c>
      <c r="Y76" s="17">
        <v>109.4</v>
      </c>
      <c r="Z76" s="17">
        <v>114.3</v>
      </c>
      <c r="AA76" s="17">
        <v>119.7</v>
      </c>
      <c r="AB76" s="17">
        <v>110.7</v>
      </c>
      <c r="AC76" s="17">
        <v>114</v>
      </c>
      <c r="AD76" s="18">
        <v>119.5</v>
      </c>
      <c r="AF76" s="16">
        <f>SUM('Working sheet'!$D76:$P76)</f>
        <v>1569.3</v>
      </c>
      <c r="AG76" s="17">
        <f>SUM('Working sheet'!$Q76)</f>
        <v>124</v>
      </c>
      <c r="AH76" s="17">
        <f>SUM('Working sheet'!$R76:$T76)</f>
        <v>364.9</v>
      </c>
      <c r="AI76" s="17">
        <f>SUM('Working sheet'!$U76)</f>
        <v>117.3</v>
      </c>
      <c r="AJ76" s="17">
        <f>SUM('Working sheet'!$V76)</f>
        <v>116.5</v>
      </c>
      <c r="AK76" s="18">
        <f>SUM('Working sheet'!$W76:$AC76)</f>
        <v>801.7</v>
      </c>
    </row>
    <row r="77" spans="1:37" hidden="1" x14ac:dyDescent="0.25">
      <c r="A77" s="13" t="s">
        <v>28</v>
      </c>
      <c r="B77" s="14">
        <v>2015</v>
      </c>
      <c r="C77" s="14" t="s">
        <v>32</v>
      </c>
      <c r="D77" s="14">
        <v>123.4</v>
      </c>
      <c r="E77" s="14">
        <v>124.4</v>
      </c>
      <c r="F77" s="14">
        <v>122.1</v>
      </c>
      <c r="G77" s="14">
        <v>125.8</v>
      </c>
      <c r="H77" s="14">
        <v>111.5</v>
      </c>
      <c r="I77" s="14">
        <v>129.4</v>
      </c>
      <c r="J77" s="14">
        <v>128.19999999999999</v>
      </c>
      <c r="K77" s="14">
        <v>118.8</v>
      </c>
      <c r="L77" s="14">
        <v>100</v>
      </c>
      <c r="M77" s="14">
        <v>118.6</v>
      </c>
      <c r="N77" s="14">
        <v>118.8</v>
      </c>
      <c r="O77" s="14">
        <v>126.8</v>
      </c>
      <c r="P77" s="14">
        <v>122.8</v>
      </c>
      <c r="Q77" s="14">
        <v>124.2</v>
      </c>
      <c r="R77" s="14">
        <v>125.4</v>
      </c>
      <c r="S77" s="14">
        <v>122.7</v>
      </c>
      <c r="T77" s="14">
        <v>125</v>
      </c>
      <c r="U77" s="14">
        <v>118.4</v>
      </c>
      <c r="V77" s="14">
        <v>120</v>
      </c>
      <c r="W77" s="14">
        <v>119.6</v>
      </c>
      <c r="X77" s="14">
        <v>117.7</v>
      </c>
      <c r="Y77" s="14">
        <v>110.9</v>
      </c>
      <c r="Z77" s="14">
        <v>114.8</v>
      </c>
      <c r="AA77" s="14">
        <v>118.7</v>
      </c>
      <c r="AB77" s="14">
        <v>110.8</v>
      </c>
      <c r="AC77" s="14">
        <v>115</v>
      </c>
      <c r="AD77" s="15">
        <v>120.6</v>
      </c>
      <c r="AF77" s="13">
        <f>SUM('Working sheet'!$D77:$P77)</f>
        <v>1570.5999999999997</v>
      </c>
      <c r="AG77" s="14">
        <f>SUM('Working sheet'!$Q77)</f>
        <v>124.2</v>
      </c>
      <c r="AH77" s="14">
        <f>SUM('Working sheet'!$R77:$T77)</f>
        <v>373.1</v>
      </c>
      <c r="AI77" s="14">
        <f>SUM('Working sheet'!$U77)</f>
        <v>118.4</v>
      </c>
      <c r="AJ77" s="14">
        <f>SUM('Working sheet'!$V77)</f>
        <v>120</v>
      </c>
      <c r="AK77" s="15">
        <f>SUM('Working sheet'!$W77:$AC77)</f>
        <v>807.5</v>
      </c>
    </row>
    <row r="78" spans="1:37" hidden="1" x14ac:dyDescent="0.25">
      <c r="A78" s="16" t="s">
        <v>30</v>
      </c>
      <c r="B78" s="17">
        <v>2015</v>
      </c>
      <c r="C78" s="17" t="s">
        <v>32</v>
      </c>
      <c r="D78" s="17">
        <v>124.3</v>
      </c>
      <c r="E78" s="17">
        <v>126.5</v>
      </c>
      <c r="F78" s="17">
        <v>119.5</v>
      </c>
      <c r="G78" s="17">
        <v>125.6</v>
      </c>
      <c r="H78" s="17">
        <v>104.9</v>
      </c>
      <c r="I78" s="17">
        <v>121.6</v>
      </c>
      <c r="J78" s="17">
        <v>131.80000000000001</v>
      </c>
      <c r="K78" s="17">
        <v>125.1</v>
      </c>
      <c r="L78" s="17">
        <v>95</v>
      </c>
      <c r="M78" s="17">
        <v>127.7</v>
      </c>
      <c r="N78" s="17">
        <v>116.8</v>
      </c>
      <c r="O78" s="17">
        <v>128.6</v>
      </c>
      <c r="P78" s="17">
        <v>123.7</v>
      </c>
      <c r="Q78" s="17">
        <v>128.1</v>
      </c>
      <c r="R78" s="17">
        <v>121.3</v>
      </c>
      <c r="S78" s="17">
        <v>116.5</v>
      </c>
      <c r="T78" s="17">
        <v>120.6</v>
      </c>
      <c r="U78" s="17">
        <v>118.1</v>
      </c>
      <c r="V78" s="17">
        <v>114</v>
      </c>
      <c r="W78" s="17">
        <v>117.7</v>
      </c>
      <c r="X78" s="17">
        <v>114.1</v>
      </c>
      <c r="Y78" s="17">
        <v>106.8</v>
      </c>
      <c r="Z78" s="17">
        <v>114.9</v>
      </c>
      <c r="AA78" s="17">
        <v>120.4</v>
      </c>
      <c r="AB78" s="17">
        <v>111.7</v>
      </c>
      <c r="AC78" s="17">
        <v>113.2</v>
      </c>
      <c r="AD78" s="18">
        <v>118.7</v>
      </c>
      <c r="AF78" s="16">
        <f>SUM('Working sheet'!$D78:$P78)</f>
        <v>1571.1000000000001</v>
      </c>
      <c r="AG78" s="17">
        <f>SUM('Working sheet'!$Q78)</f>
        <v>128.1</v>
      </c>
      <c r="AH78" s="17">
        <f>SUM('Working sheet'!$R78:$T78)</f>
        <v>358.4</v>
      </c>
      <c r="AI78" s="17">
        <f>SUM('Working sheet'!$U78)</f>
        <v>118.1</v>
      </c>
      <c r="AJ78" s="17">
        <f>SUM('Working sheet'!$V78)</f>
        <v>114</v>
      </c>
      <c r="AK78" s="18">
        <f>SUM('Working sheet'!$W78:$AC78)</f>
        <v>798.80000000000007</v>
      </c>
    </row>
    <row r="79" spans="1:37" x14ac:dyDescent="0.25">
      <c r="A79" s="13" t="s">
        <v>31</v>
      </c>
      <c r="B79" s="14">
        <v>2015</v>
      </c>
      <c r="C79" s="14" t="s">
        <v>32</v>
      </c>
      <c r="D79" s="14">
        <v>123.7</v>
      </c>
      <c r="E79" s="14">
        <v>125.1</v>
      </c>
      <c r="F79" s="14">
        <v>121.1</v>
      </c>
      <c r="G79" s="14">
        <v>125.7</v>
      </c>
      <c r="H79" s="14">
        <v>109.1</v>
      </c>
      <c r="I79" s="14">
        <v>125.8</v>
      </c>
      <c r="J79" s="14">
        <v>129.4</v>
      </c>
      <c r="K79" s="14">
        <v>120.9</v>
      </c>
      <c r="L79" s="14">
        <v>98.3</v>
      </c>
      <c r="M79" s="14">
        <v>121.6</v>
      </c>
      <c r="N79" s="14">
        <v>118</v>
      </c>
      <c r="O79" s="14">
        <v>127.6</v>
      </c>
      <c r="P79" s="14">
        <v>123.1</v>
      </c>
      <c r="Q79" s="14">
        <v>125.2</v>
      </c>
      <c r="R79" s="14">
        <v>123.8</v>
      </c>
      <c r="S79" s="14">
        <v>120.1</v>
      </c>
      <c r="T79" s="14">
        <v>123.3</v>
      </c>
      <c r="U79" s="14">
        <v>118.1</v>
      </c>
      <c r="V79" s="14">
        <v>117.7</v>
      </c>
      <c r="W79" s="14">
        <v>118.7</v>
      </c>
      <c r="X79" s="14">
        <v>116.3</v>
      </c>
      <c r="Y79" s="14">
        <v>108.7</v>
      </c>
      <c r="Z79" s="14">
        <v>114.9</v>
      </c>
      <c r="AA79" s="14">
        <v>119.7</v>
      </c>
      <c r="AB79" s="14">
        <v>111.2</v>
      </c>
      <c r="AC79" s="14">
        <v>114.1</v>
      </c>
      <c r="AD79" s="15">
        <v>119.7</v>
      </c>
      <c r="AF79" s="13">
        <f>SUM('Working sheet'!$D79:$P79)</f>
        <v>1569.3999999999996</v>
      </c>
      <c r="AG79" s="14">
        <f>SUM('Working sheet'!$Q79)</f>
        <v>125.2</v>
      </c>
      <c r="AH79" s="14">
        <f>SUM('Working sheet'!$R79:$T79)</f>
        <v>367.2</v>
      </c>
      <c r="AI79" s="14">
        <f>SUM('Working sheet'!$U79)</f>
        <v>118.1</v>
      </c>
      <c r="AJ79" s="14">
        <f>SUM('Working sheet'!$V79)</f>
        <v>117.7</v>
      </c>
      <c r="AK79" s="15">
        <f>SUM('Working sheet'!$W79:$AC79)</f>
        <v>803.60000000000014</v>
      </c>
    </row>
    <row r="80" spans="1:37" hidden="1" x14ac:dyDescent="0.25">
      <c r="A80" s="16" t="s">
        <v>28</v>
      </c>
      <c r="B80" s="17">
        <v>2015</v>
      </c>
      <c r="C80" s="17" t="s">
        <v>33</v>
      </c>
      <c r="D80" s="17">
        <v>123.3</v>
      </c>
      <c r="E80" s="17">
        <v>124.7</v>
      </c>
      <c r="F80" s="17">
        <v>118.9</v>
      </c>
      <c r="G80" s="17">
        <v>126</v>
      </c>
      <c r="H80" s="17">
        <v>111.8</v>
      </c>
      <c r="I80" s="17">
        <v>130.9</v>
      </c>
      <c r="J80" s="17">
        <v>128</v>
      </c>
      <c r="K80" s="17">
        <v>119.9</v>
      </c>
      <c r="L80" s="17">
        <v>98.9</v>
      </c>
      <c r="M80" s="17">
        <v>119.4</v>
      </c>
      <c r="N80" s="17">
        <v>118.9</v>
      </c>
      <c r="O80" s="17">
        <v>127.7</v>
      </c>
      <c r="P80" s="17">
        <v>123.1</v>
      </c>
      <c r="Q80" s="17">
        <v>124.7</v>
      </c>
      <c r="R80" s="17">
        <v>126</v>
      </c>
      <c r="S80" s="17">
        <v>122.9</v>
      </c>
      <c r="T80" s="17">
        <v>125.5</v>
      </c>
      <c r="U80" s="17">
        <v>118.9</v>
      </c>
      <c r="V80" s="17">
        <v>120.6</v>
      </c>
      <c r="W80" s="17">
        <v>120.2</v>
      </c>
      <c r="X80" s="17">
        <v>118.2</v>
      </c>
      <c r="Y80" s="17">
        <v>111.6</v>
      </c>
      <c r="Z80" s="17">
        <v>115.5</v>
      </c>
      <c r="AA80" s="17">
        <v>119.4</v>
      </c>
      <c r="AB80" s="17">
        <v>110.8</v>
      </c>
      <c r="AC80" s="17">
        <v>115.5</v>
      </c>
      <c r="AD80" s="18">
        <v>121.1</v>
      </c>
      <c r="AF80" s="16">
        <f>SUM('Working sheet'!$D80:$P80)</f>
        <v>1571.5</v>
      </c>
      <c r="AG80" s="17">
        <f>SUM('Working sheet'!$Q80)</f>
        <v>124.7</v>
      </c>
      <c r="AH80" s="17">
        <f>SUM('Working sheet'!$R80:$T80)</f>
        <v>374.4</v>
      </c>
      <c r="AI80" s="17">
        <f>SUM('Working sheet'!$U80)</f>
        <v>118.9</v>
      </c>
      <c r="AJ80" s="17">
        <f>SUM('Working sheet'!$V80)</f>
        <v>120.6</v>
      </c>
      <c r="AK80" s="18">
        <f>SUM('Working sheet'!$W80:$AC80)</f>
        <v>811.19999999999993</v>
      </c>
    </row>
    <row r="81" spans="1:37" hidden="1" x14ac:dyDescent="0.25">
      <c r="A81" s="13" t="s">
        <v>30</v>
      </c>
      <c r="B81" s="14">
        <v>2015</v>
      </c>
      <c r="C81" s="14" t="s">
        <v>33</v>
      </c>
      <c r="D81" s="14">
        <v>124</v>
      </c>
      <c r="E81" s="14">
        <v>126.7</v>
      </c>
      <c r="F81" s="14">
        <v>113.5</v>
      </c>
      <c r="G81" s="14">
        <v>125.9</v>
      </c>
      <c r="H81" s="14">
        <v>104.8</v>
      </c>
      <c r="I81" s="14">
        <v>123.8</v>
      </c>
      <c r="J81" s="14">
        <v>131.4</v>
      </c>
      <c r="K81" s="14">
        <v>127.2</v>
      </c>
      <c r="L81" s="14">
        <v>93.2</v>
      </c>
      <c r="M81" s="14">
        <v>127.4</v>
      </c>
      <c r="N81" s="14">
        <v>117</v>
      </c>
      <c r="O81" s="14">
        <v>129.19999999999999</v>
      </c>
      <c r="P81" s="14">
        <v>123.9</v>
      </c>
      <c r="Q81" s="14">
        <v>128.80000000000001</v>
      </c>
      <c r="R81" s="14">
        <v>121.7</v>
      </c>
      <c r="S81" s="14">
        <v>116.9</v>
      </c>
      <c r="T81" s="14">
        <v>120.9</v>
      </c>
      <c r="U81" s="14">
        <v>118.6</v>
      </c>
      <c r="V81" s="14">
        <v>114.4</v>
      </c>
      <c r="W81" s="14">
        <v>118</v>
      </c>
      <c r="X81" s="14">
        <v>114.3</v>
      </c>
      <c r="Y81" s="14">
        <v>108.4</v>
      </c>
      <c r="Z81" s="14">
        <v>115.4</v>
      </c>
      <c r="AA81" s="14">
        <v>120.6</v>
      </c>
      <c r="AB81" s="14">
        <v>111.3</v>
      </c>
      <c r="AC81" s="14">
        <v>113.8</v>
      </c>
      <c r="AD81" s="15">
        <v>119.1</v>
      </c>
      <c r="AF81" s="13">
        <f>SUM('Working sheet'!$D81:$P81)</f>
        <v>1568.0000000000002</v>
      </c>
      <c r="AG81" s="14">
        <f>SUM('Working sheet'!$Q81)</f>
        <v>128.80000000000001</v>
      </c>
      <c r="AH81" s="14">
        <f>SUM('Working sheet'!$R81:$T81)</f>
        <v>359.5</v>
      </c>
      <c r="AI81" s="14">
        <f>SUM('Working sheet'!$U81)</f>
        <v>118.6</v>
      </c>
      <c r="AJ81" s="14">
        <f>SUM('Working sheet'!$V81)</f>
        <v>114.4</v>
      </c>
      <c r="AK81" s="15">
        <f>SUM('Working sheet'!$W81:$AC81)</f>
        <v>801.8</v>
      </c>
    </row>
    <row r="82" spans="1:37" x14ac:dyDescent="0.25">
      <c r="A82" s="16" t="s">
        <v>31</v>
      </c>
      <c r="B82" s="17">
        <v>2015</v>
      </c>
      <c r="C82" s="17" t="s">
        <v>33</v>
      </c>
      <c r="D82" s="17">
        <v>123.5</v>
      </c>
      <c r="E82" s="17">
        <v>125.4</v>
      </c>
      <c r="F82" s="17">
        <v>116.8</v>
      </c>
      <c r="G82" s="17">
        <v>126</v>
      </c>
      <c r="H82" s="17">
        <v>109.2</v>
      </c>
      <c r="I82" s="17">
        <v>127.6</v>
      </c>
      <c r="J82" s="17">
        <v>129.19999999999999</v>
      </c>
      <c r="K82" s="17">
        <v>122.4</v>
      </c>
      <c r="L82" s="17">
        <v>97</v>
      </c>
      <c r="M82" s="17">
        <v>122.1</v>
      </c>
      <c r="N82" s="17">
        <v>118.1</v>
      </c>
      <c r="O82" s="17">
        <v>128.4</v>
      </c>
      <c r="P82" s="17">
        <v>123.4</v>
      </c>
      <c r="Q82" s="17">
        <v>125.8</v>
      </c>
      <c r="R82" s="17">
        <v>124.3</v>
      </c>
      <c r="S82" s="17">
        <v>120.4</v>
      </c>
      <c r="T82" s="17">
        <v>123.7</v>
      </c>
      <c r="U82" s="17">
        <v>118.6</v>
      </c>
      <c r="V82" s="17">
        <v>118.3</v>
      </c>
      <c r="W82" s="17">
        <v>119.2</v>
      </c>
      <c r="X82" s="17">
        <v>116.7</v>
      </c>
      <c r="Y82" s="17">
        <v>109.9</v>
      </c>
      <c r="Z82" s="17">
        <v>115.4</v>
      </c>
      <c r="AA82" s="17">
        <v>120.1</v>
      </c>
      <c r="AB82" s="17">
        <v>111</v>
      </c>
      <c r="AC82" s="17">
        <v>114.7</v>
      </c>
      <c r="AD82" s="18">
        <v>120.2</v>
      </c>
      <c r="AF82" s="16">
        <f>SUM('Working sheet'!$D82:$P82)</f>
        <v>1569.1</v>
      </c>
      <c r="AG82" s="17">
        <f>SUM('Working sheet'!$Q82)</f>
        <v>125.8</v>
      </c>
      <c r="AH82" s="17">
        <f>SUM('Working sheet'!$R82:$T82)</f>
        <v>368.4</v>
      </c>
      <c r="AI82" s="17">
        <f>SUM('Working sheet'!$U82)</f>
        <v>118.6</v>
      </c>
      <c r="AJ82" s="17">
        <f>SUM('Working sheet'!$V82)</f>
        <v>118.3</v>
      </c>
      <c r="AK82" s="18">
        <f>SUM('Working sheet'!$W82:$AC82)</f>
        <v>807.00000000000011</v>
      </c>
    </row>
    <row r="83" spans="1:37" hidden="1" x14ac:dyDescent="0.25">
      <c r="A83" s="13" t="s">
        <v>28</v>
      </c>
      <c r="B83" s="14">
        <v>2015</v>
      </c>
      <c r="C83" s="14" t="s">
        <v>34</v>
      </c>
      <c r="D83" s="14">
        <v>123.3</v>
      </c>
      <c r="E83" s="14">
        <v>125.5</v>
      </c>
      <c r="F83" s="14">
        <v>117.2</v>
      </c>
      <c r="G83" s="14">
        <v>126.8</v>
      </c>
      <c r="H83" s="14">
        <v>111.9</v>
      </c>
      <c r="I83" s="14">
        <v>134.19999999999999</v>
      </c>
      <c r="J83" s="14">
        <v>127.5</v>
      </c>
      <c r="K83" s="14">
        <v>121.5</v>
      </c>
      <c r="L83" s="14">
        <v>97.8</v>
      </c>
      <c r="M83" s="14">
        <v>119.8</v>
      </c>
      <c r="N83" s="14">
        <v>119.4</v>
      </c>
      <c r="O83" s="14">
        <v>128.69999999999999</v>
      </c>
      <c r="P83" s="14">
        <v>123.6</v>
      </c>
      <c r="Q83" s="14">
        <v>125.7</v>
      </c>
      <c r="R83" s="14">
        <v>126.4</v>
      </c>
      <c r="S83" s="14">
        <v>123.3</v>
      </c>
      <c r="T83" s="14">
        <v>126</v>
      </c>
      <c r="U83" s="14">
        <v>119.4</v>
      </c>
      <c r="V83" s="14">
        <v>121.2</v>
      </c>
      <c r="W83" s="14">
        <v>120.9</v>
      </c>
      <c r="X83" s="14">
        <v>118.6</v>
      </c>
      <c r="Y83" s="14">
        <v>111.9</v>
      </c>
      <c r="Z83" s="14">
        <v>116.2</v>
      </c>
      <c r="AA83" s="14">
        <v>119.9</v>
      </c>
      <c r="AB83" s="14">
        <v>111.6</v>
      </c>
      <c r="AC83" s="14">
        <v>116</v>
      </c>
      <c r="AD83" s="15">
        <v>121.5</v>
      </c>
      <c r="AF83" s="13">
        <f>SUM('Working sheet'!$D83:$P83)</f>
        <v>1577.2</v>
      </c>
      <c r="AG83" s="14">
        <f>SUM('Working sheet'!$Q83)</f>
        <v>125.7</v>
      </c>
      <c r="AH83" s="14">
        <f>SUM('Working sheet'!$R83:$T83)</f>
        <v>375.7</v>
      </c>
      <c r="AI83" s="14">
        <f>SUM('Working sheet'!$U83)</f>
        <v>119.4</v>
      </c>
      <c r="AJ83" s="14">
        <f>SUM('Working sheet'!$V83)</f>
        <v>121.2</v>
      </c>
      <c r="AK83" s="15">
        <f>SUM('Working sheet'!$W83:$AC83)</f>
        <v>815.1</v>
      </c>
    </row>
    <row r="84" spans="1:37" hidden="1" x14ac:dyDescent="0.25">
      <c r="A84" s="16" t="s">
        <v>30</v>
      </c>
      <c r="B84" s="17">
        <v>2015</v>
      </c>
      <c r="C84" s="17" t="s">
        <v>34</v>
      </c>
      <c r="D84" s="17">
        <v>123.8</v>
      </c>
      <c r="E84" s="17">
        <v>128.19999999999999</v>
      </c>
      <c r="F84" s="17">
        <v>110</v>
      </c>
      <c r="G84" s="17">
        <v>126.3</v>
      </c>
      <c r="H84" s="17">
        <v>104.5</v>
      </c>
      <c r="I84" s="17">
        <v>130.6</v>
      </c>
      <c r="J84" s="17">
        <v>130.80000000000001</v>
      </c>
      <c r="K84" s="17">
        <v>131.30000000000001</v>
      </c>
      <c r="L84" s="17">
        <v>91.6</v>
      </c>
      <c r="M84" s="17">
        <v>127.7</v>
      </c>
      <c r="N84" s="17">
        <v>117.2</v>
      </c>
      <c r="O84" s="17">
        <v>129.5</v>
      </c>
      <c r="P84" s="17">
        <v>124.6</v>
      </c>
      <c r="Q84" s="17">
        <v>130.1</v>
      </c>
      <c r="R84" s="17">
        <v>122.1</v>
      </c>
      <c r="S84" s="17">
        <v>117.2</v>
      </c>
      <c r="T84" s="17">
        <v>121.3</v>
      </c>
      <c r="U84" s="17">
        <v>119.2</v>
      </c>
      <c r="V84" s="17">
        <v>114.7</v>
      </c>
      <c r="W84" s="17">
        <v>118.4</v>
      </c>
      <c r="X84" s="17">
        <v>114.6</v>
      </c>
      <c r="Y84" s="17">
        <v>108.4</v>
      </c>
      <c r="Z84" s="17">
        <v>115.6</v>
      </c>
      <c r="AA84" s="17">
        <v>121.7</v>
      </c>
      <c r="AB84" s="17">
        <v>111.8</v>
      </c>
      <c r="AC84" s="17">
        <v>114.2</v>
      </c>
      <c r="AD84" s="18">
        <v>119.7</v>
      </c>
      <c r="AF84" s="16">
        <f>SUM('Working sheet'!$D84:$P84)</f>
        <v>1576.1</v>
      </c>
      <c r="AG84" s="17">
        <f>SUM('Working sheet'!$Q84)</f>
        <v>130.1</v>
      </c>
      <c r="AH84" s="17">
        <f>SUM('Working sheet'!$R84:$T84)</f>
        <v>360.6</v>
      </c>
      <c r="AI84" s="17">
        <f>SUM('Working sheet'!$U84)</f>
        <v>119.2</v>
      </c>
      <c r="AJ84" s="17">
        <f>SUM('Working sheet'!$V84)</f>
        <v>114.7</v>
      </c>
      <c r="AK84" s="18">
        <f>SUM('Working sheet'!$W84:$AC84)</f>
        <v>804.7</v>
      </c>
    </row>
    <row r="85" spans="1:37" x14ac:dyDescent="0.25">
      <c r="A85" s="13" t="s">
        <v>31</v>
      </c>
      <c r="B85" s="14">
        <v>2015</v>
      </c>
      <c r="C85" s="14" t="s">
        <v>34</v>
      </c>
      <c r="D85" s="14">
        <v>123.5</v>
      </c>
      <c r="E85" s="14">
        <v>126.4</v>
      </c>
      <c r="F85" s="14">
        <v>114.4</v>
      </c>
      <c r="G85" s="14">
        <v>126.6</v>
      </c>
      <c r="H85" s="14">
        <v>109.2</v>
      </c>
      <c r="I85" s="14">
        <v>132.5</v>
      </c>
      <c r="J85" s="14">
        <v>128.6</v>
      </c>
      <c r="K85" s="14">
        <v>124.8</v>
      </c>
      <c r="L85" s="14">
        <v>95.7</v>
      </c>
      <c r="M85" s="14">
        <v>122.4</v>
      </c>
      <c r="N85" s="14">
        <v>118.5</v>
      </c>
      <c r="O85" s="14">
        <v>129.1</v>
      </c>
      <c r="P85" s="14">
        <v>124</v>
      </c>
      <c r="Q85" s="14">
        <v>126.9</v>
      </c>
      <c r="R85" s="14">
        <v>124.7</v>
      </c>
      <c r="S85" s="14">
        <v>120.8</v>
      </c>
      <c r="T85" s="14">
        <v>124.1</v>
      </c>
      <c r="U85" s="14">
        <v>119.2</v>
      </c>
      <c r="V85" s="14">
        <v>118.7</v>
      </c>
      <c r="W85" s="14">
        <v>119.7</v>
      </c>
      <c r="X85" s="14">
        <v>117.1</v>
      </c>
      <c r="Y85" s="14">
        <v>110.1</v>
      </c>
      <c r="Z85" s="14">
        <v>115.9</v>
      </c>
      <c r="AA85" s="14">
        <v>121</v>
      </c>
      <c r="AB85" s="14">
        <v>111.7</v>
      </c>
      <c r="AC85" s="14">
        <v>115.1</v>
      </c>
      <c r="AD85" s="15">
        <v>120.7</v>
      </c>
      <c r="AF85" s="13">
        <f>SUM('Working sheet'!$D85:$P85)</f>
        <v>1575.7</v>
      </c>
      <c r="AG85" s="14">
        <f>SUM('Working sheet'!$Q85)</f>
        <v>126.9</v>
      </c>
      <c r="AH85" s="14">
        <f>SUM('Working sheet'!$R85:$T85)</f>
        <v>369.6</v>
      </c>
      <c r="AI85" s="14">
        <f>SUM('Working sheet'!$U85)</f>
        <v>119.2</v>
      </c>
      <c r="AJ85" s="14">
        <f>SUM('Working sheet'!$V85)</f>
        <v>118.7</v>
      </c>
      <c r="AK85" s="15">
        <f>SUM('Working sheet'!$W85:$AC85)</f>
        <v>810.6</v>
      </c>
    </row>
    <row r="86" spans="1:37" hidden="1" x14ac:dyDescent="0.25">
      <c r="A86" s="16" t="s">
        <v>28</v>
      </c>
      <c r="B86" s="17">
        <v>2015</v>
      </c>
      <c r="C86" s="17" t="s">
        <v>35</v>
      </c>
      <c r="D86" s="17">
        <v>123.5</v>
      </c>
      <c r="E86" s="17">
        <v>127.1</v>
      </c>
      <c r="F86" s="17">
        <v>117.3</v>
      </c>
      <c r="G86" s="17">
        <v>127.7</v>
      </c>
      <c r="H86" s="17">
        <v>112.5</v>
      </c>
      <c r="I86" s="17">
        <v>134.1</v>
      </c>
      <c r="J86" s="17">
        <v>128.5</v>
      </c>
      <c r="K86" s="17">
        <v>124.3</v>
      </c>
      <c r="L86" s="17">
        <v>97.6</v>
      </c>
      <c r="M86" s="17">
        <v>120.7</v>
      </c>
      <c r="N86" s="17">
        <v>120.2</v>
      </c>
      <c r="O86" s="17">
        <v>129.80000000000001</v>
      </c>
      <c r="P86" s="17">
        <v>124.4</v>
      </c>
      <c r="Q86" s="17">
        <v>126.7</v>
      </c>
      <c r="R86" s="17">
        <v>127.3</v>
      </c>
      <c r="S86" s="17">
        <v>124.1</v>
      </c>
      <c r="T86" s="17">
        <v>126.8</v>
      </c>
      <c r="U86" s="17">
        <v>119.3</v>
      </c>
      <c r="V86" s="17">
        <v>121.9</v>
      </c>
      <c r="W86" s="17">
        <v>121.5</v>
      </c>
      <c r="X86" s="17">
        <v>119.4</v>
      </c>
      <c r="Y86" s="17">
        <v>113.3</v>
      </c>
      <c r="Z86" s="17">
        <v>116.7</v>
      </c>
      <c r="AA86" s="17">
        <v>120.5</v>
      </c>
      <c r="AB86" s="17">
        <v>112.3</v>
      </c>
      <c r="AC86" s="17">
        <v>116.9</v>
      </c>
      <c r="AD86" s="18">
        <v>122.4</v>
      </c>
      <c r="AF86" s="16">
        <f>SUM('Working sheet'!$D86:$P86)</f>
        <v>1587.7</v>
      </c>
      <c r="AG86" s="17">
        <f>SUM('Working sheet'!$Q86)</f>
        <v>126.7</v>
      </c>
      <c r="AH86" s="17">
        <f>SUM('Working sheet'!$R86:$T86)</f>
        <v>378.2</v>
      </c>
      <c r="AI86" s="17">
        <f>SUM('Working sheet'!$U86)</f>
        <v>119.3</v>
      </c>
      <c r="AJ86" s="17">
        <f>SUM('Working sheet'!$V86)</f>
        <v>121.9</v>
      </c>
      <c r="AK86" s="18">
        <f>SUM('Working sheet'!$W86:$AC86)</f>
        <v>820.59999999999991</v>
      </c>
    </row>
    <row r="87" spans="1:37" hidden="1" x14ac:dyDescent="0.25">
      <c r="A87" s="13" t="s">
        <v>30</v>
      </c>
      <c r="B87" s="14">
        <v>2015</v>
      </c>
      <c r="C87" s="14" t="s">
        <v>35</v>
      </c>
      <c r="D87" s="14">
        <v>123.8</v>
      </c>
      <c r="E87" s="14">
        <v>129.69999999999999</v>
      </c>
      <c r="F87" s="14">
        <v>111.3</v>
      </c>
      <c r="G87" s="14">
        <v>126.6</v>
      </c>
      <c r="H87" s="14">
        <v>105.2</v>
      </c>
      <c r="I87" s="14">
        <v>130.80000000000001</v>
      </c>
      <c r="J87" s="14">
        <v>135.6</v>
      </c>
      <c r="K87" s="14">
        <v>142.6</v>
      </c>
      <c r="L87" s="14">
        <v>90.8</v>
      </c>
      <c r="M87" s="14">
        <v>128.80000000000001</v>
      </c>
      <c r="N87" s="14">
        <v>117.7</v>
      </c>
      <c r="O87" s="14">
        <v>129.9</v>
      </c>
      <c r="P87" s="14">
        <v>126.1</v>
      </c>
      <c r="Q87" s="14">
        <v>131.30000000000001</v>
      </c>
      <c r="R87" s="14">
        <v>122.4</v>
      </c>
      <c r="S87" s="14">
        <v>117.4</v>
      </c>
      <c r="T87" s="14">
        <v>121.6</v>
      </c>
      <c r="U87" s="14">
        <v>119.6</v>
      </c>
      <c r="V87" s="14">
        <v>114.9</v>
      </c>
      <c r="W87" s="14">
        <v>118.7</v>
      </c>
      <c r="X87" s="14">
        <v>114.9</v>
      </c>
      <c r="Y87" s="14">
        <v>110.8</v>
      </c>
      <c r="Z87" s="14">
        <v>116</v>
      </c>
      <c r="AA87" s="14">
        <v>122</v>
      </c>
      <c r="AB87" s="14">
        <v>112.4</v>
      </c>
      <c r="AC87" s="14">
        <v>115.2</v>
      </c>
      <c r="AD87" s="15">
        <v>120.7</v>
      </c>
      <c r="AF87" s="13">
        <f>SUM('Working sheet'!$D87:$P87)</f>
        <v>1598.9</v>
      </c>
      <c r="AG87" s="14">
        <f>SUM('Working sheet'!$Q87)</f>
        <v>131.30000000000001</v>
      </c>
      <c r="AH87" s="14">
        <f>SUM('Working sheet'!$R87:$T87)</f>
        <v>361.4</v>
      </c>
      <c r="AI87" s="14">
        <f>SUM('Working sheet'!$U87)</f>
        <v>119.6</v>
      </c>
      <c r="AJ87" s="14">
        <f>SUM('Working sheet'!$V87)</f>
        <v>114.9</v>
      </c>
      <c r="AK87" s="15">
        <f>SUM('Working sheet'!$W87:$AC87)</f>
        <v>810.00000000000011</v>
      </c>
    </row>
    <row r="88" spans="1:37" x14ac:dyDescent="0.25">
      <c r="A88" s="16" t="s">
        <v>31</v>
      </c>
      <c r="B88" s="17">
        <v>2015</v>
      </c>
      <c r="C88" s="17" t="s">
        <v>35</v>
      </c>
      <c r="D88" s="17">
        <v>123.6</v>
      </c>
      <c r="E88" s="17">
        <v>128</v>
      </c>
      <c r="F88" s="17">
        <v>115</v>
      </c>
      <c r="G88" s="17">
        <v>127.3</v>
      </c>
      <c r="H88" s="17">
        <v>109.8</v>
      </c>
      <c r="I88" s="17">
        <v>132.6</v>
      </c>
      <c r="J88" s="17">
        <v>130.9</v>
      </c>
      <c r="K88" s="17">
        <v>130.5</v>
      </c>
      <c r="L88" s="17">
        <v>95.3</v>
      </c>
      <c r="M88" s="17">
        <v>123.4</v>
      </c>
      <c r="N88" s="17">
        <v>119.2</v>
      </c>
      <c r="O88" s="17">
        <v>129.80000000000001</v>
      </c>
      <c r="P88" s="17">
        <v>125</v>
      </c>
      <c r="Q88" s="17">
        <v>127.9</v>
      </c>
      <c r="R88" s="17">
        <v>125.4</v>
      </c>
      <c r="S88" s="17">
        <v>121.3</v>
      </c>
      <c r="T88" s="17">
        <v>124.7</v>
      </c>
      <c r="U88" s="17">
        <v>119.6</v>
      </c>
      <c r="V88" s="17">
        <v>119.2</v>
      </c>
      <c r="W88" s="17">
        <v>120.2</v>
      </c>
      <c r="X88" s="17">
        <v>117.7</v>
      </c>
      <c r="Y88" s="17">
        <v>112</v>
      </c>
      <c r="Z88" s="17">
        <v>116.3</v>
      </c>
      <c r="AA88" s="17">
        <v>121.4</v>
      </c>
      <c r="AB88" s="17">
        <v>112.3</v>
      </c>
      <c r="AC88" s="17">
        <v>116.1</v>
      </c>
      <c r="AD88" s="18">
        <v>121.6</v>
      </c>
      <c r="AF88" s="16">
        <f>SUM('Working sheet'!$D88:$P88)</f>
        <v>1590.4</v>
      </c>
      <c r="AG88" s="17">
        <f>SUM('Working sheet'!$Q88)</f>
        <v>127.9</v>
      </c>
      <c r="AH88" s="17">
        <f>SUM('Working sheet'!$R88:$T88)</f>
        <v>371.4</v>
      </c>
      <c r="AI88" s="17">
        <f>SUM('Working sheet'!$U88)</f>
        <v>119.6</v>
      </c>
      <c r="AJ88" s="17">
        <f>SUM('Working sheet'!$V88)</f>
        <v>119.2</v>
      </c>
      <c r="AK88" s="18">
        <f>SUM('Working sheet'!$W88:$AC88)</f>
        <v>816</v>
      </c>
    </row>
    <row r="89" spans="1:37" hidden="1" x14ac:dyDescent="0.25">
      <c r="A89" s="13" t="s">
        <v>28</v>
      </c>
      <c r="B89" s="14">
        <v>2015</v>
      </c>
      <c r="C89" s="14" t="s">
        <v>36</v>
      </c>
      <c r="D89" s="14">
        <v>124.1</v>
      </c>
      <c r="E89" s="14">
        <v>130.4</v>
      </c>
      <c r="F89" s="14">
        <v>122.1</v>
      </c>
      <c r="G89" s="14">
        <v>128.69999999999999</v>
      </c>
      <c r="H89" s="14">
        <v>114.1</v>
      </c>
      <c r="I89" s="14">
        <v>133.19999999999999</v>
      </c>
      <c r="J89" s="14">
        <v>135.19999999999999</v>
      </c>
      <c r="K89" s="14">
        <v>131.9</v>
      </c>
      <c r="L89" s="14">
        <v>96.3</v>
      </c>
      <c r="M89" s="14">
        <v>123</v>
      </c>
      <c r="N89" s="14">
        <v>121.1</v>
      </c>
      <c r="O89" s="14">
        <v>131.19999999999999</v>
      </c>
      <c r="P89" s="14">
        <v>126.6</v>
      </c>
      <c r="Q89" s="14">
        <v>128.19999999999999</v>
      </c>
      <c r="R89" s="14">
        <v>128.4</v>
      </c>
      <c r="S89" s="14">
        <v>125.1</v>
      </c>
      <c r="T89" s="14">
        <v>128</v>
      </c>
      <c r="U89" s="14">
        <v>119.5</v>
      </c>
      <c r="V89" s="14">
        <v>122.6</v>
      </c>
      <c r="W89" s="14">
        <v>122.8</v>
      </c>
      <c r="X89" s="14">
        <v>120.4</v>
      </c>
      <c r="Y89" s="14">
        <v>114.2</v>
      </c>
      <c r="Z89" s="14">
        <v>117.9</v>
      </c>
      <c r="AA89" s="14">
        <v>122</v>
      </c>
      <c r="AB89" s="14">
        <v>113</v>
      </c>
      <c r="AC89" s="14">
        <v>117.9</v>
      </c>
      <c r="AD89" s="15">
        <v>124.1</v>
      </c>
      <c r="AF89" s="13">
        <f>SUM('Working sheet'!$D89:$P89)</f>
        <v>1617.8999999999999</v>
      </c>
      <c r="AG89" s="14">
        <f>SUM('Working sheet'!$Q89)</f>
        <v>128.19999999999999</v>
      </c>
      <c r="AH89" s="14">
        <f>SUM('Working sheet'!$R89:$T89)</f>
        <v>381.5</v>
      </c>
      <c r="AI89" s="14">
        <f>SUM('Working sheet'!$U89)</f>
        <v>119.5</v>
      </c>
      <c r="AJ89" s="14">
        <f>SUM('Working sheet'!$V89)</f>
        <v>122.6</v>
      </c>
      <c r="AK89" s="15">
        <f>SUM('Working sheet'!$W89:$AC89)</f>
        <v>828.19999999999993</v>
      </c>
    </row>
    <row r="90" spans="1:37" hidden="1" x14ac:dyDescent="0.25">
      <c r="A90" s="16" t="s">
        <v>30</v>
      </c>
      <c r="B90" s="17">
        <v>2015</v>
      </c>
      <c r="C90" s="17" t="s">
        <v>36</v>
      </c>
      <c r="D90" s="17">
        <v>123.6</v>
      </c>
      <c r="E90" s="17">
        <v>134.4</v>
      </c>
      <c r="F90" s="17">
        <v>120.9</v>
      </c>
      <c r="G90" s="17">
        <v>127.3</v>
      </c>
      <c r="H90" s="17">
        <v>106</v>
      </c>
      <c r="I90" s="17">
        <v>132.30000000000001</v>
      </c>
      <c r="J90" s="17">
        <v>146.69999999999999</v>
      </c>
      <c r="K90" s="17">
        <v>148.1</v>
      </c>
      <c r="L90" s="17">
        <v>89.8</v>
      </c>
      <c r="M90" s="17">
        <v>130.5</v>
      </c>
      <c r="N90" s="17">
        <v>118</v>
      </c>
      <c r="O90" s="17">
        <v>130.5</v>
      </c>
      <c r="P90" s="17">
        <v>128.5</v>
      </c>
      <c r="Q90" s="17">
        <v>132.1</v>
      </c>
      <c r="R90" s="17">
        <v>123.2</v>
      </c>
      <c r="S90" s="17">
        <v>117.6</v>
      </c>
      <c r="T90" s="17">
        <v>122.3</v>
      </c>
      <c r="U90" s="17">
        <v>119</v>
      </c>
      <c r="V90" s="17">
        <v>115.1</v>
      </c>
      <c r="W90" s="17">
        <v>119.2</v>
      </c>
      <c r="X90" s="17">
        <v>115.4</v>
      </c>
      <c r="Y90" s="17">
        <v>111.7</v>
      </c>
      <c r="Z90" s="17">
        <v>116.2</v>
      </c>
      <c r="AA90" s="17">
        <v>123.8</v>
      </c>
      <c r="AB90" s="17">
        <v>112.5</v>
      </c>
      <c r="AC90" s="17">
        <v>116</v>
      </c>
      <c r="AD90" s="18">
        <v>121.7</v>
      </c>
      <c r="AF90" s="16">
        <f>SUM('Working sheet'!$D90:$P90)</f>
        <v>1636.6</v>
      </c>
      <c r="AG90" s="17">
        <f>SUM('Working sheet'!$Q90)</f>
        <v>132.1</v>
      </c>
      <c r="AH90" s="17">
        <f>SUM('Working sheet'!$R90:$T90)</f>
        <v>363.1</v>
      </c>
      <c r="AI90" s="17">
        <f>SUM('Working sheet'!$U90)</f>
        <v>119</v>
      </c>
      <c r="AJ90" s="17">
        <f>SUM('Working sheet'!$V90)</f>
        <v>115.1</v>
      </c>
      <c r="AK90" s="18">
        <f>SUM('Working sheet'!$W90:$AC90)</f>
        <v>814.8</v>
      </c>
    </row>
    <row r="91" spans="1:37" x14ac:dyDescent="0.25">
      <c r="A91" s="13" t="s">
        <v>31</v>
      </c>
      <c r="B91" s="14">
        <v>2015</v>
      </c>
      <c r="C91" s="14" t="s">
        <v>36</v>
      </c>
      <c r="D91" s="14">
        <v>123.9</v>
      </c>
      <c r="E91" s="14">
        <v>131.80000000000001</v>
      </c>
      <c r="F91" s="14">
        <v>121.6</v>
      </c>
      <c r="G91" s="14">
        <v>128.19999999999999</v>
      </c>
      <c r="H91" s="14">
        <v>111.1</v>
      </c>
      <c r="I91" s="14">
        <v>132.80000000000001</v>
      </c>
      <c r="J91" s="14">
        <v>139.1</v>
      </c>
      <c r="K91" s="14">
        <v>137.4</v>
      </c>
      <c r="L91" s="14">
        <v>94.1</v>
      </c>
      <c r="M91" s="14">
        <v>125.5</v>
      </c>
      <c r="N91" s="14">
        <v>119.8</v>
      </c>
      <c r="O91" s="14">
        <v>130.9</v>
      </c>
      <c r="P91" s="14">
        <v>127.3</v>
      </c>
      <c r="Q91" s="14">
        <v>129.19999999999999</v>
      </c>
      <c r="R91" s="14">
        <v>126.4</v>
      </c>
      <c r="S91" s="14">
        <v>122</v>
      </c>
      <c r="T91" s="14">
        <v>125.7</v>
      </c>
      <c r="U91" s="14">
        <v>119</v>
      </c>
      <c r="V91" s="14">
        <v>119.8</v>
      </c>
      <c r="W91" s="14">
        <v>121.1</v>
      </c>
      <c r="X91" s="14">
        <v>118.5</v>
      </c>
      <c r="Y91" s="14">
        <v>112.9</v>
      </c>
      <c r="Z91" s="14">
        <v>116.9</v>
      </c>
      <c r="AA91" s="14">
        <v>123.1</v>
      </c>
      <c r="AB91" s="14">
        <v>112.8</v>
      </c>
      <c r="AC91" s="14">
        <v>117</v>
      </c>
      <c r="AD91" s="15">
        <v>123</v>
      </c>
      <c r="AF91" s="13">
        <f>SUM('Working sheet'!$D91:$P91)</f>
        <v>1623.5</v>
      </c>
      <c r="AG91" s="14">
        <f>SUM('Working sheet'!$Q91)</f>
        <v>129.19999999999999</v>
      </c>
      <c r="AH91" s="14">
        <f>SUM('Working sheet'!$R91:$T91)</f>
        <v>374.1</v>
      </c>
      <c r="AI91" s="14">
        <f>SUM('Working sheet'!$U91)</f>
        <v>119</v>
      </c>
      <c r="AJ91" s="14">
        <f>SUM('Working sheet'!$V91)</f>
        <v>119.8</v>
      </c>
      <c r="AK91" s="15">
        <f>SUM('Working sheet'!$W91:$AC91)</f>
        <v>822.3</v>
      </c>
    </row>
    <row r="92" spans="1:37" hidden="1" x14ac:dyDescent="0.25">
      <c r="A92" s="16" t="s">
        <v>28</v>
      </c>
      <c r="B92" s="17">
        <v>2015</v>
      </c>
      <c r="C92" s="17" t="s">
        <v>37</v>
      </c>
      <c r="D92" s="17">
        <v>124</v>
      </c>
      <c r="E92" s="17">
        <v>131.5</v>
      </c>
      <c r="F92" s="17">
        <v>122</v>
      </c>
      <c r="G92" s="17">
        <v>128.69999999999999</v>
      </c>
      <c r="H92" s="17">
        <v>113.5</v>
      </c>
      <c r="I92" s="17">
        <v>133.30000000000001</v>
      </c>
      <c r="J92" s="17">
        <v>140.80000000000001</v>
      </c>
      <c r="K92" s="17">
        <v>133.80000000000001</v>
      </c>
      <c r="L92" s="17">
        <v>94.1</v>
      </c>
      <c r="M92" s="17">
        <v>123.4</v>
      </c>
      <c r="N92" s="17">
        <v>121</v>
      </c>
      <c r="O92" s="17">
        <v>131.69999999999999</v>
      </c>
      <c r="P92" s="17">
        <v>127.5</v>
      </c>
      <c r="Q92" s="17">
        <v>129.4</v>
      </c>
      <c r="R92" s="17">
        <v>128.80000000000001</v>
      </c>
      <c r="S92" s="17">
        <v>125.5</v>
      </c>
      <c r="T92" s="17">
        <v>128.30000000000001</v>
      </c>
      <c r="U92" s="17">
        <v>120.4</v>
      </c>
      <c r="V92" s="17">
        <v>123</v>
      </c>
      <c r="W92" s="17">
        <v>123</v>
      </c>
      <c r="X92" s="17">
        <v>120.8</v>
      </c>
      <c r="Y92" s="17">
        <v>114.1</v>
      </c>
      <c r="Z92" s="17">
        <v>118</v>
      </c>
      <c r="AA92" s="17">
        <v>122.9</v>
      </c>
      <c r="AB92" s="17">
        <v>112.7</v>
      </c>
      <c r="AC92" s="17">
        <v>118.1</v>
      </c>
      <c r="AD92" s="18">
        <v>124.7</v>
      </c>
      <c r="AF92" s="16">
        <f>SUM('Working sheet'!$D92:$P92)</f>
        <v>1625.3</v>
      </c>
      <c r="AG92" s="17">
        <f>SUM('Working sheet'!$Q92)</f>
        <v>129.4</v>
      </c>
      <c r="AH92" s="17">
        <f>SUM('Working sheet'!$R92:$T92)</f>
        <v>382.6</v>
      </c>
      <c r="AI92" s="17">
        <f>SUM('Working sheet'!$U92)</f>
        <v>120.4</v>
      </c>
      <c r="AJ92" s="17">
        <f>SUM('Working sheet'!$V92)</f>
        <v>123</v>
      </c>
      <c r="AK92" s="18">
        <f>SUM('Working sheet'!$W92:$AC92)</f>
        <v>829.6</v>
      </c>
    </row>
    <row r="93" spans="1:37" hidden="1" x14ac:dyDescent="0.25">
      <c r="A93" s="13" t="s">
        <v>30</v>
      </c>
      <c r="B93" s="14">
        <v>2015</v>
      </c>
      <c r="C93" s="14" t="s">
        <v>37</v>
      </c>
      <c r="D93" s="14">
        <v>123.2</v>
      </c>
      <c r="E93" s="14">
        <v>134.30000000000001</v>
      </c>
      <c r="F93" s="14">
        <v>119.5</v>
      </c>
      <c r="G93" s="14">
        <v>127.7</v>
      </c>
      <c r="H93" s="14">
        <v>106.3</v>
      </c>
      <c r="I93" s="14">
        <v>132.80000000000001</v>
      </c>
      <c r="J93" s="14">
        <v>153.5</v>
      </c>
      <c r="K93" s="14">
        <v>149.5</v>
      </c>
      <c r="L93" s="14">
        <v>85.7</v>
      </c>
      <c r="M93" s="14">
        <v>131.5</v>
      </c>
      <c r="N93" s="14">
        <v>118.3</v>
      </c>
      <c r="O93" s="14">
        <v>131.1</v>
      </c>
      <c r="P93" s="14">
        <v>129.5</v>
      </c>
      <c r="Q93" s="14">
        <v>133.1</v>
      </c>
      <c r="R93" s="14">
        <v>123.5</v>
      </c>
      <c r="S93" s="14">
        <v>117.9</v>
      </c>
      <c r="T93" s="14">
        <v>122.7</v>
      </c>
      <c r="U93" s="14">
        <v>119.9</v>
      </c>
      <c r="V93" s="14">
        <v>115.3</v>
      </c>
      <c r="W93" s="14">
        <v>119.5</v>
      </c>
      <c r="X93" s="14">
        <v>116</v>
      </c>
      <c r="Y93" s="14">
        <v>111.5</v>
      </c>
      <c r="Z93" s="14">
        <v>116.6</v>
      </c>
      <c r="AA93" s="14">
        <v>125.4</v>
      </c>
      <c r="AB93" s="14">
        <v>111.7</v>
      </c>
      <c r="AC93" s="14">
        <v>116.3</v>
      </c>
      <c r="AD93" s="15">
        <v>122.4</v>
      </c>
      <c r="AF93" s="13">
        <f>SUM('Working sheet'!$D93:$P93)</f>
        <v>1642.8999999999999</v>
      </c>
      <c r="AG93" s="14">
        <f>SUM('Working sheet'!$Q93)</f>
        <v>133.1</v>
      </c>
      <c r="AH93" s="14">
        <f>SUM('Working sheet'!$R93:$T93)</f>
        <v>364.1</v>
      </c>
      <c r="AI93" s="14">
        <f>SUM('Working sheet'!$U93)</f>
        <v>119.9</v>
      </c>
      <c r="AJ93" s="14">
        <f>SUM('Working sheet'!$V93)</f>
        <v>115.3</v>
      </c>
      <c r="AK93" s="15">
        <f>SUM('Working sheet'!$W93:$AC93)</f>
        <v>817</v>
      </c>
    </row>
    <row r="94" spans="1:37" x14ac:dyDescent="0.25">
      <c r="A94" s="16" t="s">
        <v>31</v>
      </c>
      <c r="B94" s="17">
        <v>2015</v>
      </c>
      <c r="C94" s="17" t="s">
        <v>37</v>
      </c>
      <c r="D94" s="17">
        <v>123.7</v>
      </c>
      <c r="E94" s="17">
        <v>132.5</v>
      </c>
      <c r="F94" s="17">
        <v>121</v>
      </c>
      <c r="G94" s="17">
        <v>128.30000000000001</v>
      </c>
      <c r="H94" s="17">
        <v>110.9</v>
      </c>
      <c r="I94" s="17">
        <v>133.1</v>
      </c>
      <c r="J94" s="17">
        <v>145.1</v>
      </c>
      <c r="K94" s="17">
        <v>139.1</v>
      </c>
      <c r="L94" s="17">
        <v>91.3</v>
      </c>
      <c r="M94" s="17">
        <v>126.1</v>
      </c>
      <c r="N94" s="17">
        <v>119.9</v>
      </c>
      <c r="O94" s="17">
        <v>131.4</v>
      </c>
      <c r="P94" s="17">
        <v>128.19999999999999</v>
      </c>
      <c r="Q94" s="17">
        <v>130.4</v>
      </c>
      <c r="R94" s="17">
        <v>126.7</v>
      </c>
      <c r="S94" s="17">
        <v>122.3</v>
      </c>
      <c r="T94" s="17">
        <v>126.1</v>
      </c>
      <c r="U94" s="17">
        <v>119.9</v>
      </c>
      <c r="V94" s="17">
        <v>120.1</v>
      </c>
      <c r="W94" s="17">
        <v>121.3</v>
      </c>
      <c r="X94" s="17">
        <v>119</v>
      </c>
      <c r="Y94" s="17">
        <v>112.7</v>
      </c>
      <c r="Z94" s="17">
        <v>117.2</v>
      </c>
      <c r="AA94" s="17">
        <v>124.4</v>
      </c>
      <c r="AB94" s="17">
        <v>112.3</v>
      </c>
      <c r="AC94" s="17">
        <v>117.2</v>
      </c>
      <c r="AD94" s="18">
        <v>123.6</v>
      </c>
      <c r="AF94" s="16">
        <f>SUM('Working sheet'!$D94:$P94)</f>
        <v>1630.6000000000001</v>
      </c>
      <c r="AG94" s="17">
        <f>SUM('Working sheet'!$Q94)</f>
        <v>130.4</v>
      </c>
      <c r="AH94" s="17">
        <f>SUM('Working sheet'!$R94:$T94)</f>
        <v>375.1</v>
      </c>
      <c r="AI94" s="17">
        <f>SUM('Working sheet'!$U94)</f>
        <v>119.9</v>
      </c>
      <c r="AJ94" s="17">
        <f>SUM('Working sheet'!$V94)</f>
        <v>120.1</v>
      </c>
      <c r="AK94" s="18">
        <f>SUM('Working sheet'!$W94:$AC94)</f>
        <v>824.1</v>
      </c>
    </row>
    <row r="95" spans="1:37" hidden="1" x14ac:dyDescent="0.25">
      <c r="A95" s="13" t="s">
        <v>28</v>
      </c>
      <c r="B95" s="14">
        <v>2015</v>
      </c>
      <c r="C95" s="14" t="s">
        <v>38</v>
      </c>
      <c r="D95" s="14">
        <v>124.7</v>
      </c>
      <c r="E95" s="14">
        <v>131.30000000000001</v>
      </c>
      <c r="F95" s="14">
        <v>121.3</v>
      </c>
      <c r="G95" s="14">
        <v>128.80000000000001</v>
      </c>
      <c r="H95" s="14">
        <v>114</v>
      </c>
      <c r="I95" s="14">
        <v>134.19999999999999</v>
      </c>
      <c r="J95" s="14">
        <v>153.6</v>
      </c>
      <c r="K95" s="14">
        <v>137.9</v>
      </c>
      <c r="L95" s="14">
        <v>93.1</v>
      </c>
      <c r="M95" s="14">
        <v>123.9</v>
      </c>
      <c r="N95" s="14">
        <v>121.5</v>
      </c>
      <c r="O95" s="14">
        <v>132.5</v>
      </c>
      <c r="P95" s="14">
        <v>129.80000000000001</v>
      </c>
      <c r="Q95" s="14">
        <v>130.1</v>
      </c>
      <c r="R95" s="14">
        <v>129.5</v>
      </c>
      <c r="S95" s="14">
        <v>126.3</v>
      </c>
      <c r="T95" s="14">
        <v>129</v>
      </c>
      <c r="U95" s="14">
        <v>121.3</v>
      </c>
      <c r="V95" s="14">
        <v>123.8</v>
      </c>
      <c r="W95" s="14">
        <v>123.7</v>
      </c>
      <c r="X95" s="14">
        <v>121.1</v>
      </c>
      <c r="Y95" s="14">
        <v>113.6</v>
      </c>
      <c r="Z95" s="14">
        <v>118.5</v>
      </c>
      <c r="AA95" s="14">
        <v>123.6</v>
      </c>
      <c r="AB95" s="14">
        <v>112.5</v>
      </c>
      <c r="AC95" s="14">
        <v>118.2</v>
      </c>
      <c r="AD95" s="15">
        <v>126.1</v>
      </c>
      <c r="AF95" s="13">
        <f>SUM('Working sheet'!$D95:$P95)</f>
        <v>1646.6</v>
      </c>
      <c r="AG95" s="14">
        <f>SUM('Working sheet'!$Q95)</f>
        <v>130.1</v>
      </c>
      <c r="AH95" s="14">
        <f>SUM('Working sheet'!$R95:$T95)</f>
        <v>384.8</v>
      </c>
      <c r="AI95" s="14">
        <f>SUM('Working sheet'!$U95)</f>
        <v>121.3</v>
      </c>
      <c r="AJ95" s="14">
        <f>SUM('Working sheet'!$V95)</f>
        <v>123.8</v>
      </c>
      <c r="AK95" s="15">
        <f>SUM('Working sheet'!$W95:$AC95)</f>
        <v>831.2</v>
      </c>
    </row>
    <row r="96" spans="1:37" hidden="1" x14ac:dyDescent="0.25">
      <c r="A96" s="16" t="s">
        <v>30</v>
      </c>
      <c r="B96" s="17">
        <v>2015</v>
      </c>
      <c r="C96" s="17" t="s">
        <v>38</v>
      </c>
      <c r="D96" s="17">
        <v>123.1</v>
      </c>
      <c r="E96" s="17">
        <v>131.69999999999999</v>
      </c>
      <c r="F96" s="17">
        <v>118.1</v>
      </c>
      <c r="G96" s="17">
        <v>128</v>
      </c>
      <c r="H96" s="17">
        <v>106.8</v>
      </c>
      <c r="I96" s="17">
        <v>130.1</v>
      </c>
      <c r="J96" s="17">
        <v>165.5</v>
      </c>
      <c r="K96" s="17">
        <v>156</v>
      </c>
      <c r="L96" s="17">
        <v>85.3</v>
      </c>
      <c r="M96" s="17">
        <v>132.69999999999999</v>
      </c>
      <c r="N96" s="17">
        <v>118.8</v>
      </c>
      <c r="O96" s="17">
        <v>131.69999999999999</v>
      </c>
      <c r="P96" s="17">
        <v>131.1</v>
      </c>
      <c r="Q96" s="17">
        <v>134.19999999999999</v>
      </c>
      <c r="R96" s="17">
        <v>123.7</v>
      </c>
      <c r="S96" s="17">
        <v>118.2</v>
      </c>
      <c r="T96" s="17">
        <v>122.9</v>
      </c>
      <c r="U96" s="17">
        <v>120.9</v>
      </c>
      <c r="V96" s="17">
        <v>115.3</v>
      </c>
      <c r="W96" s="17">
        <v>120</v>
      </c>
      <c r="X96" s="17">
        <v>116.6</v>
      </c>
      <c r="Y96" s="17">
        <v>109.9</v>
      </c>
      <c r="Z96" s="17">
        <v>117.2</v>
      </c>
      <c r="AA96" s="17">
        <v>126.2</v>
      </c>
      <c r="AB96" s="17">
        <v>112</v>
      </c>
      <c r="AC96" s="17">
        <v>116.2</v>
      </c>
      <c r="AD96" s="18">
        <v>123.2</v>
      </c>
      <c r="AF96" s="16">
        <f>SUM('Working sheet'!$D96:$P96)</f>
        <v>1658.8999999999999</v>
      </c>
      <c r="AG96" s="17">
        <f>SUM('Working sheet'!$Q96)</f>
        <v>134.19999999999999</v>
      </c>
      <c r="AH96" s="17">
        <f>SUM('Working sheet'!$R96:$T96)</f>
        <v>364.8</v>
      </c>
      <c r="AI96" s="17">
        <f>SUM('Working sheet'!$U96)</f>
        <v>120.9</v>
      </c>
      <c r="AJ96" s="17">
        <f>SUM('Working sheet'!$V96)</f>
        <v>115.3</v>
      </c>
      <c r="AK96" s="18">
        <f>SUM('Working sheet'!$W96:$AC96)</f>
        <v>818.1</v>
      </c>
    </row>
    <row r="97" spans="1:37" x14ac:dyDescent="0.25">
      <c r="A97" s="13" t="s">
        <v>31</v>
      </c>
      <c r="B97" s="14">
        <v>2015</v>
      </c>
      <c r="C97" s="14" t="s">
        <v>38</v>
      </c>
      <c r="D97" s="14">
        <v>124.2</v>
      </c>
      <c r="E97" s="14">
        <v>131.4</v>
      </c>
      <c r="F97" s="14">
        <v>120.1</v>
      </c>
      <c r="G97" s="14">
        <v>128.5</v>
      </c>
      <c r="H97" s="14">
        <v>111.4</v>
      </c>
      <c r="I97" s="14">
        <v>132.30000000000001</v>
      </c>
      <c r="J97" s="14">
        <v>157.6</v>
      </c>
      <c r="K97" s="14">
        <v>144</v>
      </c>
      <c r="L97" s="14">
        <v>90.5</v>
      </c>
      <c r="M97" s="14">
        <v>126.8</v>
      </c>
      <c r="N97" s="14">
        <v>120.4</v>
      </c>
      <c r="O97" s="14">
        <v>132.1</v>
      </c>
      <c r="P97" s="14">
        <v>130.30000000000001</v>
      </c>
      <c r="Q97" s="14">
        <v>131.19999999999999</v>
      </c>
      <c r="R97" s="14">
        <v>127.2</v>
      </c>
      <c r="S97" s="14">
        <v>122.9</v>
      </c>
      <c r="T97" s="14">
        <v>126.6</v>
      </c>
      <c r="U97" s="14">
        <v>120.9</v>
      </c>
      <c r="V97" s="14">
        <v>120.6</v>
      </c>
      <c r="W97" s="14">
        <v>122</v>
      </c>
      <c r="X97" s="14">
        <v>119.4</v>
      </c>
      <c r="Y97" s="14">
        <v>111.7</v>
      </c>
      <c r="Z97" s="14">
        <v>117.8</v>
      </c>
      <c r="AA97" s="14">
        <v>125.1</v>
      </c>
      <c r="AB97" s="14">
        <v>112.3</v>
      </c>
      <c r="AC97" s="14">
        <v>117.2</v>
      </c>
      <c r="AD97" s="15">
        <v>124.8</v>
      </c>
      <c r="AF97" s="13">
        <f>SUM('Working sheet'!$D97:$P97)</f>
        <v>1649.6</v>
      </c>
      <c r="AG97" s="14">
        <f>SUM('Working sheet'!$Q97)</f>
        <v>131.19999999999999</v>
      </c>
      <c r="AH97" s="14">
        <f>SUM('Working sheet'!$R97:$T97)</f>
        <v>376.70000000000005</v>
      </c>
      <c r="AI97" s="14">
        <f>SUM('Working sheet'!$U97)</f>
        <v>120.9</v>
      </c>
      <c r="AJ97" s="14">
        <f>SUM('Working sheet'!$V97)</f>
        <v>120.6</v>
      </c>
      <c r="AK97" s="15">
        <f>SUM('Working sheet'!$W97:$AC97)</f>
        <v>825.5</v>
      </c>
    </row>
    <row r="98" spans="1:37" hidden="1" x14ac:dyDescent="0.25">
      <c r="A98" s="16" t="s">
        <v>28</v>
      </c>
      <c r="B98" s="17">
        <v>2015</v>
      </c>
      <c r="C98" s="17" t="s">
        <v>39</v>
      </c>
      <c r="D98" s="17">
        <v>125.1</v>
      </c>
      <c r="E98" s="17">
        <v>131.1</v>
      </c>
      <c r="F98" s="17">
        <v>120.7</v>
      </c>
      <c r="G98" s="17">
        <v>129.19999999999999</v>
      </c>
      <c r="H98" s="17">
        <v>114.7</v>
      </c>
      <c r="I98" s="17">
        <v>132.30000000000001</v>
      </c>
      <c r="J98" s="17">
        <v>158.9</v>
      </c>
      <c r="K98" s="17">
        <v>142.1</v>
      </c>
      <c r="L98" s="17">
        <v>92.5</v>
      </c>
      <c r="M98" s="17">
        <v>125.4</v>
      </c>
      <c r="N98" s="17">
        <v>121.9</v>
      </c>
      <c r="O98" s="17">
        <v>132.69999999999999</v>
      </c>
      <c r="P98" s="17">
        <v>131</v>
      </c>
      <c r="Q98" s="17">
        <v>131</v>
      </c>
      <c r="R98" s="17">
        <v>130.4</v>
      </c>
      <c r="S98" s="17">
        <v>126.8</v>
      </c>
      <c r="T98" s="17">
        <v>129.9</v>
      </c>
      <c r="U98" s="17">
        <v>122</v>
      </c>
      <c r="V98" s="17">
        <v>123.7</v>
      </c>
      <c r="W98" s="17">
        <v>124.5</v>
      </c>
      <c r="X98" s="17">
        <v>121.4</v>
      </c>
      <c r="Y98" s="17">
        <v>113.8</v>
      </c>
      <c r="Z98" s="17">
        <v>119.6</v>
      </c>
      <c r="AA98" s="17">
        <v>124.5</v>
      </c>
      <c r="AB98" s="17">
        <v>113.7</v>
      </c>
      <c r="AC98" s="17">
        <v>118.8</v>
      </c>
      <c r="AD98" s="18">
        <v>127</v>
      </c>
      <c r="AF98" s="16">
        <f>SUM('Working sheet'!$D98:$P98)</f>
        <v>1657.6000000000001</v>
      </c>
      <c r="AG98" s="17">
        <f>SUM('Working sheet'!$Q98)</f>
        <v>131</v>
      </c>
      <c r="AH98" s="17">
        <f>SUM('Working sheet'!$R98:$T98)</f>
        <v>387.1</v>
      </c>
      <c r="AI98" s="17">
        <f>SUM('Working sheet'!$U98)</f>
        <v>122</v>
      </c>
      <c r="AJ98" s="17">
        <f>SUM('Working sheet'!$V98)</f>
        <v>123.7</v>
      </c>
      <c r="AK98" s="18">
        <f>SUM('Working sheet'!$W98:$AC98)</f>
        <v>836.3</v>
      </c>
    </row>
    <row r="99" spans="1:37" hidden="1" x14ac:dyDescent="0.25">
      <c r="A99" s="13" t="s">
        <v>30</v>
      </c>
      <c r="B99" s="14">
        <v>2015</v>
      </c>
      <c r="C99" s="14" t="s">
        <v>39</v>
      </c>
      <c r="D99" s="14">
        <v>123.4</v>
      </c>
      <c r="E99" s="14">
        <v>129</v>
      </c>
      <c r="F99" s="14">
        <v>115.6</v>
      </c>
      <c r="G99" s="14">
        <v>128.30000000000001</v>
      </c>
      <c r="H99" s="14">
        <v>107</v>
      </c>
      <c r="I99" s="14">
        <v>124</v>
      </c>
      <c r="J99" s="14">
        <v>168.5</v>
      </c>
      <c r="K99" s="14">
        <v>165.4</v>
      </c>
      <c r="L99" s="14">
        <v>86.3</v>
      </c>
      <c r="M99" s="14">
        <v>134.4</v>
      </c>
      <c r="N99" s="14">
        <v>119.1</v>
      </c>
      <c r="O99" s="14">
        <v>132.30000000000001</v>
      </c>
      <c r="P99" s="14">
        <v>131.5</v>
      </c>
      <c r="Q99" s="14">
        <v>134.69999999999999</v>
      </c>
      <c r="R99" s="14">
        <v>124</v>
      </c>
      <c r="S99" s="14">
        <v>118.6</v>
      </c>
      <c r="T99" s="14">
        <v>123.2</v>
      </c>
      <c r="U99" s="14">
        <v>121.6</v>
      </c>
      <c r="V99" s="14">
        <v>115.1</v>
      </c>
      <c r="W99" s="14">
        <v>120.4</v>
      </c>
      <c r="X99" s="14">
        <v>117.1</v>
      </c>
      <c r="Y99" s="14">
        <v>109.1</v>
      </c>
      <c r="Z99" s="14">
        <v>117.3</v>
      </c>
      <c r="AA99" s="14">
        <v>126.5</v>
      </c>
      <c r="AB99" s="14">
        <v>112.9</v>
      </c>
      <c r="AC99" s="14">
        <v>116.2</v>
      </c>
      <c r="AD99" s="15">
        <v>123.5</v>
      </c>
      <c r="AF99" s="13">
        <f>SUM('Working sheet'!$D99:$P99)</f>
        <v>1664.8</v>
      </c>
      <c r="AG99" s="14">
        <f>SUM('Working sheet'!$Q99)</f>
        <v>134.69999999999999</v>
      </c>
      <c r="AH99" s="14">
        <f>SUM('Working sheet'!$R99:$T99)</f>
        <v>365.8</v>
      </c>
      <c r="AI99" s="14">
        <f>SUM('Working sheet'!$U99)</f>
        <v>121.6</v>
      </c>
      <c r="AJ99" s="14">
        <f>SUM('Working sheet'!$V99)</f>
        <v>115.1</v>
      </c>
      <c r="AK99" s="15">
        <f>SUM('Working sheet'!$W99:$AC99)</f>
        <v>819.50000000000011</v>
      </c>
    </row>
    <row r="100" spans="1:37" x14ac:dyDescent="0.25">
      <c r="A100" s="16" t="s">
        <v>31</v>
      </c>
      <c r="B100" s="17">
        <v>2015</v>
      </c>
      <c r="C100" s="17" t="s">
        <v>39</v>
      </c>
      <c r="D100" s="17">
        <v>124.6</v>
      </c>
      <c r="E100" s="17">
        <v>130.4</v>
      </c>
      <c r="F100" s="17">
        <v>118.7</v>
      </c>
      <c r="G100" s="17">
        <v>128.9</v>
      </c>
      <c r="H100" s="17">
        <v>111.9</v>
      </c>
      <c r="I100" s="17">
        <v>128.4</v>
      </c>
      <c r="J100" s="17">
        <v>162.19999999999999</v>
      </c>
      <c r="K100" s="17">
        <v>150</v>
      </c>
      <c r="L100" s="17">
        <v>90.4</v>
      </c>
      <c r="M100" s="17">
        <v>128.4</v>
      </c>
      <c r="N100" s="17">
        <v>120.7</v>
      </c>
      <c r="O100" s="17">
        <v>132.5</v>
      </c>
      <c r="P100" s="17">
        <v>131.19999999999999</v>
      </c>
      <c r="Q100" s="17">
        <v>132</v>
      </c>
      <c r="R100" s="17">
        <v>127.9</v>
      </c>
      <c r="S100" s="17">
        <v>123.4</v>
      </c>
      <c r="T100" s="17">
        <v>127.2</v>
      </c>
      <c r="U100" s="17">
        <v>121.6</v>
      </c>
      <c r="V100" s="17">
        <v>120.4</v>
      </c>
      <c r="W100" s="17">
        <v>122.6</v>
      </c>
      <c r="X100" s="17">
        <v>119.8</v>
      </c>
      <c r="Y100" s="17">
        <v>111.3</v>
      </c>
      <c r="Z100" s="17">
        <v>118.3</v>
      </c>
      <c r="AA100" s="17">
        <v>125.7</v>
      </c>
      <c r="AB100" s="17">
        <v>113.4</v>
      </c>
      <c r="AC100" s="17">
        <v>117.5</v>
      </c>
      <c r="AD100" s="18">
        <v>125.4</v>
      </c>
      <c r="AF100" s="16">
        <f>SUM('Working sheet'!$D100:$P100)</f>
        <v>1658.3000000000002</v>
      </c>
      <c r="AG100" s="17">
        <f>SUM('Working sheet'!$Q100)</f>
        <v>132</v>
      </c>
      <c r="AH100" s="17">
        <f>SUM('Working sheet'!$R100:$T100)</f>
        <v>378.5</v>
      </c>
      <c r="AI100" s="17">
        <f>SUM('Working sheet'!$U100)</f>
        <v>121.6</v>
      </c>
      <c r="AJ100" s="17">
        <f>SUM('Working sheet'!$V100)</f>
        <v>120.4</v>
      </c>
      <c r="AK100" s="18">
        <f>SUM('Working sheet'!$W100:$AC100)</f>
        <v>828.6</v>
      </c>
    </row>
    <row r="101" spans="1:37" hidden="1" x14ac:dyDescent="0.25">
      <c r="A101" s="13" t="s">
        <v>28</v>
      </c>
      <c r="B101" s="14">
        <v>2015</v>
      </c>
      <c r="C101" s="14" t="s">
        <v>40</v>
      </c>
      <c r="D101" s="14">
        <v>125.6</v>
      </c>
      <c r="E101" s="14">
        <v>130.4</v>
      </c>
      <c r="F101" s="14">
        <v>120.8</v>
      </c>
      <c r="G101" s="14">
        <v>129.4</v>
      </c>
      <c r="H101" s="14">
        <v>115.8</v>
      </c>
      <c r="I101" s="14">
        <v>133.19999999999999</v>
      </c>
      <c r="J101" s="14">
        <v>157.69999999999999</v>
      </c>
      <c r="K101" s="14">
        <v>154.19999999999999</v>
      </c>
      <c r="L101" s="14">
        <v>93.7</v>
      </c>
      <c r="M101" s="14">
        <v>126.6</v>
      </c>
      <c r="N101" s="14">
        <v>122.3</v>
      </c>
      <c r="O101" s="14">
        <v>133.1</v>
      </c>
      <c r="P101" s="14">
        <v>131.80000000000001</v>
      </c>
      <c r="Q101" s="14">
        <v>131.5</v>
      </c>
      <c r="R101" s="14">
        <v>131.1</v>
      </c>
      <c r="S101" s="14">
        <v>127.3</v>
      </c>
      <c r="T101" s="14">
        <v>130.6</v>
      </c>
      <c r="U101" s="14">
        <v>122.7</v>
      </c>
      <c r="V101" s="14">
        <v>124.4</v>
      </c>
      <c r="W101" s="14">
        <v>125.1</v>
      </c>
      <c r="X101" s="14">
        <v>122</v>
      </c>
      <c r="Y101" s="14">
        <v>113.8</v>
      </c>
      <c r="Z101" s="14">
        <v>120.1</v>
      </c>
      <c r="AA101" s="14">
        <v>125.1</v>
      </c>
      <c r="AB101" s="14">
        <v>114.2</v>
      </c>
      <c r="AC101" s="14">
        <v>119.2</v>
      </c>
      <c r="AD101" s="15">
        <v>127.7</v>
      </c>
      <c r="AF101" s="13">
        <f>SUM('Working sheet'!$D101:$P101)</f>
        <v>1674.6</v>
      </c>
      <c r="AG101" s="14">
        <f>SUM('Working sheet'!$Q101)</f>
        <v>131.5</v>
      </c>
      <c r="AH101" s="14">
        <f>SUM('Working sheet'!$R101:$T101)</f>
        <v>389</v>
      </c>
      <c r="AI101" s="14">
        <f>SUM('Working sheet'!$U101)</f>
        <v>122.7</v>
      </c>
      <c r="AJ101" s="14">
        <f>SUM('Working sheet'!$V101)</f>
        <v>124.4</v>
      </c>
      <c r="AK101" s="15">
        <f>SUM('Working sheet'!$W101:$AC101)</f>
        <v>839.50000000000011</v>
      </c>
    </row>
    <row r="102" spans="1:37" hidden="1" x14ac:dyDescent="0.25">
      <c r="A102" s="16" t="s">
        <v>30</v>
      </c>
      <c r="B102" s="17">
        <v>2015</v>
      </c>
      <c r="C102" s="17" t="s">
        <v>40</v>
      </c>
      <c r="D102" s="17">
        <v>123.6</v>
      </c>
      <c r="E102" s="17">
        <v>128.6</v>
      </c>
      <c r="F102" s="17">
        <v>115.9</v>
      </c>
      <c r="G102" s="17">
        <v>128.5</v>
      </c>
      <c r="H102" s="17">
        <v>109</v>
      </c>
      <c r="I102" s="17">
        <v>124.1</v>
      </c>
      <c r="J102" s="17">
        <v>165.8</v>
      </c>
      <c r="K102" s="17">
        <v>187.2</v>
      </c>
      <c r="L102" s="17">
        <v>89.4</v>
      </c>
      <c r="M102" s="17">
        <v>135.80000000000001</v>
      </c>
      <c r="N102" s="17">
        <v>119.4</v>
      </c>
      <c r="O102" s="17">
        <v>132.9</v>
      </c>
      <c r="P102" s="17">
        <v>132.6</v>
      </c>
      <c r="Q102" s="17">
        <v>135.30000000000001</v>
      </c>
      <c r="R102" s="17">
        <v>124.4</v>
      </c>
      <c r="S102" s="17">
        <v>118.8</v>
      </c>
      <c r="T102" s="17">
        <v>123.6</v>
      </c>
      <c r="U102" s="17">
        <v>122.4</v>
      </c>
      <c r="V102" s="17">
        <v>114.9</v>
      </c>
      <c r="W102" s="17">
        <v>120.7</v>
      </c>
      <c r="X102" s="17">
        <v>117.7</v>
      </c>
      <c r="Y102" s="17">
        <v>109.3</v>
      </c>
      <c r="Z102" s="17">
        <v>117.7</v>
      </c>
      <c r="AA102" s="17">
        <v>126.5</v>
      </c>
      <c r="AB102" s="17">
        <v>113.5</v>
      </c>
      <c r="AC102" s="17">
        <v>116.5</v>
      </c>
      <c r="AD102" s="18">
        <v>124.2</v>
      </c>
      <c r="AF102" s="16">
        <f>SUM('Working sheet'!$D102:$P102)</f>
        <v>1692.8000000000002</v>
      </c>
      <c r="AG102" s="17">
        <f>SUM('Working sheet'!$Q102)</f>
        <v>135.30000000000001</v>
      </c>
      <c r="AH102" s="17">
        <f>SUM('Working sheet'!$R102:$T102)</f>
        <v>366.79999999999995</v>
      </c>
      <c r="AI102" s="17">
        <f>SUM('Working sheet'!$U102)</f>
        <v>122.4</v>
      </c>
      <c r="AJ102" s="17">
        <f>SUM('Working sheet'!$V102)</f>
        <v>114.9</v>
      </c>
      <c r="AK102" s="18">
        <f>SUM('Working sheet'!$W102:$AC102)</f>
        <v>821.9</v>
      </c>
    </row>
    <row r="103" spans="1:37" x14ac:dyDescent="0.25">
      <c r="A103" s="13" t="s">
        <v>31</v>
      </c>
      <c r="B103" s="14">
        <v>2015</v>
      </c>
      <c r="C103" s="14" t="s">
        <v>40</v>
      </c>
      <c r="D103" s="14">
        <v>125</v>
      </c>
      <c r="E103" s="14">
        <v>129.80000000000001</v>
      </c>
      <c r="F103" s="14">
        <v>118.9</v>
      </c>
      <c r="G103" s="14">
        <v>129.1</v>
      </c>
      <c r="H103" s="14">
        <v>113.3</v>
      </c>
      <c r="I103" s="14">
        <v>129</v>
      </c>
      <c r="J103" s="14">
        <v>160.4</v>
      </c>
      <c r="K103" s="14">
        <v>165.3</v>
      </c>
      <c r="L103" s="14">
        <v>92.3</v>
      </c>
      <c r="M103" s="14">
        <v>129.69999999999999</v>
      </c>
      <c r="N103" s="14">
        <v>121.1</v>
      </c>
      <c r="O103" s="14">
        <v>133</v>
      </c>
      <c r="P103" s="14">
        <v>132.1</v>
      </c>
      <c r="Q103" s="14">
        <v>132.5</v>
      </c>
      <c r="R103" s="14">
        <v>128.5</v>
      </c>
      <c r="S103" s="14">
        <v>123.8</v>
      </c>
      <c r="T103" s="14">
        <v>127.8</v>
      </c>
      <c r="U103" s="14">
        <v>122.4</v>
      </c>
      <c r="V103" s="14">
        <v>120.8</v>
      </c>
      <c r="W103" s="14">
        <v>123</v>
      </c>
      <c r="X103" s="14">
        <v>120.4</v>
      </c>
      <c r="Y103" s="14">
        <v>111.4</v>
      </c>
      <c r="Z103" s="14">
        <v>118.7</v>
      </c>
      <c r="AA103" s="14">
        <v>125.9</v>
      </c>
      <c r="AB103" s="14">
        <v>113.9</v>
      </c>
      <c r="AC103" s="14">
        <v>117.9</v>
      </c>
      <c r="AD103" s="15">
        <v>126.1</v>
      </c>
      <c r="AF103" s="13">
        <f>SUM('Working sheet'!$D103:$P103)</f>
        <v>1678.9999999999998</v>
      </c>
      <c r="AG103" s="14">
        <f>SUM('Working sheet'!$Q103)</f>
        <v>132.5</v>
      </c>
      <c r="AH103" s="14">
        <f>SUM('Working sheet'!$R103:$T103)</f>
        <v>380.1</v>
      </c>
      <c r="AI103" s="14">
        <f>SUM('Working sheet'!$U103)</f>
        <v>122.4</v>
      </c>
      <c r="AJ103" s="14">
        <f>SUM('Working sheet'!$V103)</f>
        <v>120.8</v>
      </c>
      <c r="AK103" s="15">
        <f>SUM('Working sheet'!$W103:$AC103)</f>
        <v>831.19999999999993</v>
      </c>
    </row>
    <row r="104" spans="1:37" hidden="1" x14ac:dyDescent="0.25">
      <c r="A104" s="16" t="s">
        <v>28</v>
      </c>
      <c r="B104" s="17">
        <v>2015</v>
      </c>
      <c r="C104" s="17" t="s">
        <v>42</v>
      </c>
      <c r="D104" s="17">
        <v>126.1</v>
      </c>
      <c r="E104" s="17">
        <v>130.6</v>
      </c>
      <c r="F104" s="17">
        <v>121.7</v>
      </c>
      <c r="G104" s="17">
        <v>129.5</v>
      </c>
      <c r="H104" s="17">
        <v>117.8</v>
      </c>
      <c r="I104" s="17">
        <v>132.1</v>
      </c>
      <c r="J104" s="17">
        <v>155.19999999999999</v>
      </c>
      <c r="K104" s="17">
        <v>160.80000000000001</v>
      </c>
      <c r="L104" s="17">
        <v>94.5</v>
      </c>
      <c r="M104" s="17">
        <v>128.30000000000001</v>
      </c>
      <c r="N104" s="17">
        <v>123.1</v>
      </c>
      <c r="O104" s="17">
        <v>134.19999999999999</v>
      </c>
      <c r="P104" s="17">
        <v>132.4</v>
      </c>
      <c r="Q104" s="17">
        <v>132.19999999999999</v>
      </c>
      <c r="R104" s="17">
        <v>132.1</v>
      </c>
      <c r="S104" s="17">
        <v>128.19999999999999</v>
      </c>
      <c r="T104" s="17">
        <v>131.5</v>
      </c>
      <c r="U104" s="17">
        <v>122.7</v>
      </c>
      <c r="V104" s="17">
        <v>125.6</v>
      </c>
      <c r="W104" s="17">
        <v>125.6</v>
      </c>
      <c r="X104" s="17">
        <v>122.6</v>
      </c>
      <c r="Y104" s="17">
        <v>114</v>
      </c>
      <c r="Z104" s="17">
        <v>120.9</v>
      </c>
      <c r="AA104" s="17">
        <v>125.8</v>
      </c>
      <c r="AB104" s="17">
        <v>114.2</v>
      </c>
      <c r="AC104" s="17">
        <v>119.6</v>
      </c>
      <c r="AD104" s="18">
        <v>128.30000000000001</v>
      </c>
      <c r="AF104" s="16">
        <f>SUM('Working sheet'!$D104:$P104)</f>
        <v>1686.3</v>
      </c>
      <c r="AG104" s="17">
        <f>SUM('Working sheet'!$Q104)</f>
        <v>132.19999999999999</v>
      </c>
      <c r="AH104" s="17">
        <f>SUM('Working sheet'!$R104:$T104)</f>
        <v>391.79999999999995</v>
      </c>
      <c r="AI104" s="17">
        <f>SUM('Working sheet'!$U104)</f>
        <v>122.7</v>
      </c>
      <c r="AJ104" s="17">
        <f>SUM('Working sheet'!$V104)</f>
        <v>125.6</v>
      </c>
      <c r="AK104" s="18">
        <f>SUM('Working sheet'!$W104:$AC104)</f>
        <v>842.7</v>
      </c>
    </row>
    <row r="105" spans="1:37" hidden="1" x14ac:dyDescent="0.25">
      <c r="A105" s="13" t="s">
        <v>30</v>
      </c>
      <c r="B105" s="14">
        <v>2015</v>
      </c>
      <c r="C105" s="14" t="s">
        <v>42</v>
      </c>
      <c r="D105" s="14">
        <v>124</v>
      </c>
      <c r="E105" s="14">
        <v>129.80000000000001</v>
      </c>
      <c r="F105" s="14">
        <v>121.5</v>
      </c>
      <c r="G105" s="14">
        <v>128.6</v>
      </c>
      <c r="H105" s="14">
        <v>110</v>
      </c>
      <c r="I105" s="14">
        <v>123.7</v>
      </c>
      <c r="J105" s="14">
        <v>164.6</v>
      </c>
      <c r="K105" s="14">
        <v>191.6</v>
      </c>
      <c r="L105" s="14">
        <v>90.8</v>
      </c>
      <c r="M105" s="14">
        <v>137.1</v>
      </c>
      <c r="N105" s="14">
        <v>119.8</v>
      </c>
      <c r="O105" s="14">
        <v>133.69999999999999</v>
      </c>
      <c r="P105" s="14">
        <v>133.30000000000001</v>
      </c>
      <c r="Q105" s="14">
        <v>137.6</v>
      </c>
      <c r="R105" s="14">
        <v>125</v>
      </c>
      <c r="S105" s="14">
        <v>119.3</v>
      </c>
      <c r="T105" s="14">
        <v>124.2</v>
      </c>
      <c r="U105" s="14">
        <v>122.9</v>
      </c>
      <c r="V105" s="14">
        <v>115.1</v>
      </c>
      <c r="W105" s="14">
        <v>121</v>
      </c>
      <c r="X105" s="14">
        <v>118.1</v>
      </c>
      <c r="Y105" s="14">
        <v>109.3</v>
      </c>
      <c r="Z105" s="14">
        <v>117.9</v>
      </c>
      <c r="AA105" s="14">
        <v>126.6</v>
      </c>
      <c r="AB105" s="14">
        <v>113.3</v>
      </c>
      <c r="AC105" s="14">
        <v>116.6</v>
      </c>
      <c r="AD105" s="15">
        <v>124.6</v>
      </c>
      <c r="AF105" s="13">
        <f>SUM('Working sheet'!$D105:$P105)</f>
        <v>1708.4999999999998</v>
      </c>
      <c r="AG105" s="14">
        <f>SUM('Working sheet'!$Q105)</f>
        <v>137.6</v>
      </c>
      <c r="AH105" s="14">
        <f>SUM('Working sheet'!$R105:$T105)</f>
        <v>368.5</v>
      </c>
      <c r="AI105" s="14">
        <f>SUM('Working sheet'!$U105)</f>
        <v>122.9</v>
      </c>
      <c r="AJ105" s="14">
        <f>SUM('Working sheet'!$V105)</f>
        <v>115.1</v>
      </c>
      <c r="AK105" s="15">
        <f>SUM('Working sheet'!$W105:$AC105)</f>
        <v>822.8</v>
      </c>
    </row>
    <row r="106" spans="1:37" x14ac:dyDescent="0.25">
      <c r="A106" s="16" t="s">
        <v>31</v>
      </c>
      <c r="B106" s="17">
        <v>2015</v>
      </c>
      <c r="C106" s="17" t="s">
        <v>42</v>
      </c>
      <c r="D106" s="17">
        <v>125.4</v>
      </c>
      <c r="E106" s="17">
        <v>130.30000000000001</v>
      </c>
      <c r="F106" s="17">
        <v>121.6</v>
      </c>
      <c r="G106" s="17">
        <v>129.19999999999999</v>
      </c>
      <c r="H106" s="17">
        <v>114.9</v>
      </c>
      <c r="I106" s="17">
        <v>128.19999999999999</v>
      </c>
      <c r="J106" s="17">
        <v>158.4</v>
      </c>
      <c r="K106" s="17">
        <v>171.2</v>
      </c>
      <c r="L106" s="17">
        <v>93.3</v>
      </c>
      <c r="M106" s="17">
        <v>131.19999999999999</v>
      </c>
      <c r="N106" s="17">
        <v>121.7</v>
      </c>
      <c r="O106" s="17">
        <v>134</v>
      </c>
      <c r="P106" s="17">
        <v>132.69999999999999</v>
      </c>
      <c r="Q106" s="17">
        <v>133.6</v>
      </c>
      <c r="R106" s="17">
        <v>129.30000000000001</v>
      </c>
      <c r="S106" s="17">
        <v>124.5</v>
      </c>
      <c r="T106" s="17">
        <v>128.6</v>
      </c>
      <c r="U106" s="17">
        <v>122.9</v>
      </c>
      <c r="V106" s="17">
        <v>121.6</v>
      </c>
      <c r="W106" s="17">
        <v>123.4</v>
      </c>
      <c r="X106" s="17">
        <v>120.9</v>
      </c>
      <c r="Y106" s="17">
        <v>111.5</v>
      </c>
      <c r="Z106" s="17">
        <v>119.2</v>
      </c>
      <c r="AA106" s="17">
        <v>126.3</v>
      </c>
      <c r="AB106" s="17">
        <v>113.8</v>
      </c>
      <c r="AC106" s="17">
        <v>118.1</v>
      </c>
      <c r="AD106" s="18">
        <v>126.6</v>
      </c>
      <c r="AF106" s="16">
        <f>SUM('Working sheet'!$D106:$P106)</f>
        <v>1692.1</v>
      </c>
      <c r="AG106" s="17">
        <f>SUM('Working sheet'!$Q106)</f>
        <v>133.6</v>
      </c>
      <c r="AH106" s="17">
        <f>SUM('Working sheet'!$R106:$T106)</f>
        <v>382.4</v>
      </c>
      <c r="AI106" s="17">
        <f>SUM('Working sheet'!$U106)</f>
        <v>122.9</v>
      </c>
      <c r="AJ106" s="17">
        <f>SUM('Working sheet'!$V106)</f>
        <v>121.6</v>
      </c>
      <c r="AK106" s="18">
        <f>SUM('Working sheet'!$W106:$AC106)</f>
        <v>833.19999999999993</v>
      </c>
    </row>
    <row r="107" spans="1:37" hidden="1" x14ac:dyDescent="0.25">
      <c r="A107" s="13" t="s">
        <v>28</v>
      </c>
      <c r="B107" s="14">
        <v>2015</v>
      </c>
      <c r="C107" s="14" t="s">
        <v>43</v>
      </c>
      <c r="D107" s="14">
        <v>126.3</v>
      </c>
      <c r="E107" s="14">
        <v>131.30000000000001</v>
      </c>
      <c r="F107" s="14">
        <v>123.3</v>
      </c>
      <c r="G107" s="14">
        <v>129.80000000000001</v>
      </c>
      <c r="H107" s="14">
        <v>118.3</v>
      </c>
      <c r="I107" s="14">
        <v>131.6</v>
      </c>
      <c r="J107" s="14">
        <v>145.5</v>
      </c>
      <c r="K107" s="14">
        <v>162.1</v>
      </c>
      <c r="L107" s="14">
        <v>95.4</v>
      </c>
      <c r="M107" s="14">
        <v>128.9</v>
      </c>
      <c r="N107" s="14">
        <v>123.3</v>
      </c>
      <c r="O107" s="14">
        <v>135.1</v>
      </c>
      <c r="P107" s="14">
        <v>131.4</v>
      </c>
      <c r="Q107" s="14">
        <v>133.1</v>
      </c>
      <c r="R107" s="14">
        <v>132.5</v>
      </c>
      <c r="S107" s="14">
        <v>128.5</v>
      </c>
      <c r="T107" s="14">
        <v>131.9</v>
      </c>
      <c r="U107" s="14">
        <v>122.9</v>
      </c>
      <c r="V107" s="14">
        <v>125.7</v>
      </c>
      <c r="W107" s="14">
        <v>126</v>
      </c>
      <c r="X107" s="14">
        <v>123.1</v>
      </c>
      <c r="Y107" s="14">
        <v>114</v>
      </c>
      <c r="Z107" s="14">
        <v>121.6</v>
      </c>
      <c r="AA107" s="14">
        <v>125.6</v>
      </c>
      <c r="AB107" s="14">
        <v>114.1</v>
      </c>
      <c r="AC107" s="14">
        <v>119.8</v>
      </c>
      <c r="AD107" s="15">
        <v>127.9</v>
      </c>
      <c r="AF107" s="13">
        <f>SUM('Working sheet'!$D107:$P107)</f>
        <v>1682.3000000000002</v>
      </c>
      <c r="AG107" s="14">
        <f>SUM('Working sheet'!$Q107)</f>
        <v>133.1</v>
      </c>
      <c r="AH107" s="14">
        <f>SUM('Working sheet'!$R107:$T107)</f>
        <v>392.9</v>
      </c>
      <c r="AI107" s="14">
        <f>SUM('Working sheet'!$U107)</f>
        <v>122.9</v>
      </c>
      <c r="AJ107" s="14">
        <f>SUM('Working sheet'!$V107)</f>
        <v>125.7</v>
      </c>
      <c r="AK107" s="15">
        <f>SUM('Working sheet'!$W107:$AC107)</f>
        <v>844.2</v>
      </c>
    </row>
    <row r="108" spans="1:37" hidden="1" x14ac:dyDescent="0.25">
      <c r="A108" s="16" t="s">
        <v>30</v>
      </c>
      <c r="B108" s="17">
        <v>2015</v>
      </c>
      <c r="C108" s="17" t="s">
        <v>43</v>
      </c>
      <c r="D108" s="17">
        <v>124.3</v>
      </c>
      <c r="E108" s="17">
        <v>131.69999999999999</v>
      </c>
      <c r="F108" s="17">
        <v>127.1</v>
      </c>
      <c r="G108" s="17">
        <v>128.6</v>
      </c>
      <c r="H108" s="17">
        <v>110</v>
      </c>
      <c r="I108" s="17">
        <v>120.8</v>
      </c>
      <c r="J108" s="17">
        <v>149</v>
      </c>
      <c r="K108" s="17">
        <v>190.1</v>
      </c>
      <c r="L108" s="17">
        <v>92.7</v>
      </c>
      <c r="M108" s="17">
        <v>138.6</v>
      </c>
      <c r="N108" s="17">
        <v>120.2</v>
      </c>
      <c r="O108" s="17">
        <v>134.19999999999999</v>
      </c>
      <c r="P108" s="17">
        <v>131.5</v>
      </c>
      <c r="Q108" s="17">
        <v>138.19999999999999</v>
      </c>
      <c r="R108" s="17">
        <v>125.4</v>
      </c>
      <c r="S108" s="17">
        <v>119.5</v>
      </c>
      <c r="T108" s="17">
        <v>124.5</v>
      </c>
      <c r="U108" s="17">
        <v>122.4</v>
      </c>
      <c r="V108" s="17">
        <v>116</v>
      </c>
      <c r="W108" s="17">
        <v>121</v>
      </c>
      <c r="X108" s="17">
        <v>118.6</v>
      </c>
      <c r="Y108" s="17">
        <v>109.3</v>
      </c>
      <c r="Z108" s="17">
        <v>118.1</v>
      </c>
      <c r="AA108" s="17">
        <v>126.6</v>
      </c>
      <c r="AB108" s="17">
        <v>113.2</v>
      </c>
      <c r="AC108" s="17">
        <v>116.7</v>
      </c>
      <c r="AD108" s="18">
        <v>124</v>
      </c>
      <c r="AF108" s="16">
        <f>SUM('Working sheet'!$D108:$P108)</f>
        <v>1698.8</v>
      </c>
      <c r="AG108" s="17">
        <f>SUM('Working sheet'!$Q108)</f>
        <v>138.19999999999999</v>
      </c>
      <c r="AH108" s="17">
        <f>SUM('Working sheet'!$R108:$T108)</f>
        <v>369.4</v>
      </c>
      <c r="AI108" s="17">
        <f>SUM('Working sheet'!$U108)</f>
        <v>122.4</v>
      </c>
      <c r="AJ108" s="17">
        <f>SUM('Working sheet'!$V108)</f>
        <v>116</v>
      </c>
      <c r="AK108" s="18">
        <f>SUM('Working sheet'!$W108:$AC108)</f>
        <v>823.50000000000011</v>
      </c>
    </row>
    <row r="109" spans="1:37" x14ac:dyDescent="0.25">
      <c r="A109" s="13" t="s">
        <v>31</v>
      </c>
      <c r="B109" s="14">
        <v>2015</v>
      </c>
      <c r="C109" s="14" t="s">
        <v>43</v>
      </c>
      <c r="D109" s="14">
        <v>125.7</v>
      </c>
      <c r="E109" s="14">
        <v>131.4</v>
      </c>
      <c r="F109" s="14">
        <v>124.8</v>
      </c>
      <c r="G109" s="14">
        <v>129.4</v>
      </c>
      <c r="H109" s="14">
        <v>115.3</v>
      </c>
      <c r="I109" s="14">
        <v>126.6</v>
      </c>
      <c r="J109" s="14">
        <v>146.69999999999999</v>
      </c>
      <c r="K109" s="14">
        <v>171.5</v>
      </c>
      <c r="L109" s="14">
        <v>94.5</v>
      </c>
      <c r="M109" s="14">
        <v>132.1</v>
      </c>
      <c r="N109" s="14">
        <v>122</v>
      </c>
      <c r="O109" s="14">
        <v>134.69999999999999</v>
      </c>
      <c r="P109" s="14">
        <v>131.4</v>
      </c>
      <c r="Q109" s="14">
        <v>134.5</v>
      </c>
      <c r="R109" s="14">
        <v>129.69999999999999</v>
      </c>
      <c r="S109" s="14">
        <v>124.8</v>
      </c>
      <c r="T109" s="14">
        <v>129</v>
      </c>
      <c r="U109" s="14">
        <v>122.4</v>
      </c>
      <c r="V109" s="14">
        <v>122</v>
      </c>
      <c r="W109" s="14">
        <v>123.6</v>
      </c>
      <c r="X109" s="14">
        <v>121.4</v>
      </c>
      <c r="Y109" s="14">
        <v>111.5</v>
      </c>
      <c r="Z109" s="14">
        <v>119.6</v>
      </c>
      <c r="AA109" s="14">
        <v>126.2</v>
      </c>
      <c r="AB109" s="14">
        <v>113.7</v>
      </c>
      <c r="AC109" s="14">
        <v>118.3</v>
      </c>
      <c r="AD109" s="15">
        <v>126.1</v>
      </c>
      <c r="AF109" s="13">
        <f>SUM('Working sheet'!$D109:$P109)</f>
        <v>1686.1000000000001</v>
      </c>
      <c r="AG109" s="14">
        <f>SUM('Working sheet'!$Q109)</f>
        <v>134.5</v>
      </c>
      <c r="AH109" s="14">
        <f>SUM('Working sheet'!$R109:$T109)</f>
        <v>383.5</v>
      </c>
      <c r="AI109" s="14">
        <f>SUM('Working sheet'!$U109)</f>
        <v>122.4</v>
      </c>
      <c r="AJ109" s="14">
        <f>SUM('Working sheet'!$V109)</f>
        <v>122</v>
      </c>
      <c r="AK109" s="15">
        <f>SUM('Working sheet'!$W109:$AC109)</f>
        <v>834.30000000000007</v>
      </c>
    </row>
    <row r="110" spans="1:37" hidden="1" x14ac:dyDescent="0.25">
      <c r="A110" s="16" t="s">
        <v>28</v>
      </c>
      <c r="B110" s="17">
        <v>2016</v>
      </c>
      <c r="C110" s="17" t="s">
        <v>29</v>
      </c>
      <c r="D110" s="17">
        <v>126.8</v>
      </c>
      <c r="E110" s="17">
        <v>133.19999999999999</v>
      </c>
      <c r="F110" s="17">
        <v>126.5</v>
      </c>
      <c r="G110" s="17">
        <v>130.30000000000001</v>
      </c>
      <c r="H110" s="17">
        <v>118.9</v>
      </c>
      <c r="I110" s="17">
        <v>131.6</v>
      </c>
      <c r="J110" s="17">
        <v>140.1</v>
      </c>
      <c r="K110" s="17">
        <v>163.80000000000001</v>
      </c>
      <c r="L110" s="17">
        <v>97.7</v>
      </c>
      <c r="M110" s="17">
        <v>129.6</v>
      </c>
      <c r="N110" s="17">
        <v>124.3</v>
      </c>
      <c r="O110" s="17">
        <v>135.9</v>
      </c>
      <c r="P110" s="17">
        <v>131.4</v>
      </c>
      <c r="Q110" s="17">
        <v>133.6</v>
      </c>
      <c r="R110" s="17">
        <v>133.19999999999999</v>
      </c>
      <c r="S110" s="17">
        <v>128.9</v>
      </c>
      <c r="T110" s="17">
        <v>132.6</v>
      </c>
      <c r="U110" s="17">
        <v>123.9</v>
      </c>
      <c r="V110" s="17">
        <v>126.2</v>
      </c>
      <c r="W110" s="17">
        <v>126.6</v>
      </c>
      <c r="X110" s="17">
        <v>123.7</v>
      </c>
      <c r="Y110" s="17">
        <v>113.6</v>
      </c>
      <c r="Z110" s="17">
        <v>121.4</v>
      </c>
      <c r="AA110" s="17">
        <v>126.2</v>
      </c>
      <c r="AB110" s="17">
        <v>114.9</v>
      </c>
      <c r="AC110" s="17">
        <v>120.1</v>
      </c>
      <c r="AD110" s="18">
        <v>128.1</v>
      </c>
      <c r="AF110" s="16">
        <f>SUM('Working sheet'!$D110:$P110)</f>
        <v>1690.1000000000001</v>
      </c>
      <c r="AG110" s="17">
        <f>SUM('Working sheet'!$Q110)</f>
        <v>133.6</v>
      </c>
      <c r="AH110" s="17">
        <f>SUM('Working sheet'!$R110:$T110)</f>
        <v>394.70000000000005</v>
      </c>
      <c r="AI110" s="17">
        <f>SUM('Working sheet'!$U110)</f>
        <v>123.9</v>
      </c>
      <c r="AJ110" s="17">
        <f>SUM('Working sheet'!$V110)</f>
        <v>126.2</v>
      </c>
      <c r="AK110" s="18">
        <f>SUM('Working sheet'!$W110:$AC110)</f>
        <v>846.5</v>
      </c>
    </row>
    <row r="111" spans="1:37" hidden="1" x14ac:dyDescent="0.25">
      <c r="A111" s="13" t="s">
        <v>30</v>
      </c>
      <c r="B111" s="14">
        <v>2016</v>
      </c>
      <c r="C111" s="14" t="s">
        <v>29</v>
      </c>
      <c r="D111" s="14">
        <v>124.7</v>
      </c>
      <c r="E111" s="14">
        <v>135.9</v>
      </c>
      <c r="F111" s="14">
        <v>132</v>
      </c>
      <c r="G111" s="14">
        <v>129.19999999999999</v>
      </c>
      <c r="H111" s="14">
        <v>109.7</v>
      </c>
      <c r="I111" s="14">
        <v>119</v>
      </c>
      <c r="J111" s="14">
        <v>144.1</v>
      </c>
      <c r="K111" s="14">
        <v>184.2</v>
      </c>
      <c r="L111" s="14">
        <v>96.7</v>
      </c>
      <c r="M111" s="14">
        <v>139.5</v>
      </c>
      <c r="N111" s="14">
        <v>120.5</v>
      </c>
      <c r="O111" s="14">
        <v>134.69999999999999</v>
      </c>
      <c r="P111" s="14">
        <v>131.19999999999999</v>
      </c>
      <c r="Q111" s="14">
        <v>139.5</v>
      </c>
      <c r="R111" s="14">
        <v>125.8</v>
      </c>
      <c r="S111" s="14">
        <v>119.8</v>
      </c>
      <c r="T111" s="14">
        <v>124.9</v>
      </c>
      <c r="U111" s="14">
        <v>123.4</v>
      </c>
      <c r="V111" s="14">
        <v>116.9</v>
      </c>
      <c r="W111" s="14">
        <v>121.6</v>
      </c>
      <c r="X111" s="14">
        <v>119.1</v>
      </c>
      <c r="Y111" s="14">
        <v>108.9</v>
      </c>
      <c r="Z111" s="14">
        <v>118.5</v>
      </c>
      <c r="AA111" s="14">
        <v>126.4</v>
      </c>
      <c r="AB111" s="14">
        <v>114</v>
      </c>
      <c r="AC111" s="14">
        <v>116.8</v>
      </c>
      <c r="AD111" s="15">
        <v>124.2</v>
      </c>
      <c r="AF111" s="13">
        <f>SUM('Working sheet'!$D111:$P111)</f>
        <v>1701.4</v>
      </c>
      <c r="AG111" s="14">
        <f>SUM('Working sheet'!$Q111)</f>
        <v>139.5</v>
      </c>
      <c r="AH111" s="14">
        <f>SUM('Working sheet'!$R111:$T111)</f>
        <v>370.5</v>
      </c>
      <c r="AI111" s="14">
        <f>SUM('Working sheet'!$U111)</f>
        <v>123.4</v>
      </c>
      <c r="AJ111" s="14">
        <f>SUM('Working sheet'!$V111)</f>
        <v>116.9</v>
      </c>
      <c r="AK111" s="15">
        <f>SUM('Working sheet'!$W111:$AC111)</f>
        <v>825.3</v>
      </c>
    </row>
    <row r="112" spans="1:37" x14ac:dyDescent="0.25">
      <c r="A112" s="16" t="s">
        <v>31</v>
      </c>
      <c r="B112" s="17">
        <v>2016</v>
      </c>
      <c r="C112" s="17" t="s">
        <v>29</v>
      </c>
      <c r="D112" s="17">
        <v>126.1</v>
      </c>
      <c r="E112" s="17">
        <v>134.1</v>
      </c>
      <c r="F112" s="17">
        <v>128.6</v>
      </c>
      <c r="G112" s="17">
        <v>129.9</v>
      </c>
      <c r="H112" s="17">
        <v>115.5</v>
      </c>
      <c r="I112" s="17">
        <v>125.7</v>
      </c>
      <c r="J112" s="17">
        <v>141.5</v>
      </c>
      <c r="K112" s="17">
        <v>170.7</v>
      </c>
      <c r="L112" s="17">
        <v>97.4</v>
      </c>
      <c r="M112" s="17">
        <v>132.9</v>
      </c>
      <c r="N112" s="17">
        <v>122.7</v>
      </c>
      <c r="O112" s="17">
        <v>135.30000000000001</v>
      </c>
      <c r="P112" s="17">
        <v>131.30000000000001</v>
      </c>
      <c r="Q112" s="17">
        <v>135.19999999999999</v>
      </c>
      <c r="R112" s="17">
        <v>130.30000000000001</v>
      </c>
      <c r="S112" s="17">
        <v>125.1</v>
      </c>
      <c r="T112" s="17">
        <v>129.5</v>
      </c>
      <c r="U112" s="17">
        <v>123.4</v>
      </c>
      <c r="V112" s="17">
        <v>122.7</v>
      </c>
      <c r="W112" s="17">
        <v>124.2</v>
      </c>
      <c r="X112" s="17">
        <v>122</v>
      </c>
      <c r="Y112" s="17">
        <v>111.1</v>
      </c>
      <c r="Z112" s="17">
        <v>119.8</v>
      </c>
      <c r="AA112" s="17">
        <v>126.3</v>
      </c>
      <c r="AB112" s="17">
        <v>114.5</v>
      </c>
      <c r="AC112" s="17">
        <v>118.5</v>
      </c>
      <c r="AD112" s="18">
        <v>126.3</v>
      </c>
      <c r="AF112" s="16">
        <f>SUM('Working sheet'!$D112:$P112)</f>
        <v>1691.7</v>
      </c>
      <c r="AG112" s="17">
        <f>SUM('Working sheet'!$Q112)</f>
        <v>135.19999999999999</v>
      </c>
      <c r="AH112" s="17">
        <f>SUM('Working sheet'!$R112:$T112)</f>
        <v>384.9</v>
      </c>
      <c r="AI112" s="17">
        <f>SUM('Working sheet'!$U112)</f>
        <v>123.4</v>
      </c>
      <c r="AJ112" s="17">
        <f>SUM('Working sheet'!$V112)</f>
        <v>122.7</v>
      </c>
      <c r="AK112" s="18">
        <f>SUM('Working sheet'!$W112:$AC112)</f>
        <v>836.4</v>
      </c>
    </row>
    <row r="113" spans="1:37" hidden="1" x14ac:dyDescent="0.25">
      <c r="A113" s="13" t="s">
        <v>28</v>
      </c>
      <c r="B113" s="14">
        <v>2016</v>
      </c>
      <c r="C113" s="14" t="s">
        <v>32</v>
      </c>
      <c r="D113" s="14">
        <v>127.1</v>
      </c>
      <c r="E113" s="14">
        <v>133.69999999999999</v>
      </c>
      <c r="F113" s="14">
        <v>127.7</v>
      </c>
      <c r="G113" s="14">
        <v>130.69999999999999</v>
      </c>
      <c r="H113" s="14">
        <v>118.5</v>
      </c>
      <c r="I113" s="14">
        <v>130.4</v>
      </c>
      <c r="J113" s="14">
        <v>130.9</v>
      </c>
      <c r="K113" s="14">
        <v>162.80000000000001</v>
      </c>
      <c r="L113" s="14">
        <v>98.7</v>
      </c>
      <c r="M113" s="14">
        <v>130.6</v>
      </c>
      <c r="N113" s="14">
        <v>124.8</v>
      </c>
      <c r="O113" s="14">
        <v>136.4</v>
      </c>
      <c r="P113" s="14">
        <v>130.30000000000001</v>
      </c>
      <c r="Q113" s="14">
        <v>134.4</v>
      </c>
      <c r="R113" s="14">
        <v>133.9</v>
      </c>
      <c r="S113" s="14">
        <v>129.80000000000001</v>
      </c>
      <c r="T113" s="14">
        <v>133.4</v>
      </c>
      <c r="U113" s="14">
        <v>124.7</v>
      </c>
      <c r="V113" s="14">
        <v>127.5</v>
      </c>
      <c r="W113" s="14">
        <v>127.1</v>
      </c>
      <c r="X113" s="14">
        <v>124.3</v>
      </c>
      <c r="Y113" s="14">
        <v>113.9</v>
      </c>
      <c r="Z113" s="14">
        <v>122.3</v>
      </c>
      <c r="AA113" s="14">
        <v>127.1</v>
      </c>
      <c r="AB113" s="14">
        <v>116.8</v>
      </c>
      <c r="AC113" s="14">
        <v>120.9</v>
      </c>
      <c r="AD113" s="15">
        <v>127.9</v>
      </c>
      <c r="AF113" s="13">
        <f>SUM('Working sheet'!$D113:$P113)</f>
        <v>1682.6</v>
      </c>
      <c r="AG113" s="14">
        <f>SUM('Working sheet'!$Q113)</f>
        <v>134.4</v>
      </c>
      <c r="AH113" s="14">
        <f>SUM('Working sheet'!$R113:$T113)</f>
        <v>397.1</v>
      </c>
      <c r="AI113" s="14">
        <f>SUM('Working sheet'!$U113)</f>
        <v>124.7</v>
      </c>
      <c r="AJ113" s="14">
        <f>SUM('Working sheet'!$V113)</f>
        <v>127.5</v>
      </c>
      <c r="AK113" s="15">
        <f>SUM('Working sheet'!$W113:$AC113)</f>
        <v>852.39999999999986</v>
      </c>
    </row>
    <row r="114" spans="1:37" hidden="1" x14ac:dyDescent="0.25">
      <c r="A114" s="16" t="s">
        <v>30</v>
      </c>
      <c r="B114" s="17">
        <v>2016</v>
      </c>
      <c r="C114" s="17" t="s">
        <v>32</v>
      </c>
      <c r="D114" s="17">
        <v>124.8</v>
      </c>
      <c r="E114" s="17">
        <v>135.1</v>
      </c>
      <c r="F114" s="17">
        <v>130.30000000000001</v>
      </c>
      <c r="G114" s="17">
        <v>129.6</v>
      </c>
      <c r="H114" s="17">
        <v>108.4</v>
      </c>
      <c r="I114" s="17">
        <v>118.6</v>
      </c>
      <c r="J114" s="17">
        <v>129.19999999999999</v>
      </c>
      <c r="K114" s="17">
        <v>176.4</v>
      </c>
      <c r="L114" s="17">
        <v>99.1</v>
      </c>
      <c r="M114" s="17">
        <v>139.69999999999999</v>
      </c>
      <c r="N114" s="17">
        <v>120.6</v>
      </c>
      <c r="O114" s="17">
        <v>135.19999999999999</v>
      </c>
      <c r="P114" s="17">
        <v>129.1</v>
      </c>
      <c r="Q114" s="17">
        <v>140</v>
      </c>
      <c r="R114" s="17">
        <v>126.2</v>
      </c>
      <c r="S114" s="17">
        <v>120.1</v>
      </c>
      <c r="T114" s="17">
        <v>125.3</v>
      </c>
      <c r="U114" s="17">
        <v>124.4</v>
      </c>
      <c r="V114" s="17">
        <v>116</v>
      </c>
      <c r="W114" s="17">
        <v>121.8</v>
      </c>
      <c r="X114" s="17">
        <v>119.5</v>
      </c>
      <c r="Y114" s="17">
        <v>109.1</v>
      </c>
      <c r="Z114" s="17">
        <v>118.8</v>
      </c>
      <c r="AA114" s="17">
        <v>126.3</v>
      </c>
      <c r="AB114" s="17">
        <v>116.2</v>
      </c>
      <c r="AC114" s="17">
        <v>117.2</v>
      </c>
      <c r="AD114" s="18">
        <v>123.8</v>
      </c>
      <c r="AF114" s="16">
        <f>SUM('Working sheet'!$D114:$P114)</f>
        <v>1676.1</v>
      </c>
      <c r="AG114" s="17">
        <f>SUM('Working sheet'!$Q114)</f>
        <v>140</v>
      </c>
      <c r="AH114" s="17">
        <f>SUM('Working sheet'!$R114:$T114)</f>
        <v>371.6</v>
      </c>
      <c r="AI114" s="17">
        <f>SUM('Working sheet'!$U114)</f>
        <v>124.4</v>
      </c>
      <c r="AJ114" s="17">
        <f>SUM('Working sheet'!$V114)</f>
        <v>116</v>
      </c>
      <c r="AK114" s="18">
        <f>SUM('Working sheet'!$W114:$AC114)</f>
        <v>828.90000000000009</v>
      </c>
    </row>
    <row r="115" spans="1:37" x14ac:dyDescent="0.25">
      <c r="A115" s="13" t="s">
        <v>31</v>
      </c>
      <c r="B115" s="14">
        <v>2016</v>
      </c>
      <c r="C115" s="14" t="s">
        <v>32</v>
      </c>
      <c r="D115" s="14">
        <v>126.4</v>
      </c>
      <c r="E115" s="14">
        <v>134.19999999999999</v>
      </c>
      <c r="F115" s="14">
        <v>128.69999999999999</v>
      </c>
      <c r="G115" s="14">
        <v>130.30000000000001</v>
      </c>
      <c r="H115" s="14">
        <v>114.8</v>
      </c>
      <c r="I115" s="14">
        <v>124.9</v>
      </c>
      <c r="J115" s="14">
        <v>130.30000000000001</v>
      </c>
      <c r="K115" s="14">
        <v>167.4</v>
      </c>
      <c r="L115" s="14">
        <v>98.8</v>
      </c>
      <c r="M115" s="14">
        <v>133.6</v>
      </c>
      <c r="N115" s="14">
        <v>123</v>
      </c>
      <c r="O115" s="14">
        <v>135.80000000000001</v>
      </c>
      <c r="P115" s="14">
        <v>129.9</v>
      </c>
      <c r="Q115" s="14">
        <v>135.9</v>
      </c>
      <c r="R115" s="14">
        <v>130.9</v>
      </c>
      <c r="S115" s="14">
        <v>125.8</v>
      </c>
      <c r="T115" s="14">
        <v>130.19999999999999</v>
      </c>
      <c r="U115" s="14">
        <v>124.4</v>
      </c>
      <c r="V115" s="14">
        <v>123.1</v>
      </c>
      <c r="W115" s="14">
        <v>124.6</v>
      </c>
      <c r="X115" s="14">
        <v>122.5</v>
      </c>
      <c r="Y115" s="14">
        <v>111.4</v>
      </c>
      <c r="Z115" s="14">
        <v>120.3</v>
      </c>
      <c r="AA115" s="14">
        <v>126.6</v>
      </c>
      <c r="AB115" s="14">
        <v>116.6</v>
      </c>
      <c r="AC115" s="14">
        <v>119.1</v>
      </c>
      <c r="AD115" s="15">
        <v>126</v>
      </c>
      <c r="AF115" s="13">
        <f>SUM('Working sheet'!$D115:$P115)</f>
        <v>1678.1</v>
      </c>
      <c r="AG115" s="14">
        <f>SUM('Working sheet'!$Q115)</f>
        <v>135.9</v>
      </c>
      <c r="AH115" s="14">
        <f>SUM('Working sheet'!$R115:$T115)</f>
        <v>386.9</v>
      </c>
      <c r="AI115" s="14">
        <f>SUM('Working sheet'!$U115)</f>
        <v>124.4</v>
      </c>
      <c r="AJ115" s="14">
        <f>SUM('Working sheet'!$V115)</f>
        <v>123.1</v>
      </c>
      <c r="AK115" s="15">
        <f>SUM('Working sheet'!$W115:$AC115)</f>
        <v>841.1</v>
      </c>
    </row>
    <row r="116" spans="1:37" hidden="1" x14ac:dyDescent="0.25">
      <c r="A116" s="16" t="s">
        <v>28</v>
      </c>
      <c r="B116" s="17">
        <v>2016</v>
      </c>
      <c r="C116" s="17" t="s">
        <v>33</v>
      </c>
      <c r="D116" s="17">
        <v>127.3</v>
      </c>
      <c r="E116" s="17">
        <v>134.4</v>
      </c>
      <c r="F116" s="17">
        <v>125.1</v>
      </c>
      <c r="G116" s="17">
        <v>130.5</v>
      </c>
      <c r="H116" s="17">
        <v>118.3</v>
      </c>
      <c r="I116" s="17">
        <v>131.69999999999999</v>
      </c>
      <c r="J116" s="17">
        <v>130.69999999999999</v>
      </c>
      <c r="K116" s="17">
        <v>161.19999999999999</v>
      </c>
      <c r="L116" s="17">
        <v>100.4</v>
      </c>
      <c r="M116" s="17">
        <v>130.80000000000001</v>
      </c>
      <c r="N116" s="17">
        <v>124.9</v>
      </c>
      <c r="O116" s="17">
        <v>137</v>
      </c>
      <c r="P116" s="17">
        <v>130.4</v>
      </c>
      <c r="Q116" s="17">
        <v>135</v>
      </c>
      <c r="R116" s="17">
        <v>134.4</v>
      </c>
      <c r="S116" s="17">
        <v>130.19999999999999</v>
      </c>
      <c r="T116" s="17">
        <v>133.80000000000001</v>
      </c>
      <c r="U116" s="17">
        <v>125.3</v>
      </c>
      <c r="V116" s="17">
        <v>127</v>
      </c>
      <c r="W116" s="17">
        <v>127.7</v>
      </c>
      <c r="X116" s="17">
        <v>124.8</v>
      </c>
      <c r="Y116" s="17">
        <v>113.6</v>
      </c>
      <c r="Z116" s="17">
        <v>122.5</v>
      </c>
      <c r="AA116" s="17">
        <v>127.5</v>
      </c>
      <c r="AB116" s="17">
        <v>117.4</v>
      </c>
      <c r="AC116" s="17">
        <v>121.1</v>
      </c>
      <c r="AD116" s="18">
        <v>128</v>
      </c>
      <c r="AF116" s="16">
        <f>SUM('Working sheet'!$D116:$P116)</f>
        <v>1682.7000000000003</v>
      </c>
      <c r="AG116" s="17">
        <f>SUM('Working sheet'!$Q116)</f>
        <v>135</v>
      </c>
      <c r="AH116" s="17">
        <f>SUM('Working sheet'!$R116:$T116)</f>
        <v>398.40000000000003</v>
      </c>
      <c r="AI116" s="17">
        <f>SUM('Working sheet'!$U116)</f>
        <v>125.3</v>
      </c>
      <c r="AJ116" s="17">
        <f>SUM('Working sheet'!$V116)</f>
        <v>127</v>
      </c>
      <c r="AK116" s="18">
        <f>SUM('Working sheet'!$W116:$AC116)</f>
        <v>854.6</v>
      </c>
    </row>
    <row r="117" spans="1:37" hidden="1" x14ac:dyDescent="0.25">
      <c r="A117" s="13" t="s">
        <v>30</v>
      </c>
      <c r="B117" s="14">
        <v>2016</v>
      </c>
      <c r="C117" s="14" t="s">
        <v>33</v>
      </c>
      <c r="D117" s="14">
        <v>124.8</v>
      </c>
      <c r="E117" s="14">
        <v>136.30000000000001</v>
      </c>
      <c r="F117" s="14">
        <v>123.7</v>
      </c>
      <c r="G117" s="14">
        <v>129.69999999999999</v>
      </c>
      <c r="H117" s="14">
        <v>107.9</v>
      </c>
      <c r="I117" s="14">
        <v>119.9</v>
      </c>
      <c r="J117" s="14">
        <v>128.1</v>
      </c>
      <c r="K117" s="14">
        <v>170.3</v>
      </c>
      <c r="L117" s="14">
        <v>101.8</v>
      </c>
      <c r="M117" s="14">
        <v>140.1</v>
      </c>
      <c r="N117" s="14">
        <v>120.7</v>
      </c>
      <c r="O117" s="14">
        <v>135.4</v>
      </c>
      <c r="P117" s="14">
        <v>128.9</v>
      </c>
      <c r="Q117" s="14">
        <v>140.6</v>
      </c>
      <c r="R117" s="14">
        <v>126.4</v>
      </c>
      <c r="S117" s="14">
        <v>120.3</v>
      </c>
      <c r="T117" s="14">
        <v>125.5</v>
      </c>
      <c r="U117" s="14">
        <v>124.9</v>
      </c>
      <c r="V117" s="14">
        <v>114.8</v>
      </c>
      <c r="W117" s="14">
        <v>122.3</v>
      </c>
      <c r="X117" s="14">
        <v>119.7</v>
      </c>
      <c r="Y117" s="14">
        <v>108.5</v>
      </c>
      <c r="Z117" s="14">
        <v>119.1</v>
      </c>
      <c r="AA117" s="14">
        <v>126.4</v>
      </c>
      <c r="AB117" s="14">
        <v>117.1</v>
      </c>
      <c r="AC117" s="14">
        <v>117.3</v>
      </c>
      <c r="AD117" s="15">
        <v>123.8</v>
      </c>
      <c r="AF117" s="13">
        <f>SUM('Working sheet'!$D117:$P117)</f>
        <v>1667.6000000000001</v>
      </c>
      <c r="AG117" s="14">
        <f>SUM('Working sheet'!$Q117)</f>
        <v>140.6</v>
      </c>
      <c r="AH117" s="14">
        <f>SUM('Working sheet'!$R117:$T117)</f>
        <v>372.2</v>
      </c>
      <c r="AI117" s="14">
        <f>SUM('Working sheet'!$U117)</f>
        <v>124.9</v>
      </c>
      <c r="AJ117" s="14">
        <f>SUM('Working sheet'!$V117)</f>
        <v>114.8</v>
      </c>
      <c r="AK117" s="15">
        <f>SUM('Working sheet'!$W117:$AC117)</f>
        <v>830.4</v>
      </c>
    </row>
    <row r="118" spans="1:37" x14ac:dyDescent="0.25">
      <c r="A118" s="16" t="s">
        <v>31</v>
      </c>
      <c r="B118" s="17">
        <v>2016</v>
      </c>
      <c r="C118" s="17" t="s">
        <v>33</v>
      </c>
      <c r="D118" s="17">
        <v>126.5</v>
      </c>
      <c r="E118" s="17">
        <v>135.1</v>
      </c>
      <c r="F118" s="17">
        <v>124.6</v>
      </c>
      <c r="G118" s="17">
        <v>130.19999999999999</v>
      </c>
      <c r="H118" s="17">
        <v>114.5</v>
      </c>
      <c r="I118" s="17">
        <v>126.2</v>
      </c>
      <c r="J118" s="17">
        <v>129.80000000000001</v>
      </c>
      <c r="K118" s="17">
        <v>164.3</v>
      </c>
      <c r="L118" s="17">
        <v>100.9</v>
      </c>
      <c r="M118" s="17">
        <v>133.9</v>
      </c>
      <c r="N118" s="17">
        <v>123.1</v>
      </c>
      <c r="O118" s="17">
        <v>136.30000000000001</v>
      </c>
      <c r="P118" s="17">
        <v>129.80000000000001</v>
      </c>
      <c r="Q118" s="17">
        <v>136.5</v>
      </c>
      <c r="R118" s="17">
        <v>131.30000000000001</v>
      </c>
      <c r="S118" s="17">
        <v>126.1</v>
      </c>
      <c r="T118" s="17">
        <v>130.5</v>
      </c>
      <c r="U118" s="17">
        <v>124.9</v>
      </c>
      <c r="V118" s="17">
        <v>122.4</v>
      </c>
      <c r="W118" s="17">
        <v>125.1</v>
      </c>
      <c r="X118" s="17">
        <v>122.9</v>
      </c>
      <c r="Y118" s="17">
        <v>110.9</v>
      </c>
      <c r="Z118" s="17">
        <v>120.6</v>
      </c>
      <c r="AA118" s="17">
        <v>126.9</v>
      </c>
      <c r="AB118" s="17">
        <v>117.3</v>
      </c>
      <c r="AC118" s="17">
        <v>119.3</v>
      </c>
      <c r="AD118" s="18">
        <v>126</v>
      </c>
      <c r="AF118" s="16">
        <f>SUM('Working sheet'!$D118:$P118)</f>
        <v>1675.2</v>
      </c>
      <c r="AG118" s="17">
        <f>SUM('Working sheet'!$Q118)</f>
        <v>136.5</v>
      </c>
      <c r="AH118" s="17">
        <f>SUM('Working sheet'!$R118:$T118)</f>
        <v>387.9</v>
      </c>
      <c r="AI118" s="17">
        <f>SUM('Working sheet'!$U118)</f>
        <v>124.9</v>
      </c>
      <c r="AJ118" s="17">
        <f>SUM('Working sheet'!$V118)</f>
        <v>122.4</v>
      </c>
      <c r="AK118" s="18">
        <f>SUM('Working sheet'!$W118:$AC118)</f>
        <v>842.99999999999989</v>
      </c>
    </row>
    <row r="119" spans="1:37" hidden="1" x14ac:dyDescent="0.25">
      <c r="A119" s="13" t="s">
        <v>28</v>
      </c>
      <c r="B119" s="14">
        <v>2016</v>
      </c>
      <c r="C119" s="14" t="s">
        <v>34</v>
      </c>
      <c r="D119" s="14">
        <v>127.4</v>
      </c>
      <c r="E119" s="14">
        <v>135.4</v>
      </c>
      <c r="F119" s="14">
        <v>123.4</v>
      </c>
      <c r="G119" s="14">
        <v>131.30000000000001</v>
      </c>
      <c r="H119" s="14">
        <v>118.2</v>
      </c>
      <c r="I119" s="14">
        <v>138.1</v>
      </c>
      <c r="J119" s="14">
        <v>134.1</v>
      </c>
      <c r="K119" s="14">
        <v>162.69999999999999</v>
      </c>
      <c r="L119" s="14">
        <v>105</v>
      </c>
      <c r="M119" s="14">
        <v>131.4</v>
      </c>
      <c r="N119" s="14">
        <v>125.4</v>
      </c>
      <c r="O119" s="14">
        <v>137.4</v>
      </c>
      <c r="P119" s="14">
        <v>131.80000000000001</v>
      </c>
      <c r="Q119" s="14">
        <v>135.5</v>
      </c>
      <c r="R119" s="14">
        <v>135</v>
      </c>
      <c r="S119" s="14">
        <v>130.6</v>
      </c>
      <c r="T119" s="14">
        <v>134.4</v>
      </c>
      <c r="U119" s="14">
        <v>125.8</v>
      </c>
      <c r="V119" s="14">
        <v>127</v>
      </c>
      <c r="W119" s="14">
        <v>128</v>
      </c>
      <c r="X119" s="14">
        <v>125.2</v>
      </c>
      <c r="Y119" s="14">
        <v>114.4</v>
      </c>
      <c r="Z119" s="14">
        <v>123.2</v>
      </c>
      <c r="AA119" s="14">
        <v>127.9</v>
      </c>
      <c r="AB119" s="14">
        <v>118.4</v>
      </c>
      <c r="AC119" s="14">
        <v>121.7</v>
      </c>
      <c r="AD119" s="15">
        <v>129</v>
      </c>
      <c r="AF119" s="13">
        <f>SUM('Working sheet'!$D119:$P119)</f>
        <v>1701.6000000000004</v>
      </c>
      <c r="AG119" s="14">
        <f>SUM('Working sheet'!$Q119)</f>
        <v>135.5</v>
      </c>
      <c r="AH119" s="14">
        <f>SUM('Working sheet'!$R119:$T119)</f>
        <v>400</v>
      </c>
      <c r="AI119" s="14">
        <f>SUM('Working sheet'!$U119)</f>
        <v>125.8</v>
      </c>
      <c r="AJ119" s="14">
        <f>SUM('Working sheet'!$V119)</f>
        <v>127</v>
      </c>
      <c r="AK119" s="15">
        <f>SUM('Working sheet'!$W119:$AC119)</f>
        <v>858.80000000000007</v>
      </c>
    </row>
    <row r="120" spans="1:37" hidden="1" x14ac:dyDescent="0.25">
      <c r="A120" s="16" t="s">
        <v>30</v>
      </c>
      <c r="B120" s="17">
        <v>2016</v>
      </c>
      <c r="C120" s="17" t="s">
        <v>34</v>
      </c>
      <c r="D120" s="17">
        <v>124.9</v>
      </c>
      <c r="E120" s="17">
        <v>139.30000000000001</v>
      </c>
      <c r="F120" s="17">
        <v>119.9</v>
      </c>
      <c r="G120" s="17">
        <v>130.19999999999999</v>
      </c>
      <c r="H120" s="17">
        <v>108.9</v>
      </c>
      <c r="I120" s="17">
        <v>131.1</v>
      </c>
      <c r="J120" s="17">
        <v>136.80000000000001</v>
      </c>
      <c r="K120" s="17">
        <v>176.9</v>
      </c>
      <c r="L120" s="17">
        <v>109.1</v>
      </c>
      <c r="M120" s="17">
        <v>140.4</v>
      </c>
      <c r="N120" s="17">
        <v>121.1</v>
      </c>
      <c r="O120" s="17">
        <v>135.9</v>
      </c>
      <c r="P120" s="17">
        <v>131.80000000000001</v>
      </c>
      <c r="Q120" s="17">
        <v>141.5</v>
      </c>
      <c r="R120" s="17">
        <v>126.8</v>
      </c>
      <c r="S120" s="17">
        <v>120.5</v>
      </c>
      <c r="T120" s="17">
        <v>125.8</v>
      </c>
      <c r="U120" s="17">
        <v>125.6</v>
      </c>
      <c r="V120" s="17">
        <v>114.6</v>
      </c>
      <c r="W120" s="17">
        <v>122.8</v>
      </c>
      <c r="X120" s="17">
        <v>120</v>
      </c>
      <c r="Y120" s="17">
        <v>110</v>
      </c>
      <c r="Z120" s="17">
        <v>119.5</v>
      </c>
      <c r="AA120" s="17">
        <v>127.6</v>
      </c>
      <c r="AB120" s="17">
        <v>117.6</v>
      </c>
      <c r="AC120" s="17">
        <v>118.2</v>
      </c>
      <c r="AD120" s="18">
        <v>125.3</v>
      </c>
      <c r="AF120" s="16">
        <f>SUM('Working sheet'!$D120:$P120)</f>
        <v>1706.3</v>
      </c>
      <c r="AG120" s="17">
        <f>SUM('Working sheet'!$Q120)</f>
        <v>141.5</v>
      </c>
      <c r="AH120" s="17">
        <f>SUM('Working sheet'!$R120:$T120)</f>
        <v>373.1</v>
      </c>
      <c r="AI120" s="17">
        <f>SUM('Working sheet'!$U120)</f>
        <v>125.6</v>
      </c>
      <c r="AJ120" s="17">
        <f>SUM('Working sheet'!$V120)</f>
        <v>114.6</v>
      </c>
      <c r="AK120" s="18">
        <f>SUM('Working sheet'!$W120:$AC120)</f>
        <v>835.7</v>
      </c>
    </row>
    <row r="121" spans="1:37" x14ac:dyDescent="0.25">
      <c r="A121" s="13" t="s">
        <v>31</v>
      </c>
      <c r="B121" s="14">
        <v>2016</v>
      </c>
      <c r="C121" s="14" t="s">
        <v>34</v>
      </c>
      <c r="D121" s="14">
        <v>126.6</v>
      </c>
      <c r="E121" s="14">
        <v>136.80000000000001</v>
      </c>
      <c r="F121" s="14">
        <v>122</v>
      </c>
      <c r="G121" s="14">
        <v>130.9</v>
      </c>
      <c r="H121" s="14">
        <v>114.8</v>
      </c>
      <c r="I121" s="14">
        <v>134.80000000000001</v>
      </c>
      <c r="J121" s="14">
        <v>135</v>
      </c>
      <c r="K121" s="14">
        <v>167.5</v>
      </c>
      <c r="L121" s="14">
        <v>106.4</v>
      </c>
      <c r="M121" s="14">
        <v>134.4</v>
      </c>
      <c r="N121" s="14">
        <v>123.6</v>
      </c>
      <c r="O121" s="14">
        <v>136.69999999999999</v>
      </c>
      <c r="P121" s="14">
        <v>131.80000000000001</v>
      </c>
      <c r="Q121" s="14">
        <v>137.1</v>
      </c>
      <c r="R121" s="14">
        <v>131.80000000000001</v>
      </c>
      <c r="S121" s="14">
        <v>126.4</v>
      </c>
      <c r="T121" s="14">
        <v>131</v>
      </c>
      <c r="U121" s="14">
        <v>125.6</v>
      </c>
      <c r="V121" s="14">
        <v>122.3</v>
      </c>
      <c r="W121" s="14">
        <v>125.5</v>
      </c>
      <c r="X121" s="14">
        <v>123.2</v>
      </c>
      <c r="Y121" s="14">
        <v>112.1</v>
      </c>
      <c r="Z121" s="14">
        <v>121.1</v>
      </c>
      <c r="AA121" s="14">
        <v>127.7</v>
      </c>
      <c r="AB121" s="14">
        <v>118.1</v>
      </c>
      <c r="AC121" s="14">
        <v>120</v>
      </c>
      <c r="AD121" s="15">
        <v>127.3</v>
      </c>
      <c r="AF121" s="13">
        <f>SUM('Working sheet'!$D121:$P121)</f>
        <v>1701.3</v>
      </c>
      <c r="AG121" s="14">
        <f>SUM('Working sheet'!$Q121)</f>
        <v>137.1</v>
      </c>
      <c r="AH121" s="14">
        <f>SUM('Working sheet'!$R121:$T121)</f>
        <v>389.20000000000005</v>
      </c>
      <c r="AI121" s="14">
        <f>SUM('Working sheet'!$U121)</f>
        <v>125.6</v>
      </c>
      <c r="AJ121" s="14">
        <f>SUM('Working sheet'!$V121)</f>
        <v>122.3</v>
      </c>
      <c r="AK121" s="15">
        <f>SUM('Working sheet'!$W121:$AC121)</f>
        <v>847.7</v>
      </c>
    </row>
    <row r="122" spans="1:37" hidden="1" x14ac:dyDescent="0.25">
      <c r="A122" s="16" t="s">
        <v>28</v>
      </c>
      <c r="B122" s="17">
        <v>2016</v>
      </c>
      <c r="C122" s="17" t="s">
        <v>35</v>
      </c>
      <c r="D122" s="17">
        <v>127.6</v>
      </c>
      <c r="E122" s="17">
        <v>137.5</v>
      </c>
      <c r="F122" s="17">
        <v>124.4</v>
      </c>
      <c r="G122" s="17">
        <v>132.4</v>
      </c>
      <c r="H122" s="17">
        <v>118.2</v>
      </c>
      <c r="I122" s="17">
        <v>138.1</v>
      </c>
      <c r="J122" s="17">
        <v>141.80000000000001</v>
      </c>
      <c r="K122" s="17">
        <v>166</v>
      </c>
      <c r="L122" s="17">
        <v>107.5</v>
      </c>
      <c r="M122" s="17">
        <v>132.19999999999999</v>
      </c>
      <c r="N122" s="17">
        <v>126.1</v>
      </c>
      <c r="O122" s="17">
        <v>138.30000000000001</v>
      </c>
      <c r="P122" s="17">
        <v>133.6</v>
      </c>
      <c r="Q122" s="17">
        <v>136</v>
      </c>
      <c r="R122" s="17">
        <v>135.4</v>
      </c>
      <c r="S122" s="17">
        <v>131.1</v>
      </c>
      <c r="T122" s="17">
        <v>134.80000000000001</v>
      </c>
      <c r="U122" s="17">
        <v>125.8</v>
      </c>
      <c r="V122" s="17">
        <v>127.4</v>
      </c>
      <c r="W122" s="17">
        <v>128.5</v>
      </c>
      <c r="X122" s="17">
        <v>125.8</v>
      </c>
      <c r="Y122" s="17">
        <v>115.1</v>
      </c>
      <c r="Z122" s="17">
        <v>123.6</v>
      </c>
      <c r="AA122" s="17">
        <v>129.1</v>
      </c>
      <c r="AB122" s="17">
        <v>119.7</v>
      </c>
      <c r="AC122" s="17">
        <v>122.5</v>
      </c>
      <c r="AD122" s="18">
        <v>130.30000000000001</v>
      </c>
      <c r="AF122" s="16">
        <f>SUM('Working sheet'!$D122:$P122)</f>
        <v>1723.6999999999998</v>
      </c>
      <c r="AG122" s="17">
        <f>SUM('Working sheet'!$Q122)</f>
        <v>136</v>
      </c>
      <c r="AH122" s="17">
        <f>SUM('Working sheet'!$R122:$T122)</f>
        <v>401.3</v>
      </c>
      <c r="AI122" s="17">
        <f>SUM('Working sheet'!$U122)</f>
        <v>125.8</v>
      </c>
      <c r="AJ122" s="17">
        <f>SUM('Working sheet'!$V122)</f>
        <v>127.4</v>
      </c>
      <c r="AK122" s="18">
        <f>SUM('Working sheet'!$W122:$AC122)</f>
        <v>864.30000000000007</v>
      </c>
    </row>
    <row r="123" spans="1:37" hidden="1" x14ac:dyDescent="0.25">
      <c r="A123" s="13" t="s">
        <v>30</v>
      </c>
      <c r="B123" s="14">
        <v>2016</v>
      </c>
      <c r="C123" s="14" t="s">
        <v>35</v>
      </c>
      <c r="D123" s="14">
        <v>125</v>
      </c>
      <c r="E123" s="14">
        <v>142.1</v>
      </c>
      <c r="F123" s="14">
        <v>127</v>
      </c>
      <c r="G123" s="14">
        <v>130.4</v>
      </c>
      <c r="H123" s="14">
        <v>109.6</v>
      </c>
      <c r="I123" s="14">
        <v>133.5</v>
      </c>
      <c r="J123" s="14">
        <v>151.4</v>
      </c>
      <c r="K123" s="14">
        <v>182.8</v>
      </c>
      <c r="L123" s="14">
        <v>111.1</v>
      </c>
      <c r="M123" s="14">
        <v>141.5</v>
      </c>
      <c r="N123" s="14">
        <v>121.5</v>
      </c>
      <c r="O123" s="14">
        <v>136.30000000000001</v>
      </c>
      <c r="P123" s="14">
        <v>134.6</v>
      </c>
      <c r="Q123" s="14">
        <v>142.19999999999999</v>
      </c>
      <c r="R123" s="14">
        <v>127.2</v>
      </c>
      <c r="S123" s="14">
        <v>120.7</v>
      </c>
      <c r="T123" s="14">
        <v>126.2</v>
      </c>
      <c r="U123" s="14">
        <v>126</v>
      </c>
      <c r="V123" s="14">
        <v>115</v>
      </c>
      <c r="W123" s="14">
        <v>123.2</v>
      </c>
      <c r="X123" s="14">
        <v>120.3</v>
      </c>
      <c r="Y123" s="14">
        <v>110.7</v>
      </c>
      <c r="Z123" s="14">
        <v>119.8</v>
      </c>
      <c r="AA123" s="14">
        <v>128</v>
      </c>
      <c r="AB123" s="14">
        <v>118.5</v>
      </c>
      <c r="AC123" s="14">
        <v>118.7</v>
      </c>
      <c r="AD123" s="15">
        <v>126.6</v>
      </c>
      <c r="AF123" s="13">
        <f>SUM('Working sheet'!$D123:$P123)</f>
        <v>1746.7999999999997</v>
      </c>
      <c r="AG123" s="14">
        <f>SUM('Working sheet'!$Q123)</f>
        <v>142.19999999999999</v>
      </c>
      <c r="AH123" s="14">
        <f>SUM('Working sheet'!$R123:$T123)</f>
        <v>374.1</v>
      </c>
      <c r="AI123" s="14">
        <f>SUM('Working sheet'!$U123)</f>
        <v>126</v>
      </c>
      <c r="AJ123" s="14">
        <f>SUM('Working sheet'!$V123)</f>
        <v>115</v>
      </c>
      <c r="AK123" s="15">
        <f>SUM('Working sheet'!$W123:$AC123)</f>
        <v>839.2</v>
      </c>
    </row>
    <row r="124" spans="1:37" x14ac:dyDescent="0.25">
      <c r="A124" s="16" t="s">
        <v>31</v>
      </c>
      <c r="B124" s="17">
        <v>2016</v>
      </c>
      <c r="C124" s="17" t="s">
        <v>35</v>
      </c>
      <c r="D124" s="17">
        <v>126.8</v>
      </c>
      <c r="E124" s="17">
        <v>139.1</v>
      </c>
      <c r="F124" s="17">
        <v>125.4</v>
      </c>
      <c r="G124" s="17">
        <v>131.69999999999999</v>
      </c>
      <c r="H124" s="17">
        <v>115</v>
      </c>
      <c r="I124" s="17">
        <v>136</v>
      </c>
      <c r="J124" s="17">
        <v>145.1</v>
      </c>
      <c r="K124" s="17">
        <v>171.7</v>
      </c>
      <c r="L124" s="17">
        <v>108.7</v>
      </c>
      <c r="M124" s="17">
        <v>135.30000000000001</v>
      </c>
      <c r="N124" s="17">
        <v>124.2</v>
      </c>
      <c r="O124" s="17">
        <v>137.4</v>
      </c>
      <c r="P124" s="17">
        <v>134</v>
      </c>
      <c r="Q124" s="17">
        <v>137.69999999999999</v>
      </c>
      <c r="R124" s="17">
        <v>132.19999999999999</v>
      </c>
      <c r="S124" s="17">
        <v>126.8</v>
      </c>
      <c r="T124" s="17">
        <v>131.4</v>
      </c>
      <c r="U124" s="17">
        <v>126</v>
      </c>
      <c r="V124" s="17">
        <v>122.7</v>
      </c>
      <c r="W124" s="17">
        <v>126</v>
      </c>
      <c r="X124" s="17">
        <v>123.7</v>
      </c>
      <c r="Y124" s="17">
        <v>112.8</v>
      </c>
      <c r="Z124" s="17">
        <v>121.5</v>
      </c>
      <c r="AA124" s="17">
        <v>128.5</v>
      </c>
      <c r="AB124" s="17">
        <v>119.2</v>
      </c>
      <c r="AC124" s="17">
        <v>120.7</v>
      </c>
      <c r="AD124" s="18">
        <v>128.6</v>
      </c>
      <c r="AF124" s="16">
        <f>SUM('Working sheet'!$D124:$P124)</f>
        <v>1730.4</v>
      </c>
      <c r="AG124" s="17">
        <f>SUM('Working sheet'!$Q124)</f>
        <v>137.69999999999999</v>
      </c>
      <c r="AH124" s="17">
        <f>SUM('Working sheet'!$R124:$T124)</f>
        <v>390.4</v>
      </c>
      <c r="AI124" s="17">
        <f>SUM('Working sheet'!$U124)</f>
        <v>126</v>
      </c>
      <c r="AJ124" s="17">
        <f>SUM('Working sheet'!$V124)</f>
        <v>122.7</v>
      </c>
      <c r="AK124" s="18">
        <f>SUM('Working sheet'!$W124:$AC124)</f>
        <v>852.40000000000009</v>
      </c>
    </row>
    <row r="125" spans="1:37" hidden="1" x14ac:dyDescent="0.25">
      <c r="A125" s="13" t="s">
        <v>28</v>
      </c>
      <c r="B125" s="14">
        <v>2016</v>
      </c>
      <c r="C125" s="14" t="s">
        <v>36</v>
      </c>
      <c r="D125" s="14">
        <v>128.6</v>
      </c>
      <c r="E125" s="14">
        <v>138.6</v>
      </c>
      <c r="F125" s="14">
        <v>126.6</v>
      </c>
      <c r="G125" s="14">
        <v>133.6</v>
      </c>
      <c r="H125" s="14">
        <v>118.6</v>
      </c>
      <c r="I125" s="14">
        <v>137.4</v>
      </c>
      <c r="J125" s="14">
        <v>152.5</v>
      </c>
      <c r="K125" s="14">
        <v>169.2</v>
      </c>
      <c r="L125" s="14">
        <v>108.8</v>
      </c>
      <c r="M125" s="14">
        <v>133.1</v>
      </c>
      <c r="N125" s="14">
        <v>126.4</v>
      </c>
      <c r="O125" s="14">
        <v>139.19999999999999</v>
      </c>
      <c r="P125" s="14">
        <v>136</v>
      </c>
      <c r="Q125" s="14">
        <v>137.19999999999999</v>
      </c>
      <c r="R125" s="14">
        <v>136.30000000000001</v>
      </c>
      <c r="S125" s="14">
        <v>131.6</v>
      </c>
      <c r="T125" s="14">
        <v>135.6</v>
      </c>
      <c r="U125" s="14">
        <v>126</v>
      </c>
      <c r="V125" s="14">
        <v>128</v>
      </c>
      <c r="W125" s="14">
        <v>129.30000000000001</v>
      </c>
      <c r="X125" s="14">
        <v>126.2</v>
      </c>
      <c r="Y125" s="14">
        <v>116.3</v>
      </c>
      <c r="Z125" s="14">
        <v>124.1</v>
      </c>
      <c r="AA125" s="14">
        <v>130.19999999999999</v>
      </c>
      <c r="AB125" s="14">
        <v>119.9</v>
      </c>
      <c r="AC125" s="14">
        <v>123.3</v>
      </c>
      <c r="AD125" s="15">
        <v>131.9</v>
      </c>
      <c r="AF125" s="13">
        <f>SUM('Working sheet'!$D125:$P125)</f>
        <v>1748.6</v>
      </c>
      <c r="AG125" s="14">
        <f>SUM('Working sheet'!$Q125)</f>
        <v>137.19999999999999</v>
      </c>
      <c r="AH125" s="14">
        <f>SUM('Working sheet'!$R125:$T125)</f>
        <v>403.5</v>
      </c>
      <c r="AI125" s="14">
        <f>SUM('Working sheet'!$U125)</f>
        <v>126</v>
      </c>
      <c r="AJ125" s="14">
        <f>SUM('Working sheet'!$V125)</f>
        <v>128</v>
      </c>
      <c r="AK125" s="15">
        <f>SUM('Working sheet'!$W125:$AC125)</f>
        <v>869.29999999999984</v>
      </c>
    </row>
    <row r="126" spans="1:37" hidden="1" x14ac:dyDescent="0.25">
      <c r="A126" s="16" t="s">
        <v>30</v>
      </c>
      <c r="B126" s="17">
        <v>2016</v>
      </c>
      <c r="C126" s="17" t="s">
        <v>36</v>
      </c>
      <c r="D126" s="17">
        <v>125.9</v>
      </c>
      <c r="E126" s="17">
        <v>143.9</v>
      </c>
      <c r="F126" s="17">
        <v>130.9</v>
      </c>
      <c r="G126" s="17">
        <v>131</v>
      </c>
      <c r="H126" s="17">
        <v>110.2</v>
      </c>
      <c r="I126" s="17">
        <v>135.5</v>
      </c>
      <c r="J126" s="17">
        <v>173.7</v>
      </c>
      <c r="K126" s="17">
        <v>184.4</v>
      </c>
      <c r="L126" s="17">
        <v>112</v>
      </c>
      <c r="M126" s="17">
        <v>142.80000000000001</v>
      </c>
      <c r="N126" s="17">
        <v>121.6</v>
      </c>
      <c r="O126" s="17">
        <v>136.9</v>
      </c>
      <c r="P126" s="17">
        <v>138.19999999999999</v>
      </c>
      <c r="Q126" s="17">
        <v>142.69999999999999</v>
      </c>
      <c r="R126" s="17">
        <v>127.6</v>
      </c>
      <c r="S126" s="17">
        <v>121.1</v>
      </c>
      <c r="T126" s="17">
        <v>126.6</v>
      </c>
      <c r="U126" s="17">
        <v>125.5</v>
      </c>
      <c r="V126" s="17">
        <v>115.5</v>
      </c>
      <c r="W126" s="17">
        <v>123.2</v>
      </c>
      <c r="X126" s="17">
        <v>120.6</v>
      </c>
      <c r="Y126" s="17">
        <v>112.3</v>
      </c>
      <c r="Z126" s="17">
        <v>119.9</v>
      </c>
      <c r="AA126" s="17">
        <v>129.30000000000001</v>
      </c>
      <c r="AB126" s="17">
        <v>118.8</v>
      </c>
      <c r="AC126" s="17">
        <v>119.6</v>
      </c>
      <c r="AD126" s="18">
        <v>128.1</v>
      </c>
      <c r="AF126" s="16">
        <f>SUM('Working sheet'!$D126:$P126)</f>
        <v>1787.0000000000002</v>
      </c>
      <c r="AG126" s="17">
        <f>SUM('Working sheet'!$Q126)</f>
        <v>142.69999999999999</v>
      </c>
      <c r="AH126" s="17">
        <f>SUM('Working sheet'!$R126:$T126)</f>
        <v>375.29999999999995</v>
      </c>
      <c r="AI126" s="17">
        <f>SUM('Working sheet'!$U126)</f>
        <v>125.5</v>
      </c>
      <c r="AJ126" s="17">
        <f>SUM('Working sheet'!$V126)</f>
        <v>115.5</v>
      </c>
      <c r="AK126" s="18">
        <f>SUM('Working sheet'!$W126:$AC126)</f>
        <v>843.69999999999993</v>
      </c>
    </row>
    <row r="127" spans="1:37" x14ac:dyDescent="0.25">
      <c r="A127" s="13" t="s">
        <v>31</v>
      </c>
      <c r="B127" s="14">
        <v>2016</v>
      </c>
      <c r="C127" s="14" t="s">
        <v>36</v>
      </c>
      <c r="D127" s="14">
        <v>127.7</v>
      </c>
      <c r="E127" s="14">
        <v>140.5</v>
      </c>
      <c r="F127" s="14">
        <v>128.30000000000001</v>
      </c>
      <c r="G127" s="14">
        <v>132.6</v>
      </c>
      <c r="H127" s="14">
        <v>115.5</v>
      </c>
      <c r="I127" s="14">
        <v>136.5</v>
      </c>
      <c r="J127" s="14">
        <v>159.69999999999999</v>
      </c>
      <c r="K127" s="14">
        <v>174.3</v>
      </c>
      <c r="L127" s="14">
        <v>109.9</v>
      </c>
      <c r="M127" s="14">
        <v>136.30000000000001</v>
      </c>
      <c r="N127" s="14">
        <v>124.4</v>
      </c>
      <c r="O127" s="14">
        <v>138.1</v>
      </c>
      <c r="P127" s="14">
        <v>136.80000000000001</v>
      </c>
      <c r="Q127" s="14">
        <v>138.69999999999999</v>
      </c>
      <c r="R127" s="14">
        <v>132.9</v>
      </c>
      <c r="S127" s="14">
        <v>127.2</v>
      </c>
      <c r="T127" s="14">
        <v>132</v>
      </c>
      <c r="U127" s="14">
        <v>125.5</v>
      </c>
      <c r="V127" s="14">
        <v>123.3</v>
      </c>
      <c r="W127" s="14">
        <v>126.4</v>
      </c>
      <c r="X127" s="14">
        <v>124.1</v>
      </c>
      <c r="Y127" s="14">
        <v>114.2</v>
      </c>
      <c r="Z127" s="14">
        <v>121.7</v>
      </c>
      <c r="AA127" s="14">
        <v>129.69999999999999</v>
      </c>
      <c r="AB127" s="14">
        <v>119.4</v>
      </c>
      <c r="AC127" s="14">
        <v>121.5</v>
      </c>
      <c r="AD127" s="15">
        <v>130.1</v>
      </c>
      <c r="AF127" s="13">
        <f>SUM('Working sheet'!$D127:$P127)</f>
        <v>1760.6</v>
      </c>
      <c r="AG127" s="14">
        <f>SUM('Working sheet'!$Q127)</f>
        <v>138.69999999999999</v>
      </c>
      <c r="AH127" s="14">
        <f>SUM('Working sheet'!$R127:$T127)</f>
        <v>392.1</v>
      </c>
      <c r="AI127" s="14">
        <f>SUM('Working sheet'!$U127)</f>
        <v>125.5</v>
      </c>
      <c r="AJ127" s="14">
        <f>SUM('Working sheet'!$V127)</f>
        <v>123.3</v>
      </c>
      <c r="AK127" s="15">
        <f>SUM('Working sheet'!$W127:$AC127)</f>
        <v>856.99999999999989</v>
      </c>
    </row>
    <row r="128" spans="1:37" hidden="1" x14ac:dyDescent="0.25">
      <c r="A128" s="16" t="s">
        <v>28</v>
      </c>
      <c r="B128" s="17">
        <v>2016</v>
      </c>
      <c r="C128" s="17" t="s">
        <v>37</v>
      </c>
      <c r="D128" s="17">
        <v>129.30000000000001</v>
      </c>
      <c r="E128" s="17">
        <v>139.5</v>
      </c>
      <c r="F128" s="17">
        <v>129.6</v>
      </c>
      <c r="G128" s="17">
        <v>134.5</v>
      </c>
      <c r="H128" s="17">
        <v>119.5</v>
      </c>
      <c r="I128" s="17">
        <v>138.5</v>
      </c>
      <c r="J128" s="17">
        <v>158.19999999999999</v>
      </c>
      <c r="K128" s="17">
        <v>171.8</v>
      </c>
      <c r="L128" s="17">
        <v>110.3</v>
      </c>
      <c r="M128" s="17">
        <v>134.30000000000001</v>
      </c>
      <c r="N128" s="17">
        <v>127.3</v>
      </c>
      <c r="O128" s="17">
        <v>139.9</v>
      </c>
      <c r="P128" s="17">
        <v>137.6</v>
      </c>
      <c r="Q128" s="17">
        <v>138</v>
      </c>
      <c r="R128" s="17">
        <v>137.19999999999999</v>
      </c>
      <c r="S128" s="17">
        <v>132.19999999999999</v>
      </c>
      <c r="T128" s="17">
        <v>136.5</v>
      </c>
      <c r="U128" s="17">
        <v>126.9</v>
      </c>
      <c r="V128" s="17">
        <v>128.19999999999999</v>
      </c>
      <c r="W128" s="17">
        <v>130</v>
      </c>
      <c r="X128" s="17">
        <v>126.7</v>
      </c>
      <c r="Y128" s="17">
        <v>116.4</v>
      </c>
      <c r="Z128" s="17">
        <v>125.2</v>
      </c>
      <c r="AA128" s="17">
        <v>130.80000000000001</v>
      </c>
      <c r="AB128" s="17">
        <v>120.9</v>
      </c>
      <c r="AC128" s="17">
        <v>123.8</v>
      </c>
      <c r="AD128" s="18">
        <v>133</v>
      </c>
      <c r="AF128" s="16">
        <f>SUM('Working sheet'!$D128:$P128)</f>
        <v>1770.2999999999997</v>
      </c>
      <c r="AG128" s="17">
        <f>SUM('Working sheet'!$Q128)</f>
        <v>138</v>
      </c>
      <c r="AH128" s="17">
        <f>SUM('Working sheet'!$R128:$T128)</f>
        <v>405.9</v>
      </c>
      <c r="AI128" s="17">
        <f>SUM('Working sheet'!$U128)</f>
        <v>126.9</v>
      </c>
      <c r="AJ128" s="17">
        <f>SUM('Working sheet'!$V128)</f>
        <v>128.19999999999999</v>
      </c>
      <c r="AK128" s="18">
        <f>SUM('Working sheet'!$W128:$AC128)</f>
        <v>873.8</v>
      </c>
    </row>
    <row r="129" spans="1:37" hidden="1" x14ac:dyDescent="0.25">
      <c r="A129" s="13" t="s">
        <v>30</v>
      </c>
      <c r="B129" s="14">
        <v>2016</v>
      </c>
      <c r="C129" s="14" t="s">
        <v>37</v>
      </c>
      <c r="D129" s="14">
        <v>126.8</v>
      </c>
      <c r="E129" s="14">
        <v>144.19999999999999</v>
      </c>
      <c r="F129" s="14">
        <v>136.6</v>
      </c>
      <c r="G129" s="14">
        <v>131.80000000000001</v>
      </c>
      <c r="H129" s="14">
        <v>111</v>
      </c>
      <c r="I129" s="14">
        <v>137</v>
      </c>
      <c r="J129" s="14">
        <v>179.5</v>
      </c>
      <c r="K129" s="14">
        <v>188.4</v>
      </c>
      <c r="L129" s="14">
        <v>113.3</v>
      </c>
      <c r="M129" s="14">
        <v>143.9</v>
      </c>
      <c r="N129" s="14">
        <v>121.7</v>
      </c>
      <c r="O129" s="14">
        <v>137.5</v>
      </c>
      <c r="P129" s="14">
        <v>139.80000000000001</v>
      </c>
      <c r="Q129" s="14">
        <v>142.9</v>
      </c>
      <c r="R129" s="14">
        <v>127.9</v>
      </c>
      <c r="S129" s="14">
        <v>121.1</v>
      </c>
      <c r="T129" s="14">
        <v>126.9</v>
      </c>
      <c r="U129" s="14">
        <v>126.4</v>
      </c>
      <c r="V129" s="14">
        <v>115.5</v>
      </c>
      <c r="W129" s="14">
        <v>123.5</v>
      </c>
      <c r="X129" s="14">
        <v>120.9</v>
      </c>
      <c r="Y129" s="14">
        <v>111.7</v>
      </c>
      <c r="Z129" s="14">
        <v>120.3</v>
      </c>
      <c r="AA129" s="14">
        <v>130.80000000000001</v>
      </c>
      <c r="AB129" s="14">
        <v>120</v>
      </c>
      <c r="AC129" s="14">
        <v>119.9</v>
      </c>
      <c r="AD129" s="15">
        <v>129</v>
      </c>
      <c r="AF129" s="13">
        <f>SUM('Working sheet'!$D129:$P129)</f>
        <v>1811.5000000000002</v>
      </c>
      <c r="AG129" s="14">
        <f>SUM('Working sheet'!$Q129)</f>
        <v>142.9</v>
      </c>
      <c r="AH129" s="14">
        <f>SUM('Working sheet'!$R129:$T129)</f>
        <v>375.9</v>
      </c>
      <c r="AI129" s="14">
        <f>SUM('Working sheet'!$U129)</f>
        <v>126.4</v>
      </c>
      <c r="AJ129" s="14">
        <f>SUM('Working sheet'!$V129)</f>
        <v>115.5</v>
      </c>
      <c r="AK129" s="15">
        <f>SUM('Working sheet'!$W129:$AC129)</f>
        <v>847.1</v>
      </c>
    </row>
    <row r="130" spans="1:37" x14ac:dyDescent="0.25">
      <c r="A130" s="16" t="s">
        <v>31</v>
      </c>
      <c r="B130" s="17">
        <v>2016</v>
      </c>
      <c r="C130" s="17" t="s">
        <v>37</v>
      </c>
      <c r="D130" s="17">
        <v>128.5</v>
      </c>
      <c r="E130" s="17">
        <v>141.19999999999999</v>
      </c>
      <c r="F130" s="17">
        <v>132.30000000000001</v>
      </c>
      <c r="G130" s="17">
        <v>133.5</v>
      </c>
      <c r="H130" s="17">
        <v>116.4</v>
      </c>
      <c r="I130" s="17">
        <v>137.80000000000001</v>
      </c>
      <c r="J130" s="17">
        <v>165.4</v>
      </c>
      <c r="K130" s="17">
        <v>177.4</v>
      </c>
      <c r="L130" s="17">
        <v>111.3</v>
      </c>
      <c r="M130" s="17">
        <v>137.5</v>
      </c>
      <c r="N130" s="17">
        <v>125</v>
      </c>
      <c r="O130" s="17">
        <v>138.80000000000001</v>
      </c>
      <c r="P130" s="17">
        <v>138.4</v>
      </c>
      <c r="Q130" s="17">
        <v>139.30000000000001</v>
      </c>
      <c r="R130" s="17">
        <v>133.5</v>
      </c>
      <c r="S130" s="17">
        <v>127.6</v>
      </c>
      <c r="T130" s="17">
        <v>132.69999999999999</v>
      </c>
      <c r="U130" s="17">
        <v>126.4</v>
      </c>
      <c r="V130" s="17">
        <v>123.4</v>
      </c>
      <c r="W130" s="17">
        <v>126.9</v>
      </c>
      <c r="X130" s="17">
        <v>124.5</v>
      </c>
      <c r="Y130" s="17">
        <v>113.9</v>
      </c>
      <c r="Z130" s="17">
        <v>122.4</v>
      </c>
      <c r="AA130" s="17">
        <v>130.80000000000001</v>
      </c>
      <c r="AB130" s="17">
        <v>120.5</v>
      </c>
      <c r="AC130" s="17">
        <v>121.9</v>
      </c>
      <c r="AD130" s="18">
        <v>131.1</v>
      </c>
      <c r="AF130" s="16">
        <f>SUM('Working sheet'!$D130:$P130)</f>
        <v>1783.5</v>
      </c>
      <c r="AG130" s="17">
        <f>SUM('Working sheet'!$Q130)</f>
        <v>139.30000000000001</v>
      </c>
      <c r="AH130" s="17">
        <f>SUM('Working sheet'!$R130:$T130)</f>
        <v>393.8</v>
      </c>
      <c r="AI130" s="17">
        <f>SUM('Working sheet'!$U130)</f>
        <v>126.4</v>
      </c>
      <c r="AJ130" s="17">
        <f>SUM('Working sheet'!$V130)</f>
        <v>123.4</v>
      </c>
      <c r="AK130" s="18">
        <f>SUM('Working sheet'!$W130:$AC130)</f>
        <v>860.9</v>
      </c>
    </row>
    <row r="131" spans="1:37" hidden="1" x14ac:dyDescent="0.25">
      <c r="A131" s="13" t="s">
        <v>28</v>
      </c>
      <c r="B131" s="14">
        <v>2016</v>
      </c>
      <c r="C131" s="14" t="s">
        <v>38</v>
      </c>
      <c r="D131" s="14">
        <v>130.1</v>
      </c>
      <c r="E131" s="14">
        <v>138.80000000000001</v>
      </c>
      <c r="F131" s="14">
        <v>130.30000000000001</v>
      </c>
      <c r="G131" s="14">
        <v>135.30000000000001</v>
      </c>
      <c r="H131" s="14">
        <v>119.9</v>
      </c>
      <c r="I131" s="14">
        <v>140.19999999999999</v>
      </c>
      <c r="J131" s="14">
        <v>156.9</v>
      </c>
      <c r="K131" s="14">
        <v>172.2</v>
      </c>
      <c r="L131" s="14">
        <v>112.1</v>
      </c>
      <c r="M131" s="14">
        <v>134.9</v>
      </c>
      <c r="N131" s="14">
        <v>128.1</v>
      </c>
      <c r="O131" s="14">
        <v>140.69999999999999</v>
      </c>
      <c r="P131" s="14">
        <v>138</v>
      </c>
      <c r="Q131" s="14">
        <v>138.9</v>
      </c>
      <c r="R131" s="14">
        <v>137.80000000000001</v>
      </c>
      <c r="S131" s="14">
        <v>133</v>
      </c>
      <c r="T131" s="14">
        <v>137.1</v>
      </c>
      <c r="U131" s="14">
        <v>127.6</v>
      </c>
      <c r="V131" s="14">
        <v>129.1</v>
      </c>
      <c r="W131" s="14">
        <v>130.6</v>
      </c>
      <c r="X131" s="14">
        <v>127</v>
      </c>
      <c r="Y131" s="14">
        <v>116</v>
      </c>
      <c r="Z131" s="14">
        <v>125.5</v>
      </c>
      <c r="AA131" s="14">
        <v>131.9</v>
      </c>
      <c r="AB131" s="14">
        <v>122</v>
      </c>
      <c r="AC131" s="14">
        <v>124.2</v>
      </c>
      <c r="AD131" s="15">
        <v>133.5</v>
      </c>
      <c r="AF131" s="13">
        <f>SUM('Working sheet'!$D131:$P131)</f>
        <v>1777.4999999999998</v>
      </c>
      <c r="AG131" s="14">
        <f>SUM('Working sheet'!$Q131)</f>
        <v>138.9</v>
      </c>
      <c r="AH131" s="14">
        <f>SUM('Working sheet'!$R131:$T131)</f>
        <v>407.9</v>
      </c>
      <c r="AI131" s="14">
        <f>SUM('Working sheet'!$U131)</f>
        <v>127.6</v>
      </c>
      <c r="AJ131" s="14">
        <f>SUM('Working sheet'!$V131)</f>
        <v>129.1</v>
      </c>
      <c r="AK131" s="15">
        <f>SUM('Working sheet'!$W131:$AC131)</f>
        <v>877.2</v>
      </c>
    </row>
    <row r="132" spans="1:37" hidden="1" x14ac:dyDescent="0.25">
      <c r="A132" s="16" t="s">
        <v>30</v>
      </c>
      <c r="B132" s="17">
        <v>2016</v>
      </c>
      <c r="C132" s="17" t="s">
        <v>38</v>
      </c>
      <c r="D132" s="17">
        <v>127.6</v>
      </c>
      <c r="E132" s="17">
        <v>140.30000000000001</v>
      </c>
      <c r="F132" s="17">
        <v>133.69999999999999</v>
      </c>
      <c r="G132" s="17">
        <v>132.19999999999999</v>
      </c>
      <c r="H132" s="17">
        <v>111.8</v>
      </c>
      <c r="I132" s="17">
        <v>135.80000000000001</v>
      </c>
      <c r="J132" s="17">
        <v>163.5</v>
      </c>
      <c r="K132" s="17">
        <v>182.3</v>
      </c>
      <c r="L132" s="17">
        <v>114.6</v>
      </c>
      <c r="M132" s="17">
        <v>144.6</v>
      </c>
      <c r="N132" s="17">
        <v>121.9</v>
      </c>
      <c r="O132" s="17">
        <v>138.1</v>
      </c>
      <c r="P132" s="17">
        <v>137.6</v>
      </c>
      <c r="Q132" s="17">
        <v>143.6</v>
      </c>
      <c r="R132" s="17">
        <v>128.30000000000001</v>
      </c>
      <c r="S132" s="17">
        <v>121.4</v>
      </c>
      <c r="T132" s="17">
        <v>127.3</v>
      </c>
      <c r="U132" s="17">
        <v>127.3</v>
      </c>
      <c r="V132" s="17">
        <v>114.7</v>
      </c>
      <c r="W132" s="17">
        <v>123.9</v>
      </c>
      <c r="X132" s="17">
        <v>121.2</v>
      </c>
      <c r="Y132" s="17">
        <v>110.4</v>
      </c>
      <c r="Z132" s="17">
        <v>120.6</v>
      </c>
      <c r="AA132" s="17">
        <v>131.5</v>
      </c>
      <c r="AB132" s="17">
        <v>120.9</v>
      </c>
      <c r="AC132" s="17">
        <v>119.9</v>
      </c>
      <c r="AD132" s="18">
        <v>128.4</v>
      </c>
      <c r="AF132" s="16">
        <f>SUM('Working sheet'!$D132:$P132)</f>
        <v>1783.9999999999995</v>
      </c>
      <c r="AG132" s="17">
        <f>SUM('Working sheet'!$Q132)</f>
        <v>143.6</v>
      </c>
      <c r="AH132" s="17">
        <f>SUM('Working sheet'!$R132:$T132)</f>
        <v>377</v>
      </c>
      <c r="AI132" s="17">
        <f>SUM('Working sheet'!$U132)</f>
        <v>127.3</v>
      </c>
      <c r="AJ132" s="17">
        <f>SUM('Working sheet'!$V132)</f>
        <v>114.7</v>
      </c>
      <c r="AK132" s="18">
        <f>SUM('Working sheet'!$W132:$AC132)</f>
        <v>848.4</v>
      </c>
    </row>
    <row r="133" spans="1:37" x14ac:dyDescent="0.25">
      <c r="A133" s="13" t="s">
        <v>31</v>
      </c>
      <c r="B133" s="14">
        <v>2016</v>
      </c>
      <c r="C133" s="14" t="s">
        <v>38</v>
      </c>
      <c r="D133" s="14">
        <v>129.30000000000001</v>
      </c>
      <c r="E133" s="14">
        <v>139.30000000000001</v>
      </c>
      <c r="F133" s="14">
        <v>131.6</v>
      </c>
      <c r="G133" s="14">
        <v>134.1</v>
      </c>
      <c r="H133" s="14">
        <v>116.9</v>
      </c>
      <c r="I133" s="14">
        <v>138.1</v>
      </c>
      <c r="J133" s="14">
        <v>159.1</v>
      </c>
      <c r="K133" s="14">
        <v>175.6</v>
      </c>
      <c r="L133" s="14">
        <v>112.9</v>
      </c>
      <c r="M133" s="14">
        <v>138.1</v>
      </c>
      <c r="N133" s="14">
        <v>125.5</v>
      </c>
      <c r="O133" s="14">
        <v>139.5</v>
      </c>
      <c r="P133" s="14">
        <v>137.9</v>
      </c>
      <c r="Q133" s="14">
        <v>140.19999999999999</v>
      </c>
      <c r="R133" s="14">
        <v>134.1</v>
      </c>
      <c r="S133" s="14">
        <v>128.19999999999999</v>
      </c>
      <c r="T133" s="14">
        <v>133.19999999999999</v>
      </c>
      <c r="U133" s="14">
        <v>127.3</v>
      </c>
      <c r="V133" s="14">
        <v>123.6</v>
      </c>
      <c r="W133" s="14">
        <v>127.4</v>
      </c>
      <c r="X133" s="14">
        <v>124.8</v>
      </c>
      <c r="Y133" s="14">
        <v>113.1</v>
      </c>
      <c r="Z133" s="14">
        <v>122.7</v>
      </c>
      <c r="AA133" s="14">
        <v>131.69999999999999</v>
      </c>
      <c r="AB133" s="14">
        <v>121.5</v>
      </c>
      <c r="AC133" s="14">
        <v>122.1</v>
      </c>
      <c r="AD133" s="15">
        <v>131.1</v>
      </c>
      <c r="AF133" s="13">
        <f>SUM('Working sheet'!$D133:$P133)</f>
        <v>1777.9</v>
      </c>
      <c r="AG133" s="14">
        <f>SUM('Working sheet'!$Q133)</f>
        <v>140.19999999999999</v>
      </c>
      <c r="AH133" s="14">
        <f>SUM('Working sheet'!$R133:$T133)</f>
        <v>395.49999999999994</v>
      </c>
      <c r="AI133" s="14">
        <f>SUM('Working sheet'!$U133)</f>
        <v>127.3</v>
      </c>
      <c r="AJ133" s="14">
        <f>SUM('Working sheet'!$V133)</f>
        <v>123.6</v>
      </c>
      <c r="AK133" s="15">
        <f>SUM('Working sheet'!$W133:$AC133)</f>
        <v>863.3</v>
      </c>
    </row>
    <row r="134" spans="1:37" hidden="1" x14ac:dyDescent="0.25">
      <c r="A134" s="16" t="s">
        <v>28</v>
      </c>
      <c r="B134" s="17">
        <v>2016</v>
      </c>
      <c r="C134" s="17" t="s">
        <v>39</v>
      </c>
      <c r="D134" s="17">
        <v>130.80000000000001</v>
      </c>
      <c r="E134" s="17">
        <v>138.19999999999999</v>
      </c>
      <c r="F134" s="17">
        <v>130.5</v>
      </c>
      <c r="G134" s="17">
        <v>135.5</v>
      </c>
      <c r="H134" s="17">
        <v>120.2</v>
      </c>
      <c r="I134" s="17">
        <v>139.19999999999999</v>
      </c>
      <c r="J134" s="17">
        <v>149.5</v>
      </c>
      <c r="K134" s="17">
        <v>170.4</v>
      </c>
      <c r="L134" s="17">
        <v>113.1</v>
      </c>
      <c r="M134" s="17">
        <v>135.80000000000001</v>
      </c>
      <c r="N134" s="17">
        <v>128.80000000000001</v>
      </c>
      <c r="O134" s="17">
        <v>141.5</v>
      </c>
      <c r="P134" s="17">
        <v>137.19999999999999</v>
      </c>
      <c r="Q134" s="17">
        <v>139.9</v>
      </c>
      <c r="R134" s="17">
        <v>138.5</v>
      </c>
      <c r="S134" s="17">
        <v>133.5</v>
      </c>
      <c r="T134" s="17">
        <v>137.80000000000001</v>
      </c>
      <c r="U134" s="17">
        <v>128.30000000000001</v>
      </c>
      <c r="V134" s="17">
        <v>129.69999999999999</v>
      </c>
      <c r="W134" s="17">
        <v>131.1</v>
      </c>
      <c r="X134" s="17">
        <v>127.8</v>
      </c>
      <c r="Y134" s="17">
        <v>117</v>
      </c>
      <c r="Z134" s="17">
        <v>125.7</v>
      </c>
      <c r="AA134" s="17">
        <v>132.19999999999999</v>
      </c>
      <c r="AB134" s="17">
        <v>122.8</v>
      </c>
      <c r="AC134" s="17">
        <v>124.9</v>
      </c>
      <c r="AD134" s="18">
        <v>133.4</v>
      </c>
      <c r="AF134" s="16">
        <f>SUM('Working sheet'!$D134:$P134)</f>
        <v>1770.7</v>
      </c>
      <c r="AG134" s="17">
        <f>SUM('Working sheet'!$Q134)</f>
        <v>139.9</v>
      </c>
      <c r="AH134" s="17">
        <f>SUM('Working sheet'!$R134:$T134)</f>
        <v>409.8</v>
      </c>
      <c r="AI134" s="17">
        <f>SUM('Working sheet'!$U134)</f>
        <v>128.30000000000001</v>
      </c>
      <c r="AJ134" s="17">
        <f>SUM('Working sheet'!$V134)</f>
        <v>129.69999999999999</v>
      </c>
      <c r="AK134" s="18">
        <f>SUM('Working sheet'!$W134:$AC134)</f>
        <v>881.49999999999989</v>
      </c>
    </row>
    <row r="135" spans="1:37" hidden="1" x14ac:dyDescent="0.25">
      <c r="A135" s="13" t="s">
        <v>30</v>
      </c>
      <c r="B135" s="14">
        <v>2016</v>
      </c>
      <c r="C135" s="14" t="s">
        <v>39</v>
      </c>
      <c r="D135" s="14">
        <v>128.1</v>
      </c>
      <c r="E135" s="14">
        <v>137.69999999999999</v>
      </c>
      <c r="F135" s="14">
        <v>130.6</v>
      </c>
      <c r="G135" s="14">
        <v>132.6</v>
      </c>
      <c r="H135" s="14">
        <v>111.9</v>
      </c>
      <c r="I135" s="14">
        <v>132.5</v>
      </c>
      <c r="J135" s="14">
        <v>152.9</v>
      </c>
      <c r="K135" s="14">
        <v>173.6</v>
      </c>
      <c r="L135" s="14">
        <v>115.1</v>
      </c>
      <c r="M135" s="14">
        <v>144.80000000000001</v>
      </c>
      <c r="N135" s="14">
        <v>122.1</v>
      </c>
      <c r="O135" s="14">
        <v>138.80000000000001</v>
      </c>
      <c r="P135" s="14">
        <v>135.69999999999999</v>
      </c>
      <c r="Q135" s="14">
        <v>143.9</v>
      </c>
      <c r="R135" s="14">
        <v>128.69999999999999</v>
      </c>
      <c r="S135" s="14">
        <v>121.6</v>
      </c>
      <c r="T135" s="14">
        <v>127.7</v>
      </c>
      <c r="U135" s="14">
        <v>127.9</v>
      </c>
      <c r="V135" s="14">
        <v>114.8</v>
      </c>
      <c r="W135" s="14">
        <v>124.3</v>
      </c>
      <c r="X135" s="14">
        <v>121.4</v>
      </c>
      <c r="Y135" s="14">
        <v>111.8</v>
      </c>
      <c r="Z135" s="14">
        <v>120.8</v>
      </c>
      <c r="AA135" s="14">
        <v>131.6</v>
      </c>
      <c r="AB135" s="14">
        <v>121.2</v>
      </c>
      <c r="AC135" s="14">
        <v>120.5</v>
      </c>
      <c r="AD135" s="15">
        <v>128</v>
      </c>
      <c r="AF135" s="13">
        <f>SUM('Working sheet'!$D135:$P135)</f>
        <v>1756.3999999999996</v>
      </c>
      <c r="AG135" s="14">
        <f>SUM('Working sheet'!$Q135)</f>
        <v>143.9</v>
      </c>
      <c r="AH135" s="14">
        <f>SUM('Working sheet'!$R135:$T135)</f>
        <v>378</v>
      </c>
      <c r="AI135" s="14">
        <f>SUM('Working sheet'!$U135)</f>
        <v>127.9</v>
      </c>
      <c r="AJ135" s="14">
        <f>SUM('Working sheet'!$V135)</f>
        <v>114.8</v>
      </c>
      <c r="AK135" s="15">
        <f>SUM('Working sheet'!$W135:$AC135)</f>
        <v>851.6</v>
      </c>
    </row>
    <row r="136" spans="1:37" x14ac:dyDescent="0.25">
      <c r="A136" s="16" t="s">
        <v>31</v>
      </c>
      <c r="B136" s="17">
        <v>2016</v>
      </c>
      <c r="C136" s="17" t="s">
        <v>39</v>
      </c>
      <c r="D136" s="17">
        <v>129.9</v>
      </c>
      <c r="E136" s="17">
        <v>138</v>
      </c>
      <c r="F136" s="17">
        <v>130.5</v>
      </c>
      <c r="G136" s="17">
        <v>134.4</v>
      </c>
      <c r="H136" s="17">
        <v>117.2</v>
      </c>
      <c r="I136" s="17">
        <v>136.1</v>
      </c>
      <c r="J136" s="17">
        <v>150.69999999999999</v>
      </c>
      <c r="K136" s="17">
        <v>171.5</v>
      </c>
      <c r="L136" s="17">
        <v>113.8</v>
      </c>
      <c r="M136" s="17">
        <v>138.80000000000001</v>
      </c>
      <c r="N136" s="17">
        <v>126</v>
      </c>
      <c r="O136" s="17">
        <v>140.19999999999999</v>
      </c>
      <c r="P136" s="17">
        <v>136.6</v>
      </c>
      <c r="Q136" s="17">
        <v>141</v>
      </c>
      <c r="R136" s="17">
        <v>134.6</v>
      </c>
      <c r="S136" s="17">
        <v>128.6</v>
      </c>
      <c r="T136" s="17">
        <v>133.80000000000001</v>
      </c>
      <c r="U136" s="17">
        <v>127.9</v>
      </c>
      <c r="V136" s="17">
        <v>124.1</v>
      </c>
      <c r="W136" s="17">
        <v>127.9</v>
      </c>
      <c r="X136" s="17">
        <v>125.4</v>
      </c>
      <c r="Y136" s="17">
        <v>114.3</v>
      </c>
      <c r="Z136" s="17">
        <v>122.9</v>
      </c>
      <c r="AA136" s="17">
        <v>131.80000000000001</v>
      </c>
      <c r="AB136" s="17">
        <v>122.1</v>
      </c>
      <c r="AC136" s="17">
        <v>122.8</v>
      </c>
      <c r="AD136" s="18">
        <v>130.9</v>
      </c>
      <c r="AF136" s="16">
        <f>SUM('Working sheet'!$D136:$P136)</f>
        <v>1763.6999999999998</v>
      </c>
      <c r="AG136" s="17">
        <f>SUM('Working sheet'!$Q136)</f>
        <v>141</v>
      </c>
      <c r="AH136" s="17">
        <f>SUM('Working sheet'!$R136:$T136)</f>
        <v>397</v>
      </c>
      <c r="AI136" s="17">
        <f>SUM('Working sheet'!$U136)</f>
        <v>127.9</v>
      </c>
      <c r="AJ136" s="17">
        <f>SUM('Working sheet'!$V136)</f>
        <v>124.1</v>
      </c>
      <c r="AK136" s="18">
        <f>SUM('Working sheet'!$W136:$AC136)</f>
        <v>867.19999999999993</v>
      </c>
    </row>
    <row r="137" spans="1:37" hidden="1" x14ac:dyDescent="0.25">
      <c r="A137" s="13" t="s">
        <v>28</v>
      </c>
      <c r="B137" s="14">
        <v>2016</v>
      </c>
      <c r="C137" s="14" t="s">
        <v>40</v>
      </c>
      <c r="D137" s="14">
        <v>131.30000000000001</v>
      </c>
      <c r="E137" s="14">
        <v>137.6</v>
      </c>
      <c r="F137" s="14">
        <v>130.1</v>
      </c>
      <c r="G137" s="14">
        <v>136</v>
      </c>
      <c r="H137" s="14">
        <v>120.8</v>
      </c>
      <c r="I137" s="14">
        <v>138.4</v>
      </c>
      <c r="J137" s="14">
        <v>149.19999999999999</v>
      </c>
      <c r="K137" s="14">
        <v>170.2</v>
      </c>
      <c r="L137" s="14">
        <v>113.4</v>
      </c>
      <c r="M137" s="14">
        <v>136.30000000000001</v>
      </c>
      <c r="N137" s="14">
        <v>128.69999999999999</v>
      </c>
      <c r="O137" s="14">
        <v>142.4</v>
      </c>
      <c r="P137" s="14">
        <v>137.4</v>
      </c>
      <c r="Q137" s="14">
        <v>140.9</v>
      </c>
      <c r="R137" s="14">
        <v>139.6</v>
      </c>
      <c r="S137" s="14">
        <v>134.30000000000001</v>
      </c>
      <c r="T137" s="14">
        <v>138.80000000000001</v>
      </c>
      <c r="U137" s="14">
        <v>128.9</v>
      </c>
      <c r="V137" s="14">
        <v>129.80000000000001</v>
      </c>
      <c r="W137" s="14">
        <v>131.80000000000001</v>
      </c>
      <c r="X137" s="14">
        <v>128.69999999999999</v>
      </c>
      <c r="Y137" s="14">
        <v>117.8</v>
      </c>
      <c r="Z137" s="14">
        <v>126.5</v>
      </c>
      <c r="AA137" s="14">
        <v>133</v>
      </c>
      <c r="AB137" s="14">
        <v>123</v>
      </c>
      <c r="AC137" s="14">
        <v>125.7</v>
      </c>
      <c r="AD137" s="15">
        <v>133.80000000000001</v>
      </c>
      <c r="AF137" s="13">
        <f>SUM('Working sheet'!$D137:$P137)</f>
        <v>1771.8000000000002</v>
      </c>
      <c r="AG137" s="14">
        <f>SUM('Working sheet'!$Q137)</f>
        <v>140.9</v>
      </c>
      <c r="AH137" s="14">
        <f>SUM('Working sheet'!$R137:$T137)</f>
        <v>412.7</v>
      </c>
      <c r="AI137" s="14">
        <f>SUM('Working sheet'!$U137)</f>
        <v>128.9</v>
      </c>
      <c r="AJ137" s="14">
        <f>SUM('Working sheet'!$V137)</f>
        <v>129.80000000000001</v>
      </c>
      <c r="AK137" s="15">
        <f>SUM('Working sheet'!$W137:$AC137)</f>
        <v>886.5</v>
      </c>
    </row>
    <row r="138" spans="1:37" hidden="1" x14ac:dyDescent="0.25">
      <c r="A138" s="16" t="s">
        <v>30</v>
      </c>
      <c r="B138" s="17">
        <v>2016</v>
      </c>
      <c r="C138" s="17" t="s">
        <v>40</v>
      </c>
      <c r="D138" s="17">
        <v>128.69999999999999</v>
      </c>
      <c r="E138" s="17">
        <v>138.4</v>
      </c>
      <c r="F138" s="17">
        <v>130.30000000000001</v>
      </c>
      <c r="G138" s="17">
        <v>132.69999999999999</v>
      </c>
      <c r="H138" s="17">
        <v>112.5</v>
      </c>
      <c r="I138" s="17">
        <v>130.4</v>
      </c>
      <c r="J138" s="17">
        <v>155.1</v>
      </c>
      <c r="K138" s="17">
        <v>175.7</v>
      </c>
      <c r="L138" s="17">
        <v>115.4</v>
      </c>
      <c r="M138" s="17">
        <v>145.30000000000001</v>
      </c>
      <c r="N138" s="17">
        <v>122.5</v>
      </c>
      <c r="O138" s="17">
        <v>139.6</v>
      </c>
      <c r="P138" s="17">
        <v>136.30000000000001</v>
      </c>
      <c r="Q138" s="17">
        <v>144.30000000000001</v>
      </c>
      <c r="R138" s="17">
        <v>129.1</v>
      </c>
      <c r="S138" s="17">
        <v>121.9</v>
      </c>
      <c r="T138" s="17">
        <v>128</v>
      </c>
      <c r="U138" s="17">
        <v>128.69999999999999</v>
      </c>
      <c r="V138" s="17">
        <v>115.2</v>
      </c>
      <c r="W138" s="17">
        <v>124.5</v>
      </c>
      <c r="X138" s="17">
        <v>121.8</v>
      </c>
      <c r="Y138" s="17">
        <v>112.8</v>
      </c>
      <c r="Z138" s="17">
        <v>121.2</v>
      </c>
      <c r="AA138" s="17">
        <v>131.9</v>
      </c>
      <c r="AB138" s="17">
        <v>120.8</v>
      </c>
      <c r="AC138" s="17">
        <v>120.9</v>
      </c>
      <c r="AD138" s="18">
        <v>128.6</v>
      </c>
      <c r="AF138" s="16">
        <f>SUM('Working sheet'!$D138:$P138)</f>
        <v>1762.8999999999999</v>
      </c>
      <c r="AG138" s="17">
        <f>SUM('Working sheet'!$Q138)</f>
        <v>144.30000000000001</v>
      </c>
      <c r="AH138" s="17">
        <f>SUM('Working sheet'!$R138:$T138)</f>
        <v>379</v>
      </c>
      <c r="AI138" s="17">
        <f>SUM('Working sheet'!$U138)</f>
        <v>128.69999999999999</v>
      </c>
      <c r="AJ138" s="17">
        <f>SUM('Working sheet'!$V138)</f>
        <v>115.2</v>
      </c>
      <c r="AK138" s="18">
        <f>SUM('Working sheet'!$W138:$AC138)</f>
        <v>853.9</v>
      </c>
    </row>
    <row r="139" spans="1:37" x14ac:dyDescent="0.25">
      <c r="A139" s="13" t="s">
        <v>31</v>
      </c>
      <c r="B139" s="14">
        <v>2016</v>
      </c>
      <c r="C139" s="14" t="s">
        <v>40</v>
      </c>
      <c r="D139" s="14">
        <v>130.5</v>
      </c>
      <c r="E139" s="14">
        <v>137.9</v>
      </c>
      <c r="F139" s="14">
        <v>130.19999999999999</v>
      </c>
      <c r="G139" s="14">
        <v>134.80000000000001</v>
      </c>
      <c r="H139" s="14">
        <v>117.8</v>
      </c>
      <c r="I139" s="14">
        <v>134.69999999999999</v>
      </c>
      <c r="J139" s="14">
        <v>151.19999999999999</v>
      </c>
      <c r="K139" s="14">
        <v>172.1</v>
      </c>
      <c r="L139" s="14">
        <v>114.1</v>
      </c>
      <c r="M139" s="14">
        <v>139.30000000000001</v>
      </c>
      <c r="N139" s="14">
        <v>126.1</v>
      </c>
      <c r="O139" s="14">
        <v>141.1</v>
      </c>
      <c r="P139" s="14">
        <v>137</v>
      </c>
      <c r="Q139" s="14">
        <v>141.80000000000001</v>
      </c>
      <c r="R139" s="14">
        <v>135.5</v>
      </c>
      <c r="S139" s="14">
        <v>129.1</v>
      </c>
      <c r="T139" s="14">
        <v>134.5</v>
      </c>
      <c r="U139" s="14">
        <v>128.69999999999999</v>
      </c>
      <c r="V139" s="14">
        <v>124.3</v>
      </c>
      <c r="W139" s="14">
        <v>128.4</v>
      </c>
      <c r="X139" s="14">
        <v>126.1</v>
      </c>
      <c r="Y139" s="14">
        <v>115.2</v>
      </c>
      <c r="Z139" s="14">
        <v>123.5</v>
      </c>
      <c r="AA139" s="14">
        <v>132.4</v>
      </c>
      <c r="AB139" s="14">
        <v>122.1</v>
      </c>
      <c r="AC139" s="14">
        <v>123.4</v>
      </c>
      <c r="AD139" s="15">
        <v>131.4</v>
      </c>
      <c r="AF139" s="13">
        <f>SUM('Working sheet'!$D139:$P139)</f>
        <v>1766.7999999999995</v>
      </c>
      <c r="AG139" s="14">
        <f>SUM('Working sheet'!$Q139)</f>
        <v>141.80000000000001</v>
      </c>
      <c r="AH139" s="14">
        <f>SUM('Working sheet'!$R139:$T139)</f>
        <v>399.1</v>
      </c>
      <c r="AI139" s="14">
        <f>SUM('Working sheet'!$U139)</f>
        <v>128.69999999999999</v>
      </c>
      <c r="AJ139" s="14">
        <f>SUM('Working sheet'!$V139)</f>
        <v>124.3</v>
      </c>
      <c r="AK139" s="15">
        <f>SUM('Working sheet'!$W139:$AC139)</f>
        <v>871.1</v>
      </c>
    </row>
    <row r="140" spans="1:37" hidden="1" x14ac:dyDescent="0.25">
      <c r="A140" s="16" t="s">
        <v>28</v>
      </c>
      <c r="B140" s="17">
        <v>2016</v>
      </c>
      <c r="C140" s="17" t="s">
        <v>42</v>
      </c>
      <c r="D140" s="17">
        <v>132</v>
      </c>
      <c r="E140" s="17">
        <v>137.4</v>
      </c>
      <c r="F140" s="17">
        <v>130.6</v>
      </c>
      <c r="G140" s="17">
        <v>136.19999999999999</v>
      </c>
      <c r="H140" s="17">
        <v>121.1</v>
      </c>
      <c r="I140" s="17">
        <v>136.9</v>
      </c>
      <c r="J140" s="17">
        <v>141.80000000000001</v>
      </c>
      <c r="K140" s="17">
        <v>170</v>
      </c>
      <c r="L140" s="17">
        <v>113.4</v>
      </c>
      <c r="M140" s="17">
        <v>136.80000000000001</v>
      </c>
      <c r="N140" s="17">
        <v>128.69999999999999</v>
      </c>
      <c r="O140" s="17">
        <v>143.1</v>
      </c>
      <c r="P140" s="17">
        <v>136.6</v>
      </c>
      <c r="Q140" s="17">
        <v>141.19999999999999</v>
      </c>
      <c r="R140" s="17">
        <v>139.9</v>
      </c>
      <c r="S140" s="17">
        <v>134.5</v>
      </c>
      <c r="T140" s="17">
        <v>139.19999999999999</v>
      </c>
      <c r="U140" s="17">
        <v>128.80000000000001</v>
      </c>
      <c r="V140" s="17">
        <v>130.30000000000001</v>
      </c>
      <c r="W140" s="17">
        <v>132.1</v>
      </c>
      <c r="X140" s="17">
        <v>129.1</v>
      </c>
      <c r="Y140" s="17">
        <v>118.2</v>
      </c>
      <c r="Z140" s="17">
        <v>126.9</v>
      </c>
      <c r="AA140" s="17">
        <v>133.69999999999999</v>
      </c>
      <c r="AB140" s="17">
        <v>123.5</v>
      </c>
      <c r="AC140" s="17">
        <v>126.1</v>
      </c>
      <c r="AD140" s="18">
        <v>133.6</v>
      </c>
      <c r="AF140" s="16">
        <f>SUM('Working sheet'!$D140:$P140)</f>
        <v>1764.6</v>
      </c>
      <c r="AG140" s="17">
        <f>SUM('Working sheet'!$Q140)</f>
        <v>141.19999999999999</v>
      </c>
      <c r="AH140" s="17">
        <f>SUM('Working sheet'!$R140:$T140)</f>
        <v>413.59999999999997</v>
      </c>
      <c r="AI140" s="17">
        <f>SUM('Working sheet'!$U140)</f>
        <v>128.80000000000001</v>
      </c>
      <c r="AJ140" s="17">
        <f>SUM('Working sheet'!$V140)</f>
        <v>130.30000000000001</v>
      </c>
      <c r="AK140" s="18">
        <f>SUM('Working sheet'!$W140:$AC140)</f>
        <v>889.6</v>
      </c>
    </row>
    <row r="141" spans="1:37" hidden="1" x14ac:dyDescent="0.25">
      <c r="A141" s="13" t="s">
        <v>30</v>
      </c>
      <c r="B141" s="14">
        <v>2016</v>
      </c>
      <c r="C141" s="14" t="s">
        <v>42</v>
      </c>
      <c r="D141" s="14">
        <v>130.19999999999999</v>
      </c>
      <c r="E141" s="14">
        <v>138.5</v>
      </c>
      <c r="F141" s="14">
        <v>134.1</v>
      </c>
      <c r="G141" s="14">
        <v>132.9</v>
      </c>
      <c r="H141" s="14">
        <v>112.6</v>
      </c>
      <c r="I141" s="14">
        <v>130.80000000000001</v>
      </c>
      <c r="J141" s="14">
        <v>142</v>
      </c>
      <c r="K141" s="14">
        <v>174.9</v>
      </c>
      <c r="L141" s="14">
        <v>115.6</v>
      </c>
      <c r="M141" s="14">
        <v>145.4</v>
      </c>
      <c r="N141" s="14">
        <v>122.7</v>
      </c>
      <c r="O141" s="14">
        <v>140.30000000000001</v>
      </c>
      <c r="P141" s="14">
        <v>135.19999999999999</v>
      </c>
      <c r="Q141" s="14">
        <v>144.30000000000001</v>
      </c>
      <c r="R141" s="14">
        <v>129.6</v>
      </c>
      <c r="S141" s="14">
        <v>122.1</v>
      </c>
      <c r="T141" s="14">
        <v>128.5</v>
      </c>
      <c r="U141" s="14">
        <v>129.1</v>
      </c>
      <c r="V141" s="14">
        <v>116.2</v>
      </c>
      <c r="W141" s="14">
        <v>124.7</v>
      </c>
      <c r="X141" s="14">
        <v>122.1</v>
      </c>
      <c r="Y141" s="14">
        <v>113.4</v>
      </c>
      <c r="Z141" s="14">
        <v>121.7</v>
      </c>
      <c r="AA141" s="14">
        <v>132.1</v>
      </c>
      <c r="AB141" s="14">
        <v>121.3</v>
      </c>
      <c r="AC141" s="14">
        <v>121.3</v>
      </c>
      <c r="AD141" s="15">
        <v>128.5</v>
      </c>
      <c r="AF141" s="13">
        <f>SUM('Working sheet'!$D141:$P141)</f>
        <v>1755.2</v>
      </c>
      <c r="AG141" s="14">
        <f>SUM('Working sheet'!$Q141)</f>
        <v>144.30000000000001</v>
      </c>
      <c r="AH141" s="14">
        <f>SUM('Working sheet'!$R141:$T141)</f>
        <v>380.2</v>
      </c>
      <c r="AI141" s="14">
        <f>SUM('Working sheet'!$U141)</f>
        <v>129.1</v>
      </c>
      <c r="AJ141" s="14">
        <f>SUM('Working sheet'!$V141)</f>
        <v>116.2</v>
      </c>
      <c r="AK141" s="15">
        <f>SUM('Working sheet'!$W141:$AC141)</f>
        <v>856.59999999999991</v>
      </c>
    </row>
    <row r="142" spans="1:37" x14ac:dyDescent="0.25">
      <c r="A142" s="16" t="s">
        <v>31</v>
      </c>
      <c r="B142" s="17">
        <v>2016</v>
      </c>
      <c r="C142" s="17" t="s">
        <v>42</v>
      </c>
      <c r="D142" s="17">
        <v>131.4</v>
      </c>
      <c r="E142" s="17">
        <v>137.80000000000001</v>
      </c>
      <c r="F142" s="17">
        <v>132</v>
      </c>
      <c r="G142" s="17">
        <v>135</v>
      </c>
      <c r="H142" s="17">
        <v>118</v>
      </c>
      <c r="I142" s="17">
        <v>134.1</v>
      </c>
      <c r="J142" s="17">
        <v>141.9</v>
      </c>
      <c r="K142" s="17">
        <v>171.7</v>
      </c>
      <c r="L142" s="17">
        <v>114.1</v>
      </c>
      <c r="M142" s="17">
        <v>139.69999999999999</v>
      </c>
      <c r="N142" s="17">
        <v>126.2</v>
      </c>
      <c r="O142" s="17">
        <v>141.80000000000001</v>
      </c>
      <c r="P142" s="17">
        <v>136.1</v>
      </c>
      <c r="Q142" s="17">
        <v>142</v>
      </c>
      <c r="R142" s="17">
        <v>135.80000000000001</v>
      </c>
      <c r="S142" s="17">
        <v>129.30000000000001</v>
      </c>
      <c r="T142" s="17">
        <v>135</v>
      </c>
      <c r="U142" s="17">
        <v>129.1</v>
      </c>
      <c r="V142" s="17">
        <v>125</v>
      </c>
      <c r="W142" s="17">
        <v>128.6</v>
      </c>
      <c r="X142" s="17">
        <v>126.4</v>
      </c>
      <c r="Y142" s="17">
        <v>115.7</v>
      </c>
      <c r="Z142" s="17">
        <v>124</v>
      </c>
      <c r="AA142" s="17">
        <v>132.80000000000001</v>
      </c>
      <c r="AB142" s="17">
        <v>122.6</v>
      </c>
      <c r="AC142" s="17">
        <v>123.8</v>
      </c>
      <c r="AD142" s="18">
        <v>131.19999999999999</v>
      </c>
      <c r="AF142" s="16">
        <f>SUM('Working sheet'!$D142:$P142)</f>
        <v>1759.8</v>
      </c>
      <c r="AG142" s="17">
        <f>SUM('Working sheet'!$Q142)</f>
        <v>142</v>
      </c>
      <c r="AH142" s="17">
        <f>SUM('Working sheet'!$R142:$T142)</f>
        <v>400.1</v>
      </c>
      <c r="AI142" s="17">
        <f>SUM('Working sheet'!$U142)</f>
        <v>129.1</v>
      </c>
      <c r="AJ142" s="17">
        <f>SUM('Working sheet'!$V142)</f>
        <v>125</v>
      </c>
      <c r="AK142" s="18">
        <f>SUM('Working sheet'!$W142:$AC142)</f>
        <v>873.9</v>
      </c>
    </row>
    <row r="143" spans="1:37" hidden="1" x14ac:dyDescent="0.25">
      <c r="A143" s="13" t="s">
        <v>28</v>
      </c>
      <c r="B143" s="14">
        <v>2016</v>
      </c>
      <c r="C143" s="14" t="s">
        <v>43</v>
      </c>
      <c r="D143" s="14">
        <v>132.6</v>
      </c>
      <c r="E143" s="14">
        <v>137.30000000000001</v>
      </c>
      <c r="F143" s="14">
        <v>131.6</v>
      </c>
      <c r="G143" s="14">
        <v>136.30000000000001</v>
      </c>
      <c r="H143" s="14">
        <v>121.6</v>
      </c>
      <c r="I143" s="14">
        <v>135.6</v>
      </c>
      <c r="J143" s="14">
        <v>127.5</v>
      </c>
      <c r="K143" s="14">
        <v>167.9</v>
      </c>
      <c r="L143" s="14">
        <v>113.8</v>
      </c>
      <c r="M143" s="14">
        <v>137.5</v>
      </c>
      <c r="N143" s="14">
        <v>129.1</v>
      </c>
      <c r="O143" s="14">
        <v>143.6</v>
      </c>
      <c r="P143" s="14">
        <v>134.69999999999999</v>
      </c>
      <c r="Q143" s="14">
        <v>142.4</v>
      </c>
      <c r="R143" s="14">
        <v>140.4</v>
      </c>
      <c r="S143" s="14">
        <v>135.19999999999999</v>
      </c>
      <c r="T143" s="14">
        <v>139.69999999999999</v>
      </c>
      <c r="U143" s="14">
        <v>129.1</v>
      </c>
      <c r="V143" s="14">
        <v>132</v>
      </c>
      <c r="W143" s="14">
        <v>132.9</v>
      </c>
      <c r="X143" s="14">
        <v>129.69999999999999</v>
      </c>
      <c r="Y143" s="14">
        <v>118.6</v>
      </c>
      <c r="Z143" s="14">
        <v>127.3</v>
      </c>
      <c r="AA143" s="14">
        <v>134.19999999999999</v>
      </c>
      <c r="AB143" s="14">
        <v>121.9</v>
      </c>
      <c r="AC143" s="14">
        <v>126.3</v>
      </c>
      <c r="AD143" s="15">
        <v>132.80000000000001</v>
      </c>
      <c r="AF143" s="13">
        <f>SUM('Working sheet'!$D143:$P143)</f>
        <v>1749.1</v>
      </c>
      <c r="AG143" s="14">
        <f>SUM('Working sheet'!$Q143)</f>
        <v>142.4</v>
      </c>
      <c r="AH143" s="14">
        <f>SUM('Working sheet'!$R143:$T143)</f>
        <v>415.3</v>
      </c>
      <c r="AI143" s="14">
        <f>SUM('Working sheet'!$U143)</f>
        <v>129.1</v>
      </c>
      <c r="AJ143" s="14">
        <f>SUM('Working sheet'!$V143)</f>
        <v>132</v>
      </c>
      <c r="AK143" s="15">
        <f>SUM('Working sheet'!$W143:$AC143)</f>
        <v>890.9</v>
      </c>
    </row>
    <row r="144" spans="1:37" hidden="1" x14ac:dyDescent="0.25">
      <c r="A144" s="16" t="s">
        <v>30</v>
      </c>
      <c r="B144" s="17">
        <v>2016</v>
      </c>
      <c r="C144" s="17" t="s">
        <v>43</v>
      </c>
      <c r="D144" s="17">
        <v>131.6</v>
      </c>
      <c r="E144" s="17">
        <v>138.19999999999999</v>
      </c>
      <c r="F144" s="17">
        <v>134.9</v>
      </c>
      <c r="G144" s="17">
        <v>133.1</v>
      </c>
      <c r="H144" s="17">
        <v>113.5</v>
      </c>
      <c r="I144" s="17">
        <v>129.30000000000001</v>
      </c>
      <c r="J144" s="17">
        <v>121.1</v>
      </c>
      <c r="K144" s="17">
        <v>170.3</v>
      </c>
      <c r="L144" s="17">
        <v>115.5</v>
      </c>
      <c r="M144" s="17">
        <v>145.5</v>
      </c>
      <c r="N144" s="17">
        <v>123.1</v>
      </c>
      <c r="O144" s="17">
        <v>140.9</v>
      </c>
      <c r="P144" s="17">
        <v>132.80000000000001</v>
      </c>
      <c r="Q144" s="17">
        <v>145</v>
      </c>
      <c r="R144" s="17">
        <v>130</v>
      </c>
      <c r="S144" s="17">
        <v>122.2</v>
      </c>
      <c r="T144" s="17">
        <v>128.80000000000001</v>
      </c>
      <c r="U144" s="17">
        <v>128.5</v>
      </c>
      <c r="V144" s="17">
        <v>117.8</v>
      </c>
      <c r="W144" s="17">
        <v>125</v>
      </c>
      <c r="X144" s="17">
        <v>122.3</v>
      </c>
      <c r="Y144" s="17">
        <v>113.7</v>
      </c>
      <c r="Z144" s="17">
        <v>121.8</v>
      </c>
      <c r="AA144" s="17">
        <v>132.30000000000001</v>
      </c>
      <c r="AB144" s="17">
        <v>119.9</v>
      </c>
      <c r="AC144" s="17">
        <v>121.4</v>
      </c>
      <c r="AD144" s="18">
        <v>127.6</v>
      </c>
      <c r="AF144" s="16">
        <f>SUM('Working sheet'!$D144:$P144)</f>
        <v>1729.8</v>
      </c>
      <c r="AG144" s="17">
        <f>SUM('Working sheet'!$Q144)</f>
        <v>145</v>
      </c>
      <c r="AH144" s="17">
        <f>SUM('Working sheet'!$R144:$T144)</f>
        <v>381</v>
      </c>
      <c r="AI144" s="17">
        <f>SUM('Working sheet'!$U144)</f>
        <v>128.5</v>
      </c>
      <c r="AJ144" s="17">
        <f>SUM('Working sheet'!$V144)</f>
        <v>117.8</v>
      </c>
      <c r="AK144" s="18">
        <f>SUM('Working sheet'!$W144:$AC144)</f>
        <v>856.4</v>
      </c>
    </row>
    <row r="145" spans="1:37" x14ac:dyDescent="0.25">
      <c r="A145" s="13" t="s">
        <v>31</v>
      </c>
      <c r="B145" s="14">
        <v>2016</v>
      </c>
      <c r="C145" s="14" t="s">
        <v>43</v>
      </c>
      <c r="D145" s="14">
        <v>132.30000000000001</v>
      </c>
      <c r="E145" s="14">
        <v>137.6</v>
      </c>
      <c r="F145" s="14">
        <v>132.9</v>
      </c>
      <c r="G145" s="14">
        <v>135.1</v>
      </c>
      <c r="H145" s="14">
        <v>118.6</v>
      </c>
      <c r="I145" s="14">
        <v>132.69999999999999</v>
      </c>
      <c r="J145" s="14">
        <v>125.3</v>
      </c>
      <c r="K145" s="14">
        <v>168.7</v>
      </c>
      <c r="L145" s="14">
        <v>114.4</v>
      </c>
      <c r="M145" s="14">
        <v>140.19999999999999</v>
      </c>
      <c r="N145" s="14">
        <v>126.6</v>
      </c>
      <c r="O145" s="14">
        <v>142.30000000000001</v>
      </c>
      <c r="P145" s="14">
        <v>134</v>
      </c>
      <c r="Q145" s="14">
        <v>143.1</v>
      </c>
      <c r="R145" s="14">
        <v>136.30000000000001</v>
      </c>
      <c r="S145" s="14">
        <v>129.80000000000001</v>
      </c>
      <c r="T145" s="14">
        <v>135.4</v>
      </c>
      <c r="U145" s="14">
        <v>128.5</v>
      </c>
      <c r="V145" s="14">
        <v>126.6</v>
      </c>
      <c r="W145" s="14">
        <v>129.19999999999999</v>
      </c>
      <c r="X145" s="14">
        <v>126.9</v>
      </c>
      <c r="Y145" s="14">
        <v>116</v>
      </c>
      <c r="Z145" s="14">
        <v>124.2</v>
      </c>
      <c r="AA145" s="14">
        <v>133.1</v>
      </c>
      <c r="AB145" s="14">
        <v>121.1</v>
      </c>
      <c r="AC145" s="14">
        <v>123.9</v>
      </c>
      <c r="AD145" s="15">
        <v>130.4</v>
      </c>
      <c r="AF145" s="13">
        <f>SUM('Working sheet'!$D145:$P145)</f>
        <v>1740.7</v>
      </c>
      <c r="AG145" s="14">
        <f>SUM('Working sheet'!$Q145)</f>
        <v>143.1</v>
      </c>
      <c r="AH145" s="14">
        <f>SUM('Working sheet'!$R145:$T145)</f>
        <v>401.5</v>
      </c>
      <c r="AI145" s="14">
        <f>SUM('Working sheet'!$U145)</f>
        <v>128.5</v>
      </c>
      <c r="AJ145" s="14">
        <f>SUM('Working sheet'!$V145)</f>
        <v>126.6</v>
      </c>
      <c r="AK145" s="15">
        <f>SUM('Working sheet'!$W145:$AC145)</f>
        <v>874.4</v>
      </c>
    </row>
    <row r="146" spans="1:37" hidden="1" x14ac:dyDescent="0.25">
      <c r="A146" s="16" t="s">
        <v>28</v>
      </c>
      <c r="B146" s="17">
        <v>2017</v>
      </c>
      <c r="C146" s="17" t="s">
        <v>29</v>
      </c>
      <c r="D146" s="17">
        <v>133.1</v>
      </c>
      <c r="E146" s="17">
        <v>137.80000000000001</v>
      </c>
      <c r="F146" s="17">
        <v>131.9</v>
      </c>
      <c r="G146" s="17">
        <v>136.69999999999999</v>
      </c>
      <c r="H146" s="17">
        <v>122</v>
      </c>
      <c r="I146" s="17">
        <v>136</v>
      </c>
      <c r="J146" s="17">
        <v>119.8</v>
      </c>
      <c r="K146" s="17">
        <v>161.69999999999999</v>
      </c>
      <c r="L146" s="17">
        <v>114.8</v>
      </c>
      <c r="M146" s="17">
        <v>136.9</v>
      </c>
      <c r="N146" s="17">
        <v>129</v>
      </c>
      <c r="O146" s="17">
        <v>143.9</v>
      </c>
      <c r="P146" s="17">
        <v>133.69999999999999</v>
      </c>
      <c r="Q146" s="17">
        <v>143.1</v>
      </c>
      <c r="R146" s="17">
        <v>140.69999999999999</v>
      </c>
      <c r="S146" s="17">
        <v>135.80000000000001</v>
      </c>
      <c r="T146" s="17">
        <v>140</v>
      </c>
      <c r="U146" s="17">
        <v>130.1</v>
      </c>
      <c r="V146" s="17">
        <v>132.1</v>
      </c>
      <c r="W146" s="17">
        <v>133.19999999999999</v>
      </c>
      <c r="X146" s="17">
        <v>129.9</v>
      </c>
      <c r="Y146" s="17">
        <v>119.1</v>
      </c>
      <c r="Z146" s="17">
        <v>127</v>
      </c>
      <c r="AA146" s="17">
        <v>134.6</v>
      </c>
      <c r="AB146" s="17">
        <v>122.3</v>
      </c>
      <c r="AC146" s="17">
        <v>126.6</v>
      </c>
      <c r="AD146" s="18">
        <v>132.4</v>
      </c>
      <c r="AF146" s="16">
        <f>SUM('Working sheet'!$D146:$P146)</f>
        <v>1737.3000000000002</v>
      </c>
      <c r="AG146" s="17">
        <f>SUM('Working sheet'!$Q146)</f>
        <v>143.1</v>
      </c>
      <c r="AH146" s="17">
        <f>SUM('Working sheet'!$R146:$T146)</f>
        <v>416.5</v>
      </c>
      <c r="AI146" s="17">
        <f>SUM('Working sheet'!$U146)</f>
        <v>130.1</v>
      </c>
      <c r="AJ146" s="17">
        <f>SUM('Working sheet'!$V146)</f>
        <v>132.1</v>
      </c>
      <c r="AK146" s="18">
        <f>SUM('Working sheet'!$W146:$AC146)</f>
        <v>892.7</v>
      </c>
    </row>
    <row r="147" spans="1:37" hidden="1" x14ac:dyDescent="0.25">
      <c r="A147" s="13" t="s">
        <v>30</v>
      </c>
      <c r="B147" s="14">
        <v>2017</v>
      </c>
      <c r="C147" s="14" t="s">
        <v>29</v>
      </c>
      <c r="D147" s="14">
        <v>132.19999999999999</v>
      </c>
      <c r="E147" s="14">
        <v>138.9</v>
      </c>
      <c r="F147" s="14">
        <v>132.6</v>
      </c>
      <c r="G147" s="14">
        <v>133.1</v>
      </c>
      <c r="H147" s="14">
        <v>114</v>
      </c>
      <c r="I147" s="14">
        <v>129.6</v>
      </c>
      <c r="J147" s="14">
        <v>118.7</v>
      </c>
      <c r="K147" s="14">
        <v>155.1</v>
      </c>
      <c r="L147" s="14">
        <v>117.3</v>
      </c>
      <c r="M147" s="14">
        <v>144.9</v>
      </c>
      <c r="N147" s="14">
        <v>123.2</v>
      </c>
      <c r="O147" s="14">
        <v>141.6</v>
      </c>
      <c r="P147" s="14">
        <v>132</v>
      </c>
      <c r="Q147" s="14">
        <v>145.6</v>
      </c>
      <c r="R147" s="14">
        <v>130.19999999999999</v>
      </c>
      <c r="S147" s="14">
        <v>122.3</v>
      </c>
      <c r="T147" s="14">
        <v>129</v>
      </c>
      <c r="U147" s="14">
        <v>129.6</v>
      </c>
      <c r="V147" s="14">
        <v>118</v>
      </c>
      <c r="W147" s="14">
        <v>125.1</v>
      </c>
      <c r="X147" s="14">
        <v>122.6</v>
      </c>
      <c r="Y147" s="14">
        <v>115.2</v>
      </c>
      <c r="Z147" s="14">
        <v>122</v>
      </c>
      <c r="AA147" s="14">
        <v>132.4</v>
      </c>
      <c r="AB147" s="14">
        <v>120.9</v>
      </c>
      <c r="AC147" s="14">
        <v>122.1</v>
      </c>
      <c r="AD147" s="15">
        <v>127.8</v>
      </c>
      <c r="AF147" s="13">
        <f>SUM('Working sheet'!$D147:$P147)</f>
        <v>1713.2</v>
      </c>
      <c r="AG147" s="14">
        <f>SUM('Working sheet'!$Q147)</f>
        <v>145.6</v>
      </c>
      <c r="AH147" s="14">
        <f>SUM('Working sheet'!$R147:$T147)</f>
        <v>381.5</v>
      </c>
      <c r="AI147" s="14">
        <f>SUM('Working sheet'!$U147)</f>
        <v>129.6</v>
      </c>
      <c r="AJ147" s="14">
        <f>SUM('Working sheet'!$V147)</f>
        <v>118</v>
      </c>
      <c r="AK147" s="15">
        <f>SUM('Working sheet'!$W147:$AC147)</f>
        <v>860.3</v>
      </c>
    </row>
    <row r="148" spans="1:37" x14ac:dyDescent="0.25">
      <c r="A148" s="16" t="s">
        <v>31</v>
      </c>
      <c r="B148" s="17">
        <v>2017</v>
      </c>
      <c r="C148" s="17" t="s">
        <v>29</v>
      </c>
      <c r="D148" s="17">
        <v>132.80000000000001</v>
      </c>
      <c r="E148" s="17">
        <v>138.19999999999999</v>
      </c>
      <c r="F148" s="17">
        <v>132.19999999999999</v>
      </c>
      <c r="G148" s="17">
        <v>135.4</v>
      </c>
      <c r="H148" s="17">
        <v>119.1</v>
      </c>
      <c r="I148" s="17">
        <v>133</v>
      </c>
      <c r="J148" s="17">
        <v>119.4</v>
      </c>
      <c r="K148" s="17">
        <v>159.5</v>
      </c>
      <c r="L148" s="17">
        <v>115.6</v>
      </c>
      <c r="M148" s="17">
        <v>139.6</v>
      </c>
      <c r="N148" s="17">
        <v>126.6</v>
      </c>
      <c r="O148" s="17">
        <v>142.80000000000001</v>
      </c>
      <c r="P148" s="17">
        <v>133.1</v>
      </c>
      <c r="Q148" s="17">
        <v>143.80000000000001</v>
      </c>
      <c r="R148" s="17">
        <v>136.6</v>
      </c>
      <c r="S148" s="17">
        <v>130.19999999999999</v>
      </c>
      <c r="T148" s="17">
        <v>135.6</v>
      </c>
      <c r="U148" s="17">
        <v>129.6</v>
      </c>
      <c r="V148" s="17">
        <v>126.8</v>
      </c>
      <c r="W148" s="17">
        <v>129.4</v>
      </c>
      <c r="X148" s="17">
        <v>127.1</v>
      </c>
      <c r="Y148" s="17">
        <v>117</v>
      </c>
      <c r="Z148" s="17">
        <v>124.2</v>
      </c>
      <c r="AA148" s="17">
        <v>133.30000000000001</v>
      </c>
      <c r="AB148" s="17">
        <v>121.7</v>
      </c>
      <c r="AC148" s="17">
        <v>124.4</v>
      </c>
      <c r="AD148" s="18">
        <v>130.30000000000001</v>
      </c>
      <c r="AF148" s="16">
        <f>SUM('Working sheet'!$D148:$P148)</f>
        <v>1727.2999999999995</v>
      </c>
      <c r="AG148" s="17">
        <f>SUM('Working sheet'!$Q148)</f>
        <v>143.80000000000001</v>
      </c>
      <c r="AH148" s="17">
        <f>SUM('Working sheet'!$R148:$T148)</f>
        <v>402.4</v>
      </c>
      <c r="AI148" s="17">
        <f>SUM('Working sheet'!$U148)</f>
        <v>129.6</v>
      </c>
      <c r="AJ148" s="17">
        <f>SUM('Working sheet'!$V148)</f>
        <v>126.8</v>
      </c>
      <c r="AK148" s="18">
        <f>SUM('Working sheet'!$W148:$AC148)</f>
        <v>877.1</v>
      </c>
    </row>
    <row r="149" spans="1:37" hidden="1" x14ac:dyDescent="0.25">
      <c r="A149" s="13" t="s">
        <v>28</v>
      </c>
      <c r="B149" s="14">
        <v>2017</v>
      </c>
      <c r="C149" s="14" t="s">
        <v>32</v>
      </c>
      <c r="D149" s="14">
        <v>133.30000000000001</v>
      </c>
      <c r="E149" s="14">
        <v>138.30000000000001</v>
      </c>
      <c r="F149" s="14">
        <v>129.30000000000001</v>
      </c>
      <c r="G149" s="14">
        <v>137.19999999999999</v>
      </c>
      <c r="H149" s="14">
        <v>122.1</v>
      </c>
      <c r="I149" s="14">
        <v>138.69999999999999</v>
      </c>
      <c r="J149" s="14">
        <v>119.1</v>
      </c>
      <c r="K149" s="14">
        <v>156.9</v>
      </c>
      <c r="L149" s="14">
        <v>116.2</v>
      </c>
      <c r="M149" s="14">
        <v>136</v>
      </c>
      <c r="N149" s="14">
        <v>129.4</v>
      </c>
      <c r="O149" s="14">
        <v>144.4</v>
      </c>
      <c r="P149" s="14">
        <v>133.6</v>
      </c>
      <c r="Q149" s="14">
        <v>143.69999999999999</v>
      </c>
      <c r="R149" s="14">
        <v>140.9</v>
      </c>
      <c r="S149" s="14">
        <v>135.80000000000001</v>
      </c>
      <c r="T149" s="14">
        <v>140.19999999999999</v>
      </c>
      <c r="U149" s="14">
        <v>130.80000000000001</v>
      </c>
      <c r="V149" s="14">
        <v>133.19999999999999</v>
      </c>
      <c r="W149" s="14">
        <v>133.6</v>
      </c>
      <c r="X149" s="14">
        <v>130.1</v>
      </c>
      <c r="Y149" s="14">
        <v>119.5</v>
      </c>
      <c r="Z149" s="14">
        <v>127.7</v>
      </c>
      <c r="AA149" s="14">
        <v>134.9</v>
      </c>
      <c r="AB149" s="14">
        <v>123.2</v>
      </c>
      <c r="AC149" s="14">
        <v>127</v>
      </c>
      <c r="AD149" s="15">
        <v>132.6</v>
      </c>
      <c r="AF149" s="13">
        <f>SUM('Working sheet'!$D149:$P149)</f>
        <v>1734.5000000000002</v>
      </c>
      <c r="AG149" s="14">
        <f>SUM('Working sheet'!$Q149)</f>
        <v>143.69999999999999</v>
      </c>
      <c r="AH149" s="14">
        <f>SUM('Working sheet'!$R149:$T149)</f>
        <v>416.90000000000003</v>
      </c>
      <c r="AI149" s="14">
        <f>SUM('Working sheet'!$U149)</f>
        <v>130.80000000000001</v>
      </c>
      <c r="AJ149" s="14">
        <f>SUM('Working sheet'!$V149)</f>
        <v>133.19999999999999</v>
      </c>
      <c r="AK149" s="15">
        <f>SUM('Working sheet'!$W149:$AC149)</f>
        <v>896</v>
      </c>
    </row>
    <row r="150" spans="1:37" hidden="1" x14ac:dyDescent="0.25">
      <c r="A150" s="16" t="s">
        <v>30</v>
      </c>
      <c r="B150" s="17">
        <v>2017</v>
      </c>
      <c r="C150" s="17" t="s">
        <v>32</v>
      </c>
      <c r="D150" s="17">
        <v>132.80000000000001</v>
      </c>
      <c r="E150" s="17">
        <v>139.80000000000001</v>
      </c>
      <c r="F150" s="17">
        <v>129.30000000000001</v>
      </c>
      <c r="G150" s="17">
        <v>133.5</v>
      </c>
      <c r="H150" s="17">
        <v>114.3</v>
      </c>
      <c r="I150" s="17">
        <v>131.4</v>
      </c>
      <c r="J150" s="17">
        <v>120.2</v>
      </c>
      <c r="K150" s="17">
        <v>143.1</v>
      </c>
      <c r="L150" s="17">
        <v>119.5</v>
      </c>
      <c r="M150" s="17">
        <v>144</v>
      </c>
      <c r="N150" s="17">
        <v>123.4</v>
      </c>
      <c r="O150" s="17">
        <v>141.9</v>
      </c>
      <c r="P150" s="17">
        <v>132.1</v>
      </c>
      <c r="Q150" s="17">
        <v>146.30000000000001</v>
      </c>
      <c r="R150" s="17">
        <v>130.5</v>
      </c>
      <c r="S150" s="17">
        <v>122.5</v>
      </c>
      <c r="T150" s="17">
        <v>129.30000000000001</v>
      </c>
      <c r="U150" s="17">
        <v>130.5</v>
      </c>
      <c r="V150" s="17">
        <v>119.2</v>
      </c>
      <c r="W150" s="17">
        <v>125.3</v>
      </c>
      <c r="X150" s="17">
        <v>122.9</v>
      </c>
      <c r="Y150" s="17">
        <v>115.5</v>
      </c>
      <c r="Z150" s="17">
        <v>122.2</v>
      </c>
      <c r="AA150" s="17">
        <v>132.4</v>
      </c>
      <c r="AB150" s="17">
        <v>121.7</v>
      </c>
      <c r="AC150" s="17">
        <v>122.4</v>
      </c>
      <c r="AD150" s="18">
        <v>128.19999999999999</v>
      </c>
      <c r="AF150" s="16">
        <f>SUM('Working sheet'!$D150:$P150)</f>
        <v>1705.3000000000002</v>
      </c>
      <c r="AG150" s="17">
        <f>SUM('Working sheet'!$Q150)</f>
        <v>146.30000000000001</v>
      </c>
      <c r="AH150" s="17">
        <f>SUM('Working sheet'!$R150:$T150)</f>
        <v>382.3</v>
      </c>
      <c r="AI150" s="17">
        <f>SUM('Working sheet'!$U150)</f>
        <v>130.5</v>
      </c>
      <c r="AJ150" s="17">
        <f>SUM('Working sheet'!$V150)</f>
        <v>119.2</v>
      </c>
      <c r="AK150" s="18">
        <f>SUM('Working sheet'!$W150:$AC150)</f>
        <v>862.4</v>
      </c>
    </row>
    <row r="151" spans="1:37" x14ac:dyDescent="0.25">
      <c r="A151" s="13" t="s">
        <v>31</v>
      </c>
      <c r="B151" s="14">
        <v>2017</v>
      </c>
      <c r="C151" s="14" t="s">
        <v>32</v>
      </c>
      <c r="D151" s="14">
        <v>133.1</v>
      </c>
      <c r="E151" s="14">
        <v>138.80000000000001</v>
      </c>
      <c r="F151" s="14">
        <v>129.30000000000001</v>
      </c>
      <c r="G151" s="14">
        <v>135.80000000000001</v>
      </c>
      <c r="H151" s="14">
        <v>119.2</v>
      </c>
      <c r="I151" s="14">
        <v>135.30000000000001</v>
      </c>
      <c r="J151" s="14">
        <v>119.5</v>
      </c>
      <c r="K151" s="14">
        <v>152.19999999999999</v>
      </c>
      <c r="L151" s="14">
        <v>117.3</v>
      </c>
      <c r="M151" s="14">
        <v>138.69999999999999</v>
      </c>
      <c r="N151" s="14">
        <v>126.9</v>
      </c>
      <c r="O151" s="14">
        <v>143.19999999999999</v>
      </c>
      <c r="P151" s="14">
        <v>133</v>
      </c>
      <c r="Q151" s="14">
        <v>144.4</v>
      </c>
      <c r="R151" s="14">
        <v>136.80000000000001</v>
      </c>
      <c r="S151" s="14">
        <v>130.30000000000001</v>
      </c>
      <c r="T151" s="14">
        <v>135.9</v>
      </c>
      <c r="U151" s="14">
        <v>130.5</v>
      </c>
      <c r="V151" s="14">
        <v>127.9</v>
      </c>
      <c r="W151" s="14">
        <v>129.69999999999999</v>
      </c>
      <c r="X151" s="14">
        <v>127.4</v>
      </c>
      <c r="Y151" s="14">
        <v>117.4</v>
      </c>
      <c r="Z151" s="14">
        <v>124.6</v>
      </c>
      <c r="AA151" s="14">
        <v>133.4</v>
      </c>
      <c r="AB151" s="14">
        <v>122.6</v>
      </c>
      <c r="AC151" s="14">
        <v>124.8</v>
      </c>
      <c r="AD151" s="15">
        <v>130.6</v>
      </c>
      <c r="AF151" s="13">
        <f>SUM('Working sheet'!$D151:$P151)</f>
        <v>1722.3000000000002</v>
      </c>
      <c r="AG151" s="14">
        <f>SUM('Working sheet'!$Q151)</f>
        <v>144.4</v>
      </c>
      <c r="AH151" s="14">
        <f>SUM('Working sheet'!$R151:$T151)</f>
        <v>403</v>
      </c>
      <c r="AI151" s="14">
        <f>SUM('Working sheet'!$U151)</f>
        <v>130.5</v>
      </c>
      <c r="AJ151" s="14">
        <f>SUM('Working sheet'!$V151)</f>
        <v>127.9</v>
      </c>
      <c r="AK151" s="15">
        <f>SUM('Working sheet'!$W151:$AC151)</f>
        <v>879.9</v>
      </c>
    </row>
    <row r="152" spans="1:37" hidden="1" x14ac:dyDescent="0.25">
      <c r="A152" s="16" t="s">
        <v>28</v>
      </c>
      <c r="B152" s="17">
        <v>2017</v>
      </c>
      <c r="C152" s="17" t="s">
        <v>33</v>
      </c>
      <c r="D152" s="17">
        <v>133.6</v>
      </c>
      <c r="E152" s="17">
        <v>138.80000000000001</v>
      </c>
      <c r="F152" s="17">
        <v>128.80000000000001</v>
      </c>
      <c r="G152" s="17">
        <v>137.19999999999999</v>
      </c>
      <c r="H152" s="17">
        <v>121.6</v>
      </c>
      <c r="I152" s="17">
        <v>139.69999999999999</v>
      </c>
      <c r="J152" s="17">
        <v>119.7</v>
      </c>
      <c r="K152" s="17">
        <v>148</v>
      </c>
      <c r="L152" s="17">
        <v>116.9</v>
      </c>
      <c r="M152" s="17">
        <v>135.6</v>
      </c>
      <c r="N152" s="17">
        <v>129.80000000000001</v>
      </c>
      <c r="O152" s="17">
        <v>145.4</v>
      </c>
      <c r="P152" s="17">
        <v>133.4</v>
      </c>
      <c r="Q152" s="17">
        <v>144.19999999999999</v>
      </c>
      <c r="R152" s="17">
        <v>141.6</v>
      </c>
      <c r="S152" s="17">
        <v>136.19999999999999</v>
      </c>
      <c r="T152" s="17">
        <v>140.80000000000001</v>
      </c>
      <c r="U152" s="17">
        <v>131.4</v>
      </c>
      <c r="V152" s="17">
        <v>134.19999999999999</v>
      </c>
      <c r="W152" s="17">
        <v>134.1</v>
      </c>
      <c r="X152" s="17">
        <v>130.6</v>
      </c>
      <c r="Y152" s="17">
        <v>119.8</v>
      </c>
      <c r="Z152" s="17">
        <v>128.30000000000001</v>
      </c>
      <c r="AA152" s="17">
        <v>135.19999999999999</v>
      </c>
      <c r="AB152" s="17">
        <v>123.3</v>
      </c>
      <c r="AC152" s="17">
        <v>127.4</v>
      </c>
      <c r="AD152" s="18">
        <v>132.80000000000001</v>
      </c>
      <c r="AF152" s="16">
        <f>SUM('Working sheet'!$D152:$P152)</f>
        <v>1728.5000000000002</v>
      </c>
      <c r="AG152" s="17">
        <f>SUM('Working sheet'!$Q152)</f>
        <v>144.19999999999999</v>
      </c>
      <c r="AH152" s="17">
        <f>SUM('Working sheet'!$R152:$T152)</f>
        <v>418.59999999999997</v>
      </c>
      <c r="AI152" s="17">
        <f>SUM('Working sheet'!$U152)</f>
        <v>131.4</v>
      </c>
      <c r="AJ152" s="17">
        <f>SUM('Working sheet'!$V152)</f>
        <v>134.19999999999999</v>
      </c>
      <c r="AK152" s="18">
        <f>SUM('Working sheet'!$W152:$AC152)</f>
        <v>898.69999999999993</v>
      </c>
    </row>
    <row r="153" spans="1:37" hidden="1" x14ac:dyDescent="0.25">
      <c r="A153" s="13" t="s">
        <v>30</v>
      </c>
      <c r="B153" s="14">
        <v>2017</v>
      </c>
      <c r="C153" s="14" t="s">
        <v>33</v>
      </c>
      <c r="D153" s="14">
        <v>132.69999999999999</v>
      </c>
      <c r="E153" s="14">
        <v>139.4</v>
      </c>
      <c r="F153" s="14">
        <v>128.4</v>
      </c>
      <c r="G153" s="14">
        <v>134.9</v>
      </c>
      <c r="H153" s="14">
        <v>114</v>
      </c>
      <c r="I153" s="14">
        <v>136.80000000000001</v>
      </c>
      <c r="J153" s="14">
        <v>122.2</v>
      </c>
      <c r="K153" s="14">
        <v>135.80000000000001</v>
      </c>
      <c r="L153" s="14">
        <v>120.3</v>
      </c>
      <c r="M153" s="14">
        <v>142.6</v>
      </c>
      <c r="N153" s="14">
        <v>123.6</v>
      </c>
      <c r="O153" s="14">
        <v>142.4</v>
      </c>
      <c r="P153" s="14">
        <v>132.6</v>
      </c>
      <c r="Q153" s="14">
        <v>147.5</v>
      </c>
      <c r="R153" s="14">
        <v>130.80000000000001</v>
      </c>
      <c r="S153" s="14">
        <v>122.8</v>
      </c>
      <c r="T153" s="14">
        <v>129.6</v>
      </c>
      <c r="U153" s="14">
        <v>131.1</v>
      </c>
      <c r="V153" s="14">
        <v>120.8</v>
      </c>
      <c r="W153" s="14">
        <v>125.6</v>
      </c>
      <c r="X153" s="14">
        <v>123.1</v>
      </c>
      <c r="Y153" s="14">
        <v>115.6</v>
      </c>
      <c r="Z153" s="14">
        <v>122.4</v>
      </c>
      <c r="AA153" s="14">
        <v>132.80000000000001</v>
      </c>
      <c r="AB153" s="14">
        <v>121.7</v>
      </c>
      <c r="AC153" s="14">
        <v>122.6</v>
      </c>
      <c r="AD153" s="15">
        <v>128.69999999999999</v>
      </c>
      <c r="AF153" s="13">
        <f>SUM('Working sheet'!$D153:$P153)</f>
        <v>1705.6999999999998</v>
      </c>
      <c r="AG153" s="14">
        <f>SUM('Working sheet'!$Q153)</f>
        <v>147.5</v>
      </c>
      <c r="AH153" s="14">
        <f>SUM('Working sheet'!$R153:$T153)</f>
        <v>383.20000000000005</v>
      </c>
      <c r="AI153" s="14">
        <f>SUM('Working sheet'!$U153)</f>
        <v>131.1</v>
      </c>
      <c r="AJ153" s="14">
        <f>SUM('Working sheet'!$V153)</f>
        <v>120.8</v>
      </c>
      <c r="AK153" s="15">
        <f>SUM('Working sheet'!$W153:$AC153)</f>
        <v>863.80000000000007</v>
      </c>
    </row>
    <row r="154" spans="1:37" x14ac:dyDescent="0.25">
      <c r="A154" s="16" t="s">
        <v>31</v>
      </c>
      <c r="B154" s="17">
        <v>2017</v>
      </c>
      <c r="C154" s="17" t="s">
        <v>33</v>
      </c>
      <c r="D154" s="17">
        <v>133.30000000000001</v>
      </c>
      <c r="E154" s="17">
        <v>139</v>
      </c>
      <c r="F154" s="17">
        <v>128.6</v>
      </c>
      <c r="G154" s="17">
        <v>136.30000000000001</v>
      </c>
      <c r="H154" s="17">
        <v>118.8</v>
      </c>
      <c r="I154" s="17">
        <v>138.30000000000001</v>
      </c>
      <c r="J154" s="17">
        <v>120.5</v>
      </c>
      <c r="K154" s="17">
        <v>143.9</v>
      </c>
      <c r="L154" s="17">
        <v>118</v>
      </c>
      <c r="M154" s="17">
        <v>137.9</v>
      </c>
      <c r="N154" s="17">
        <v>127.2</v>
      </c>
      <c r="O154" s="17">
        <v>144</v>
      </c>
      <c r="P154" s="17">
        <v>133.1</v>
      </c>
      <c r="Q154" s="17">
        <v>145.1</v>
      </c>
      <c r="R154" s="17">
        <v>137.30000000000001</v>
      </c>
      <c r="S154" s="17">
        <v>130.6</v>
      </c>
      <c r="T154" s="17">
        <v>136.4</v>
      </c>
      <c r="U154" s="17">
        <v>131.1</v>
      </c>
      <c r="V154" s="17">
        <v>129.1</v>
      </c>
      <c r="W154" s="17">
        <v>130.1</v>
      </c>
      <c r="X154" s="17">
        <v>127.8</v>
      </c>
      <c r="Y154" s="17">
        <v>117.6</v>
      </c>
      <c r="Z154" s="17">
        <v>125</v>
      </c>
      <c r="AA154" s="17">
        <v>133.80000000000001</v>
      </c>
      <c r="AB154" s="17">
        <v>122.6</v>
      </c>
      <c r="AC154" s="17">
        <v>125.1</v>
      </c>
      <c r="AD154" s="18">
        <v>130.9</v>
      </c>
      <c r="AF154" s="16">
        <f>SUM('Working sheet'!$D154:$P154)</f>
        <v>1718.9</v>
      </c>
      <c r="AG154" s="17">
        <f>SUM('Working sheet'!$Q154)</f>
        <v>145.1</v>
      </c>
      <c r="AH154" s="17">
        <f>SUM('Working sheet'!$R154:$T154)</f>
        <v>404.29999999999995</v>
      </c>
      <c r="AI154" s="17">
        <f>SUM('Working sheet'!$U154)</f>
        <v>131.1</v>
      </c>
      <c r="AJ154" s="17">
        <f>SUM('Working sheet'!$V154)</f>
        <v>129.1</v>
      </c>
      <c r="AK154" s="18">
        <f>SUM('Working sheet'!$W154:$AC154)</f>
        <v>882</v>
      </c>
    </row>
    <row r="155" spans="1:37" hidden="1" x14ac:dyDescent="0.25">
      <c r="A155" s="13" t="s">
        <v>28</v>
      </c>
      <c r="B155" s="14">
        <v>2017</v>
      </c>
      <c r="C155" s="14" t="s">
        <v>34</v>
      </c>
      <c r="D155" s="14">
        <v>133.19999999999999</v>
      </c>
      <c r="E155" s="14">
        <v>138.69999999999999</v>
      </c>
      <c r="F155" s="14">
        <v>127.1</v>
      </c>
      <c r="G155" s="14">
        <v>137.69999999999999</v>
      </c>
      <c r="H155" s="14">
        <v>121.3</v>
      </c>
      <c r="I155" s="14">
        <v>141.80000000000001</v>
      </c>
      <c r="J155" s="14">
        <v>121.5</v>
      </c>
      <c r="K155" s="14">
        <v>144.5</v>
      </c>
      <c r="L155" s="14">
        <v>117.4</v>
      </c>
      <c r="M155" s="14">
        <v>134.1</v>
      </c>
      <c r="N155" s="14">
        <v>130</v>
      </c>
      <c r="O155" s="14">
        <v>145.5</v>
      </c>
      <c r="P155" s="14">
        <v>133.5</v>
      </c>
      <c r="Q155" s="14">
        <v>144.4</v>
      </c>
      <c r="R155" s="14">
        <v>142.4</v>
      </c>
      <c r="S155" s="14">
        <v>136.80000000000001</v>
      </c>
      <c r="T155" s="14">
        <v>141.6</v>
      </c>
      <c r="U155" s="14">
        <v>131.9</v>
      </c>
      <c r="V155" s="14">
        <v>135</v>
      </c>
      <c r="W155" s="14">
        <v>134.30000000000001</v>
      </c>
      <c r="X155" s="14">
        <v>131</v>
      </c>
      <c r="Y155" s="14">
        <v>119.2</v>
      </c>
      <c r="Z155" s="14">
        <v>128.30000000000001</v>
      </c>
      <c r="AA155" s="14">
        <v>135.69999999999999</v>
      </c>
      <c r="AB155" s="14">
        <v>123.7</v>
      </c>
      <c r="AC155" s="14">
        <v>127.5</v>
      </c>
      <c r="AD155" s="15">
        <v>132.9</v>
      </c>
      <c r="AF155" s="13">
        <f>SUM('Working sheet'!$D155:$P155)</f>
        <v>1726.3</v>
      </c>
      <c r="AG155" s="14">
        <f>SUM('Working sheet'!$Q155)</f>
        <v>144.4</v>
      </c>
      <c r="AH155" s="14">
        <f>SUM('Working sheet'!$R155:$T155)</f>
        <v>420.80000000000007</v>
      </c>
      <c r="AI155" s="14">
        <f>SUM('Working sheet'!$U155)</f>
        <v>131.9</v>
      </c>
      <c r="AJ155" s="14">
        <f>SUM('Working sheet'!$V155)</f>
        <v>135</v>
      </c>
      <c r="AK155" s="15">
        <f>SUM('Working sheet'!$W155:$AC155)</f>
        <v>899.7</v>
      </c>
    </row>
    <row r="156" spans="1:37" hidden="1" x14ac:dyDescent="0.25">
      <c r="A156" s="16" t="s">
        <v>30</v>
      </c>
      <c r="B156" s="17">
        <v>2017</v>
      </c>
      <c r="C156" s="17" t="s">
        <v>34</v>
      </c>
      <c r="D156" s="17">
        <v>132.69999999999999</v>
      </c>
      <c r="E156" s="17">
        <v>140.6</v>
      </c>
      <c r="F156" s="17">
        <v>124.5</v>
      </c>
      <c r="G156" s="17">
        <v>136.30000000000001</v>
      </c>
      <c r="H156" s="17">
        <v>113.5</v>
      </c>
      <c r="I156" s="17">
        <v>137.69999999999999</v>
      </c>
      <c r="J156" s="17">
        <v>127.1</v>
      </c>
      <c r="K156" s="17">
        <v>133.80000000000001</v>
      </c>
      <c r="L156" s="17">
        <v>120.8</v>
      </c>
      <c r="M156" s="17">
        <v>141.30000000000001</v>
      </c>
      <c r="N156" s="17">
        <v>123.8</v>
      </c>
      <c r="O156" s="17">
        <v>142.6</v>
      </c>
      <c r="P156" s="17">
        <v>133.4</v>
      </c>
      <c r="Q156" s="17">
        <v>148</v>
      </c>
      <c r="R156" s="17">
        <v>131.19999999999999</v>
      </c>
      <c r="S156" s="17">
        <v>123</v>
      </c>
      <c r="T156" s="17">
        <v>130</v>
      </c>
      <c r="U156" s="17">
        <v>131.69999999999999</v>
      </c>
      <c r="V156" s="17">
        <v>121.4</v>
      </c>
      <c r="W156" s="17">
        <v>126</v>
      </c>
      <c r="X156" s="17">
        <v>123.4</v>
      </c>
      <c r="Y156" s="17">
        <v>114.3</v>
      </c>
      <c r="Z156" s="17">
        <v>122.6</v>
      </c>
      <c r="AA156" s="17">
        <v>133.6</v>
      </c>
      <c r="AB156" s="17">
        <v>122.2</v>
      </c>
      <c r="AC156" s="17">
        <v>122.5</v>
      </c>
      <c r="AD156" s="18">
        <v>129.1</v>
      </c>
      <c r="AF156" s="16">
        <f>SUM('Working sheet'!$D156:$P156)</f>
        <v>1708.1</v>
      </c>
      <c r="AG156" s="17">
        <f>SUM('Working sheet'!$Q156)</f>
        <v>148</v>
      </c>
      <c r="AH156" s="17">
        <f>SUM('Working sheet'!$R156:$T156)</f>
        <v>384.2</v>
      </c>
      <c r="AI156" s="17">
        <f>SUM('Working sheet'!$U156)</f>
        <v>131.69999999999999</v>
      </c>
      <c r="AJ156" s="17">
        <f>SUM('Working sheet'!$V156)</f>
        <v>121.4</v>
      </c>
      <c r="AK156" s="18">
        <f>SUM('Working sheet'!$W156:$AC156)</f>
        <v>864.6</v>
      </c>
    </row>
    <row r="157" spans="1:37" x14ac:dyDescent="0.25">
      <c r="A157" s="13" t="s">
        <v>31</v>
      </c>
      <c r="B157" s="14">
        <v>2017</v>
      </c>
      <c r="C157" s="14" t="s">
        <v>34</v>
      </c>
      <c r="D157" s="14">
        <v>133</v>
      </c>
      <c r="E157" s="14">
        <v>139.4</v>
      </c>
      <c r="F157" s="14">
        <v>126.1</v>
      </c>
      <c r="G157" s="14">
        <v>137.19999999999999</v>
      </c>
      <c r="H157" s="14">
        <v>118.4</v>
      </c>
      <c r="I157" s="14">
        <v>139.9</v>
      </c>
      <c r="J157" s="14">
        <v>123.4</v>
      </c>
      <c r="K157" s="14">
        <v>140.9</v>
      </c>
      <c r="L157" s="14">
        <v>118.5</v>
      </c>
      <c r="M157" s="14">
        <v>136.5</v>
      </c>
      <c r="N157" s="14">
        <v>127.4</v>
      </c>
      <c r="O157" s="14">
        <v>144.19999999999999</v>
      </c>
      <c r="P157" s="14">
        <v>133.5</v>
      </c>
      <c r="Q157" s="14">
        <v>145.4</v>
      </c>
      <c r="R157" s="14">
        <v>138</v>
      </c>
      <c r="S157" s="14">
        <v>131.1</v>
      </c>
      <c r="T157" s="14">
        <v>137</v>
      </c>
      <c r="U157" s="14">
        <v>131.69999999999999</v>
      </c>
      <c r="V157" s="14">
        <v>129.80000000000001</v>
      </c>
      <c r="W157" s="14">
        <v>130.4</v>
      </c>
      <c r="X157" s="14">
        <v>128.1</v>
      </c>
      <c r="Y157" s="14">
        <v>116.6</v>
      </c>
      <c r="Z157" s="14">
        <v>125.1</v>
      </c>
      <c r="AA157" s="14">
        <v>134.5</v>
      </c>
      <c r="AB157" s="14">
        <v>123.1</v>
      </c>
      <c r="AC157" s="14">
        <v>125.1</v>
      </c>
      <c r="AD157" s="15">
        <v>131.1</v>
      </c>
      <c r="AF157" s="13">
        <f>SUM('Working sheet'!$D157:$P157)</f>
        <v>1718.4</v>
      </c>
      <c r="AG157" s="14">
        <f>SUM('Working sheet'!$Q157)</f>
        <v>145.4</v>
      </c>
      <c r="AH157" s="14">
        <f>SUM('Working sheet'!$R157:$T157)</f>
        <v>406.1</v>
      </c>
      <c r="AI157" s="14">
        <f>SUM('Working sheet'!$U157)</f>
        <v>131.69999999999999</v>
      </c>
      <c r="AJ157" s="14">
        <f>SUM('Working sheet'!$V157)</f>
        <v>129.80000000000001</v>
      </c>
      <c r="AK157" s="15">
        <f>SUM('Working sheet'!$W157:$AC157)</f>
        <v>882.90000000000009</v>
      </c>
    </row>
    <row r="158" spans="1:37" hidden="1" x14ac:dyDescent="0.25">
      <c r="A158" s="16" t="s">
        <v>28</v>
      </c>
      <c r="B158" s="17">
        <v>2017</v>
      </c>
      <c r="C158" s="17" t="s">
        <v>35</v>
      </c>
      <c r="D158" s="17">
        <v>133.1</v>
      </c>
      <c r="E158" s="17">
        <v>140.30000000000001</v>
      </c>
      <c r="F158" s="17">
        <v>126.8</v>
      </c>
      <c r="G158" s="17">
        <v>138.19999999999999</v>
      </c>
      <c r="H158" s="17">
        <v>120.8</v>
      </c>
      <c r="I158" s="17">
        <v>140.19999999999999</v>
      </c>
      <c r="J158" s="17">
        <v>123.8</v>
      </c>
      <c r="K158" s="17">
        <v>141.80000000000001</v>
      </c>
      <c r="L158" s="17">
        <v>118.6</v>
      </c>
      <c r="M158" s="17">
        <v>134</v>
      </c>
      <c r="N158" s="17">
        <v>130.30000000000001</v>
      </c>
      <c r="O158" s="17">
        <v>145.80000000000001</v>
      </c>
      <c r="P158" s="17">
        <v>133.80000000000001</v>
      </c>
      <c r="Q158" s="17">
        <v>145.5</v>
      </c>
      <c r="R158" s="17">
        <v>142.5</v>
      </c>
      <c r="S158" s="17">
        <v>137.30000000000001</v>
      </c>
      <c r="T158" s="17">
        <v>141.80000000000001</v>
      </c>
      <c r="U158" s="17">
        <v>131.80000000000001</v>
      </c>
      <c r="V158" s="17">
        <v>135</v>
      </c>
      <c r="W158" s="17">
        <v>134.9</v>
      </c>
      <c r="X158" s="17">
        <v>131.4</v>
      </c>
      <c r="Y158" s="17">
        <v>119.4</v>
      </c>
      <c r="Z158" s="17">
        <v>129.4</v>
      </c>
      <c r="AA158" s="17">
        <v>136.30000000000001</v>
      </c>
      <c r="AB158" s="17">
        <v>123.7</v>
      </c>
      <c r="AC158" s="17">
        <v>127.9</v>
      </c>
      <c r="AD158" s="18">
        <v>133.30000000000001</v>
      </c>
      <c r="AF158" s="16">
        <f>SUM('Working sheet'!$D158:$P158)</f>
        <v>1727.4999999999995</v>
      </c>
      <c r="AG158" s="17">
        <f>SUM('Working sheet'!$Q158)</f>
        <v>145.5</v>
      </c>
      <c r="AH158" s="17">
        <f>SUM('Working sheet'!$R158:$T158)</f>
        <v>421.6</v>
      </c>
      <c r="AI158" s="17">
        <f>SUM('Working sheet'!$U158)</f>
        <v>131.80000000000001</v>
      </c>
      <c r="AJ158" s="17">
        <f>SUM('Working sheet'!$V158)</f>
        <v>135</v>
      </c>
      <c r="AK158" s="18">
        <f>SUM('Working sheet'!$W158:$AC158)</f>
        <v>903.00000000000011</v>
      </c>
    </row>
    <row r="159" spans="1:37" hidden="1" x14ac:dyDescent="0.25">
      <c r="A159" s="13" t="s">
        <v>30</v>
      </c>
      <c r="B159" s="14">
        <v>2017</v>
      </c>
      <c r="C159" s="14" t="s">
        <v>35</v>
      </c>
      <c r="D159" s="14">
        <v>132.6</v>
      </c>
      <c r="E159" s="14">
        <v>144.1</v>
      </c>
      <c r="F159" s="14">
        <v>125.6</v>
      </c>
      <c r="G159" s="14">
        <v>136.80000000000001</v>
      </c>
      <c r="H159" s="14">
        <v>113.4</v>
      </c>
      <c r="I159" s="14">
        <v>135.19999999999999</v>
      </c>
      <c r="J159" s="14">
        <v>129.19999999999999</v>
      </c>
      <c r="K159" s="14">
        <v>131.5</v>
      </c>
      <c r="L159" s="14">
        <v>121</v>
      </c>
      <c r="M159" s="14">
        <v>139.9</v>
      </c>
      <c r="N159" s="14">
        <v>123.8</v>
      </c>
      <c r="O159" s="14">
        <v>142.9</v>
      </c>
      <c r="P159" s="14">
        <v>133.6</v>
      </c>
      <c r="Q159" s="14">
        <v>148.30000000000001</v>
      </c>
      <c r="R159" s="14">
        <v>131.5</v>
      </c>
      <c r="S159" s="14">
        <v>123.2</v>
      </c>
      <c r="T159" s="14">
        <v>130.19999999999999</v>
      </c>
      <c r="U159" s="14">
        <v>132.1</v>
      </c>
      <c r="V159" s="14">
        <v>120.1</v>
      </c>
      <c r="W159" s="14">
        <v>126.5</v>
      </c>
      <c r="X159" s="14">
        <v>123.6</v>
      </c>
      <c r="Y159" s="14">
        <v>114.3</v>
      </c>
      <c r="Z159" s="14">
        <v>122.8</v>
      </c>
      <c r="AA159" s="14">
        <v>133.80000000000001</v>
      </c>
      <c r="AB159" s="14">
        <v>122</v>
      </c>
      <c r="AC159" s="14">
        <v>122.6</v>
      </c>
      <c r="AD159" s="15">
        <v>129.30000000000001</v>
      </c>
      <c r="AF159" s="13">
        <f>SUM('Working sheet'!$D159:$P159)</f>
        <v>1709.6</v>
      </c>
      <c r="AG159" s="14">
        <f>SUM('Working sheet'!$Q159)</f>
        <v>148.30000000000001</v>
      </c>
      <c r="AH159" s="14">
        <f>SUM('Working sheet'!$R159:$T159)</f>
        <v>384.9</v>
      </c>
      <c r="AI159" s="14">
        <f>SUM('Working sheet'!$U159)</f>
        <v>132.1</v>
      </c>
      <c r="AJ159" s="14">
        <f>SUM('Working sheet'!$V159)</f>
        <v>120.1</v>
      </c>
      <c r="AK159" s="15">
        <f>SUM('Working sheet'!$W159:$AC159)</f>
        <v>865.6</v>
      </c>
    </row>
    <row r="160" spans="1:37" x14ac:dyDescent="0.25">
      <c r="A160" s="16" t="s">
        <v>31</v>
      </c>
      <c r="B160" s="17">
        <v>2017</v>
      </c>
      <c r="C160" s="17" t="s">
        <v>35</v>
      </c>
      <c r="D160" s="17">
        <v>132.9</v>
      </c>
      <c r="E160" s="17">
        <v>141.6</v>
      </c>
      <c r="F160" s="17">
        <v>126.3</v>
      </c>
      <c r="G160" s="17">
        <v>137.69999999999999</v>
      </c>
      <c r="H160" s="17">
        <v>118.1</v>
      </c>
      <c r="I160" s="17">
        <v>137.9</v>
      </c>
      <c r="J160" s="17">
        <v>125.6</v>
      </c>
      <c r="K160" s="17">
        <v>138.30000000000001</v>
      </c>
      <c r="L160" s="17">
        <v>119.4</v>
      </c>
      <c r="M160" s="17">
        <v>136</v>
      </c>
      <c r="N160" s="17">
        <v>127.6</v>
      </c>
      <c r="O160" s="17">
        <v>144.5</v>
      </c>
      <c r="P160" s="17">
        <v>133.69999999999999</v>
      </c>
      <c r="Q160" s="17">
        <v>146.19999999999999</v>
      </c>
      <c r="R160" s="17">
        <v>138.19999999999999</v>
      </c>
      <c r="S160" s="17">
        <v>131.4</v>
      </c>
      <c r="T160" s="17">
        <v>137.19999999999999</v>
      </c>
      <c r="U160" s="17">
        <v>132.1</v>
      </c>
      <c r="V160" s="17">
        <v>129.4</v>
      </c>
      <c r="W160" s="17">
        <v>130.9</v>
      </c>
      <c r="X160" s="17">
        <v>128.4</v>
      </c>
      <c r="Y160" s="17">
        <v>116.7</v>
      </c>
      <c r="Z160" s="17">
        <v>125.7</v>
      </c>
      <c r="AA160" s="17">
        <v>134.80000000000001</v>
      </c>
      <c r="AB160" s="17">
        <v>123</v>
      </c>
      <c r="AC160" s="17">
        <v>125.3</v>
      </c>
      <c r="AD160" s="18">
        <v>131.4</v>
      </c>
      <c r="AF160" s="16">
        <f>SUM('Working sheet'!$D160:$P160)</f>
        <v>1719.6000000000001</v>
      </c>
      <c r="AG160" s="17">
        <f>SUM('Working sheet'!$Q160)</f>
        <v>146.19999999999999</v>
      </c>
      <c r="AH160" s="17">
        <f>SUM('Working sheet'!$R160:$T160)</f>
        <v>406.8</v>
      </c>
      <c r="AI160" s="17">
        <f>SUM('Working sheet'!$U160)</f>
        <v>132.1</v>
      </c>
      <c r="AJ160" s="17">
        <f>SUM('Working sheet'!$V160)</f>
        <v>129.4</v>
      </c>
      <c r="AK160" s="18">
        <f>SUM('Working sheet'!$W160:$AC160)</f>
        <v>884.8</v>
      </c>
    </row>
    <row r="161" spans="1:37" hidden="1" x14ac:dyDescent="0.25">
      <c r="A161" s="13" t="s">
        <v>28</v>
      </c>
      <c r="B161" s="14">
        <v>2017</v>
      </c>
      <c r="C161" s="14" t="s">
        <v>36</v>
      </c>
      <c r="D161" s="14">
        <v>133.5</v>
      </c>
      <c r="E161" s="14">
        <v>143.69999999999999</v>
      </c>
      <c r="F161" s="14">
        <v>128</v>
      </c>
      <c r="G161" s="14">
        <v>138.6</v>
      </c>
      <c r="H161" s="14">
        <v>120.9</v>
      </c>
      <c r="I161" s="14">
        <v>140.9</v>
      </c>
      <c r="J161" s="14">
        <v>128.80000000000001</v>
      </c>
      <c r="K161" s="14">
        <v>140.19999999999999</v>
      </c>
      <c r="L161" s="14">
        <v>118.9</v>
      </c>
      <c r="M161" s="14">
        <v>133.5</v>
      </c>
      <c r="N161" s="14">
        <v>130.4</v>
      </c>
      <c r="O161" s="14">
        <v>146.5</v>
      </c>
      <c r="P161" s="14">
        <v>134.9</v>
      </c>
      <c r="Q161" s="14">
        <v>145.80000000000001</v>
      </c>
      <c r="R161" s="14">
        <v>143.1</v>
      </c>
      <c r="S161" s="14">
        <v>137.69999999999999</v>
      </c>
      <c r="T161" s="14">
        <v>142.30000000000001</v>
      </c>
      <c r="U161" s="14">
        <v>132</v>
      </c>
      <c r="V161" s="14">
        <v>134.80000000000001</v>
      </c>
      <c r="W161" s="14">
        <v>135.19999999999999</v>
      </c>
      <c r="X161" s="14">
        <v>131.30000000000001</v>
      </c>
      <c r="Y161" s="14">
        <v>119.4</v>
      </c>
      <c r="Z161" s="14">
        <v>129.80000000000001</v>
      </c>
      <c r="AA161" s="14">
        <v>136.9</v>
      </c>
      <c r="AB161" s="14">
        <v>124.1</v>
      </c>
      <c r="AC161" s="14">
        <v>128.1</v>
      </c>
      <c r="AD161" s="15">
        <v>133.9</v>
      </c>
      <c r="AF161" s="13">
        <f>SUM('Working sheet'!$D161:$P161)</f>
        <v>1738.8000000000002</v>
      </c>
      <c r="AG161" s="14">
        <f>SUM('Working sheet'!$Q161)</f>
        <v>145.80000000000001</v>
      </c>
      <c r="AH161" s="14">
        <f>SUM('Working sheet'!$R161:$T161)</f>
        <v>423.09999999999997</v>
      </c>
      <c r="AI161" s="14">
        <f>SUM('Working sheet'!$U161)</f>
        <v>132</v>
      </c>
      <c r="AJ161" s="14">
        <f>SUM('Working sheet'!$V161)</f>
        <v>134.80000000000001</v>
      </c>
      <c r="AK161" s="15">
        <f>SUM('Working sheet'!$W161:$AC161)</f>
        <v>904.80000000000007</v>
      </c>
    </row>
    <row r="162" spans="1:37" hidden="1" x14ac:dyDescent="0.25">
      <c r="A162" s="16" t="s">
        <v>30</v>
      </c>
      <c r="B162" s="17">
        <v>2017</v>
      </c>
      <c r="C162" s="17" t="s">
        <v>36</v>
      </c>
      <c r="D162" s="17">
        <v>132.9</v>
      </c>
      <c r="E162" s="17">
        <v>148.69999999999999</v>
      </c>
      <c r="F162" s="17">
        <v>128.30000000000001</v>
      </c>
      <c r="G162" s="17">
        <v>137.30000000000001</v>
      </c>
      <c r="H162" s="17">
        <v>113.5</v>
      </c>
      <c r="I162" s="17">
        <v>137.19999999999999</v>
      </c>
      <c r="J162" s="17">
        <v>142.19999999999999</v>
      </c>
      <c r="K162" s="17">
        <v>128.19999999999999</v>
      </c>
      <c r="L162" s="17">
        <v>120.9</v>
      </c>
      <c r="M162" s="17">
        <v>138.80000000000001</v>
      </c>
      <c r="N162" s="17">
        <v>124.2</v>
      </c>
      <c r="O162" s="17">
        <v>143.1</v>
      </c>
      <c r="P162" s="17">
        <v>135.69999999999999</v>
      </c>
      <c r="Q162" s="17">
        <v>148.6</v>
      </c>
      <c r="R162" s="17">
        <v>131.5</v>
      </c>
      <c r="S162" s="17">
        <v>123.2</v>
      </c>
      <c r="T162" s="17">
        <v>130.19999999999999</v>
      </c>
      <c r="U162" s="17">
        <v>131.4</v>
      </c>
      <c r="V162" s="17">
        <v>119</v>
      </c>
      <c r="W162" s="17">
        <v>126.8</v>
      </c>
      <c r="X162" s="17">
        <v>123.8</v>
      </c>
      <c r="Y162" s="17">
        <v>113.9</v>
      </c>
      <c r="Z162" s="17">
        <v>122.9</v>
      </c>
      <c r="AA162" s="17">
        <v>134.30000000000001</v>
      </c>
      <c r="AB162" s="17">
        <v>122.5</v>
      </c>
      <c r="AC162" s="17">
        <v>122.7</v>
      </c>
      <c r="AD162" s="18">
        <v>129.9</v>
      </c>
      <c r="AF162" s="16">
        <f>SUM('Working sheet'!$D162:$P162)</f>
        <v>1731.0000000000002</v>
      </c>
      <c r="AG162" s="17">
        <f>SUM('Working sheet'!$Q162)</f>
        <v>148.6</v>
      </c>
      <c r="AH162" s="17">
        <f>SUM('Working sheet'!$R162:$T162)</f>
        <v>384.9</v>
      </c>
      <c r="AI162" s="17">
        <f>SUM('Working sheet'!$U162)</f>
        <v>131.4</v>
      </c>
      <c r="AJ162" s="17">
        <f>SUM('Working sheet'!$V162)</f>
        <v>119</v>
      </c>
      <c r="AK162" s="18">
        <f>SUM('Working sheet'!$W162:$AC162)</f>
        <v>866.90000000000009</v>
      </c>
    </row>
    <row r="163" spans="1:37" x14ac:dyDescent="0.25">
      <c r="A163" s="13" t="s">
        <v>31</v>
      </c>
      <c r="B163" s="14">
        <v>2017</v>
      </c>
      <c r="C163" s="14" t="s">
        <v>36</v>
      </c>
      <c r="D163" s="14">
        <v>133.30000000000001</v>
      </c>
      <c r="E163" s="14">
        <v>145.5</v>
      </c>
      <c r="F163" s="14">
        <v>128.1</v>
      </c>
      <c r="G163" s="14">
        <v>138.1</v>
      </c>
      <c r="H163" s="14">
        <v>118.2</v>
      </c>
      <c r="I163" s="14">
        <v>139.19999999999999</v>
      </c>
      <c r="J163" s="14">
        <v>133.30000000000001</v>
      </c>
      <c r="K163" s="14">
        <v>136.19999999999999</v>
      </c>
      <c r="L163" s="14">
        <v>119.6</v>
      </c>
      <c r="M163" s="14">
        <v>135.30000000000001</v>
      </c>
      <c r="N163" s="14">
        <v>127.8</v>
      </c>
      <c r="O163" s="14">
        <v>144.9</v>
      </c>
      <c r="P163" s="14">
        <v>135.19999999999999</v>
      </c>
      <c r="Q163" s="14">
        <v>146.5</v>
      </c>
      <c r="R163" s="14">
        <v>138.5</v>
      </c>
      <c r="S163" s="14">
        <v>131.69999999999999</v>
      </c>
      <c r="T163" s="14">
        <v>137.5</v>
      </c>
      <c r="U163" s="14">
        <v>131.4</v>
      </c>
      <c r="V163" s="14">
        <v>128.80000000000001</v>
      </c>
      <c r="W163" s="14">
        <v>131.19999999999999</v>
      </c>
      <c r="X163" s="14">
        <v>128.5</v>
      </c>
      <c r="Y163" s="14">
        <v>116.5</v>
      </c>
      <c r="Z163" s="14">
        <v>125.9</v>
      </c>
      <c r="AA163" s="14">
        <v>135.4</v>
      </c>
      <c r="AB163" s="14">
        <v>123.4</v>
      </c>
      <c r="AC163" s="14">
        <v>125.5</v>
      </c>
      <c r="AD163" s="15">
        <v>132</v>
      </c>
      <c r="AF163" s="13">
        <f>SUM('Working sheet'!$D163:$P163)</f>
        <v>1734.7</v>
      </c>
      <c r="AG163" s="14">
        <f>SUM('Working sheet'!$Q163)</f>
        <v>146.5</v>
      </c>
      <c r="AH163" s="14">
        <f>SUM('Working sheet'!$R163:$T163)</f>
        <v>407.7</v>
      </c>
      <c r="AI163" s="14">
        <f>SUM('Working sheet'!$U163)</f>
        <v>131.4</v>
      </c>
      <c r="AJ163" s="14">
        <f>SUM('Working sheet'!$V163)</f>
        <v>128.80000000000001</v>
      </c>
      <c r="AK163" s="15">
        <f>SUM('Working sheet'!$W163:$AC163)</f>
        <v>886.4</v>
      </c>
    </row>
    <row r="164" spans="1:37" hidden="1" x14ac:dyDescent="0.25">
      <c r="A164" s="16" t="s">
        <v>28</v>
      </c>
      <c r="B164" s="17">
        <v>2017</v>
      </c>
      <c r="C164" s="17" t="s">
        <v>37</v>
      </c>
      <c r="D164" s="17">
        <v>134</v>
      </c>
      <c r="E164" s="17">
        <v>144.19999999999999</v>
      </c>
      <c r="F164" s="17">
        <v>129.80000000000001</v>
      </c>
      <c r="G164" s="17">
        <v>139</v>
      </c>
      <c r="H164" s="17">
        <v>120.9</v>
      </c>
      <c r="I164" s="17">
        <v>143.9</v>
      </c>
      <c r="J164" s="17">
        <v>151.5</v>
      </c>
      <c r="K164" s="17">
        <v>138.1</v>
      </c>
      <c r="L164" s="17">
        <v>120</v>
      </c>
      <c r="M164" s="17">
        <v>133.9</v>
      </c>
      <c r="N164" s="17">
        <v>131.4</v>
      </c>
      <c r="O164" s="17">
        <v>147.69999999999999</v>
      </c>
      <c r="P164" s="17">
        <v>138.5</v>
      </c>
      <c r="Q164" s="17">
        <v>147.4</v>
      </c>
      <c r="R164" s="17">
        <v>144.30000000000001</v>
      </c>
      <c r="S164" s="17">
        <v>138.1</v>
      </c>
      <c r="T164" s="17">
        <v>143.5</v>
      </c>
      <c r="U164" s="17">
        <v>133.5</v>
      </c>
      <c r="V164" s="17">
        <v>135.30000000000001</v>
      </c>
      <c r="W164" s="17">
        <v>136.1</v>
      </c>
      <c r="X164" s="17">
        <v>132.1</v>
      </c>
      <c r="Y164" s="17">
        <v>119.1</v>
      </c>
      <c r="Z164" s="17">
        <v>130.6</v>
      </c>
      <c r="AA164" s="17">
        <v>138.6</v>
      </c>
      <c r="AB164" s="17">
        <v>124.4</v>
      </c>
      <c r="AC164" s="17">
        <v>128.6</v>
      </c>
      <c r="AD164" s="18">
        <v>136.19999999999999</v>
      </c>
      <c r="AF164" s="16">
        <f>SUM('Working sheet'!$D164:$P164)</f>
        <v>1772.9</v>
      </c>
      <c r="AG164" s="17">
        <f>SUM('Working sheet'!$Q164)</f>
        <v>147.4</v>
      </c>
      <c r="AH164" s="17">
        <f>SUM('Working sheet'!$R164:$T164)</f>
        <v>425.9</v>
      </c>
      <c r="AI164" s="17">
        <f>SUM('Working sheet'!$U164)</f>
        <v>133.5</v>
      </c>
      <c r="AJ164" s="17">
        <f>SUM('Working sheet'!$V164)</f>
        <v>135.30000000000001</v>
      </c>
      <c r="AK164" s="18">
        <f>SUM('Working sheet'!$W164:$AC164)</f>
        <v>909.5</v>
      </c>
    </row>
    <row r="165" spans="1:37" hidden="1" x14ac:dyDescent="0.25">
      <c r="A165" s="13" t="s">
        <v>30</v>
      </c>
      <c r="B165" s="14">
        <v>2017</v>
      </c>
      <c r="C165" s="14" t="s">
        <v>37</v>
      </c>
      <c r="D165" s="14">
        <v>132.80000000000001</v>
      </c>
      <c r="E165" s="14">
        <v>148.4</v>
      </c>
      <c r="F165" s="14">
        <v>129.4</v>
      </c>
      <c r="G165" s="14">
        <v>137.69999999999999</v>
      </c>
      <c r="H165" s="14">
        <v>113.4</v>
      </c>
      <c r="I165" s="14">
        <v>139.4</v>
      </c>
      <c r="J165" s="14">
        <v>175.1</v>
      </c>
      <c r="K165" s="14">
        <v>124.7</v>
      </c>
      <c r="L165" s="14">
        <v>121.5</v>
      </c>
      <c r="M165" s="14">
        <v>137.80000000000001</v>
      </c>
      <c r="N165" s="14">
        <v>124.4</v>
      </c>
      <c r="O165" s="14">
        <v>143.69999999999999</v>
      </c>
      <c r="P165" s="14">
        <v>139.80000000000001</v>
      </c>
      <c r="Q165" s="14">
        <v>150.5</v>
      </c>
      <c r="R165" s="14">
        <v>131.6</v>
      </c>
      <c r="S165" s="14">
        <v>123.7</v>
      </c>
      <c r="T165" s="14">
        <v>130.4</v>
      </c>
      <c r="U165" s="14">
        <v>132.6</v>
      </c>
      <c r="V165" s="14">
        <v>119.7</v>
      </c>
      <c r="W165" s="14">
        <v>127.2</v>
      </c>
      <c r="X165" s="14">
        <v>125</v>
      </c>
      <c r="Y165" s="14">
        <v>113.2</v>
      </c>
      <c r="Z165" s="14">
        <v>123.5</v>
      </c>
      <c r="AA165" s="14">
        <v>135.5</v>
      </c>
      <c r="AB165" s="14">
        <v>122.4</v>
      </c>
      <c r="AC165" s="14">
        <v>123</v>
      </c>
      <c r="AD165" s="15">
        <v>131.80000000000001</v>
      </c>
      <c r="AF165" s="13">
        <f>SUM('Working sheet'!$D165:$P165)</f>
        <v>1768.1</v>
      </c>
      <c r="AG165" s="14">
        <f>SUM('Working sheet'!$Q165)</f>
        <v>150.5</v>
      </c>
      <c r="AH165" s="14">
        <f>SUM('Working sheet'!$R165:$T165)</f>
        <v>385.70000000000005</v>
      </c>
      <c r="AI165" s="14">
        <f>SUM('Working sheet'!$U165)</f>
        <v>132.6</v>
      </c>
      <c r="AJ165" s="14">
        <f>SUM('Working sheet'!$V165)</f>
        <v>119.7</v>
      </c>
      <c r="AK165" s="15">
        <f>SUM('Working sheet'!$W165:$AC165)</f>
        <v>869.8</v>
      </c>
    </row>
    <row r="166" spans="1:37" x14ac:dyDescent="0.25">
      <c r="A166" s="16" t="s">
        <v>31</v>
      </c>
      <c r="B166" s="17">
        <v>2017</v>
      </c>
      <c r="C166" s="17" t="s">
        <v>37</v>
      </c>
      <c r="D166" s="17">
        <v>133.6</v>
      </c>
      <c r="E166" s="17">
        <v>145.69999999999999</v>
      </c>
      <c r="F166" s="17">
        <v>129.6</v>
      </c>
      <c r="G166" s="17">
        <v>138.5</v>
      </c>
      <c r="H166" s="17">
        <v>118.1</v>
      </c>
      <c r="I166" s="17">
        <v>141.80000000000001</v>
      </c>
      <c r="J166" s="17">
        <v>159.5</v>
      </c>
      <c r="K166" s="17">
        <v>133.6</v>
      </c>
      <c r="L166" s="17">
        <v>120.5</v>
      </c>
      <c r="M166" s="17">
        <v>135.19999999999999</v>
      </c>
      <c r="N166" s="17">
        <v>128.5</v>
      </c>
      <c r="O166" s="17">
        <v>145.80000000000001</v>
      </c>
      <c r="P166" s="17">
        <v>139</v>
      </c>
      <c r="Q166" s="17">
        <v>148.19999999999999</v>
      </c>
      <c r="R166" s="17">
        <v>139.30000000000001</v>
      </c>
      <c r="S166" s="17">
        <v>132.1</v>
      </c>
      <c r="T166" s="17">
        <v>138.30000000000001</v>
      </c>
      <c r="U166" s="17">
        <v>132.6</v>
      </c>
      <c r="V166" s="17">
        <v>129.4</v>
      </c>
      <c r="W166" s="17">
        <v>131.9</v>
      </c>
      <c r="X166" s="17">
        <v>129.4</v>
      </c>
      <c r="Y166" s="17">
        <v>116</v>
      </c>
      <c r="Z166" s="17">
        <v>126.6</v>
      </c>
      <c r="AA166" s="17">
        <v>136.80000000000001</v>
      </c>
      <c r="AB166" s="17">
        <v>123.6</v>
      </c>
      <c r="AC166" s="17">
        <v>125.9</v>
      </c>
      <c r="AD166" s="18">
        <v>134.19999999999999</v>
      </c>
      <c r="AF166" s="16">
        <f>SUM('Working sheet'!$D166:$P166)</f>
        <v>1769.3999999999999</v>
      </c>
      <c r="AG166" s="17">
        <f>SUM('Working sheet'!$Q166)</f>
        <v>148.19999999999999</v>
      </c>
      <c r="AH166" s="17">
        <f>SUM('Working sheet'!$R166:$T166)</f>
        <v>409.7</v>
      </c>
      <c r="AI166" s="17">
        <f>SUM('Working sheet'!$U166)</f>
        <v>132.6</v>
      </c>
      <c r="AJ166" s="17">
        <f>SUM('Working sheet'!$V166)</f>
        <v>129.4</v>
      </c>
      <c r="AK166" s="18">
        <f>SUM('Working sheet'!$W166:$AC166)</f>
        <v>890.2</v>
      </c>
    </row>
    <row r="167" spans="1:37" hidden="1" x14ac:dyDescent="0.25">
      <c r="A167" s="13" t="s">
        <v>28</v>
      </c>
      <c r="B167" s="14">
        <v>2017</v>
      </c>
      <c r="C167" s="14" t="s">
        <v>38</v>
      </c>
      <c r="D167" s="14">
        <v>134.80000000000001</v>
      </c>
      <c r="E167" s="14">
        <v>143.1</v>
      </c>
      <c r="F167" s="14">
        <v>130</v>
      </c>
      <c r="G167" s="14">
        <v>139.4</v>
      </c>
      <c r="H167" s="14">
        <v>120.5</v>
      </c>
      <c r="I167" s="14">
        <v>148</v>
      </c>
      <c r="J167" s="14">
        <v>162.9</v>
      </c>
      <c r="K167" s="14">
        <v>137.4</v>
      </c>
      <c r="L167" s="14">
        <v>120.8</v>
      </c>
      <c r="M167" s="14">
        <v>134.69999999999999</v>
      </c>
      <c r="N167" s="14">
        <v>131.6</v>
      </c>
      <c r="O167" s="14">
        <v>148.69999999999999</v>
      </c>
      <c r="P167" s="14">
        <v>140.6</v>
      </c>
      <c r="Q167" s="14">
        <v>149</v>
      </c>
      <c r="R167" s="14">
        <v>145.30000000000001</v>
      </c>
      <c r="S167" s="14">
        <v>139.19999999999999</v>
      </c>
      <c r="T167" s="14">
        <v>144.5</v>
      </c>
      <c r="U167" s="14">
        <v>135.1</v>
      </c>
      <c r="V167" s="14">
        <v>136.4</v>
      </c>
      <c r="W167" s="14">
        <v>137.30000000000001</v>
      </c>
      <c r="X167" s="14">
        <v>133</v>
      </c>
      <c r="Y167" s="14">
        <v>120.3</v>
      </c>
      <c r="Z167" s="14">
        <v>131.5</v>
      </c>
      <c r="AA167" s="14">
        <v>140.19999999999999</v>
      </c>
      <c r="AB167" s="14">
        <v>125.4</v>
      </c>
      <c r="AC167" s="14">
        <v>129.69999999999999</v>
      </c>
      <c r="AD167" s="15">
        <v>137.80000000000001</v>
      </c>
      <c r="AF167" s="13">
        <f>SUM('Working sheet'!$D167:$P167)</f>
        <v>1792.4999999999998</v>
      </c>
      <c r="AG167" s="14">
        <f>SUM('Working sheet'!$Q167)</f>
        <v>149</v>
      </c>
      <c r="AH167" s="14">
        <f>SUM('Working sheet'!$R167:$T167)</f>
        <v>429</v>
      </c>
      <c r="AI167" s="14">
        <f>SUM('Working sheet'!$U167)</f>
        <v>135.1</v>
      </c>
      <c r="AJ167" s="14">
        <f>SUM('Working sheet'!$V167)</f>
        <v>136.4</v>
      </c>
      <c r="AK167" s="15">
        <f>SUM('Working sheet'!$W167:$AC167)</f>
        <v>917.39999999999986</v>
      </c>
    </row>
    <row r="168" spans="1:37" hidden="1" x14ac:dyDescent="0.25">
      <c r="A168" s="16" t="s">
        <v>30</v>
      </c>
      <c r="B168" s="17">
        <v>2017</v>
      </c>
      <c r="C168" s="17" t="s">
        <v>38</v>
      </c>
      <c r="D168" s="17">
        <v>133.19999999999999</v>
      </c>
      <c r="E168" s="17">
        <v>143.9</v>
      </c>
      <c r="F168" s="17">
        <v>128.30000000000001</v>
      </c>
      <c r="G168" s="17">
        <v>138.30000000000001</v>
      </c>
      <c r="H168" s="17">
        <v>114.1</v>
      </c>
      <c r="I168" s="17">
        <v>142.69999999999999</v>
      </c>
      <c r="J168" s="17">
        <v>179.8</v>
      </c>
      <c r="K168" s="17">
        <v>123.5</v>
      </c>
      <c r="L168" s="17">
        <v>122.1</v>
      </c>
      <c r="M168" s="17">
        <v>137.5</v>
      </c>
      <c r="N168" s="17">
        <v>124.6</v>
      </c>
      <c r="O168" s="17">
        <v>144.5</v>
      </c>
      <c r="P168" s="17">
        <v>140.5</v>
      </c>
      <c r="Q168" s="17">
        <v>152.1</v>
      </c>
      <c r="R168" s="17">
        <v>132.69999999999999</v>
      </c>
      <c r="S168" s="17">
        <v>124.3</v>
      </c>
      <c r="T168" s="17">
        <v>131.4</v>
      </c>
      <c r="U168" s="17">
        <v>134.4</v>
      </c>
      <c r="V168" s="17">
        <v>118.9</v>
      </c>
      <c r="W168" s="17">
        <v>127.7</v>
      </c>
      <c r="X168" s="17">
        <v>125.7</v>
      </c>
      <c r="Y168" s="17">
        <v>114.6</v>
      </c>
      <c r="Z168" s="17">
        <v>124.1</v>
      </c>
      <c r="AA168" s="17">
        <v>135.69999999999999</v>
      </c>
      <c r="AB168" s="17">
        <v>123.3</v>
      </c>
      <c r="AC168" s="17">
        <v>123.8</v>
      </c>
      <c r="AD168" s="18">
        <v>132.69999999999999</v>
      </c>
      <c r="AF168" s="16">
        <f>SUM('Working sheet'!$D168:$P168)</f>
        <v>1772.9999999999998</v>
      </c>
      <c r="AG168" s="17">
        <f>SUM('Working sheet'!$Q168)</f>
        <v>152.1</v>
      </c>
      <c r="AH168" s="17">
        <f>SUM('Working sheet'!$R168:$T168)</f>
        <v>388.4</v>
      </c>
      <c r="AI168" s="17">
        <f>SUM('Working sheet'!$U168)</f>
        <v>134.4</v>
      </c>
      <c r="AJ168" s="17">
        <f>SUM('Working sheet'!$V168)</f>
        <v>118.9</v>
      </c>
      <c r="AK168" s="18">
        <f>SUM('Working sheet'!$W168:$AC168)</f>
        <v>874.89999999999986</v>
      </c>
    </row>
    <row r="169" spans="1:37" x14ac:dyDescent="0.25">
      <c r="A169" s="13" t="s">
        <v>31</v>
      </c>
      <c r="B169" s="14">
        <v>2017</v>
      </c>
      <c r="C169" s="14" t="s">
        <v>38</v>
      </c>
      <c r="D169" s="14">
        <v>134.30000000000001</v>
      </c>
      <c r="E169" s="14">
        <v>143.4</v>
      </c>
      <c r="F169" s="14">
        <v>129.30000000000001</v>
      </c>
      <c r="G169" s="14">
        <v>139</v>
      </c>
      <c r="H169" s="14">
        <v>118.1</v>
      </c>
      <c r="I169" s="14">
        <v>145.5</v>
      </c>
      <c r="J169" s="14">
        <v>168.6</v>
      </c>
      <c r="K169" s="14">
        <v>132.69999999999999</v>
      </c>
      <c r="L169" s="14">
        <v>121.2</v>
      </c>
      <c r="M169" s="14">
        <v>135.6</v>
      </c>
      <c r="N169" s="14">
        <v>128.69999999999999</v>
      </c>
      <c r="O169" s="14">
        <v>146.80000000000001</v>
      </c>
      <c r="P169" s="14">
        <v>140.6</v>
      </c>
      <c r="Q169" s="14">
        <v>149.80000000000001</v>
      </c>
      <c r="R169" s="14">
        <v>140.30000000000001</v>
      </c>
      <c r="S169" s="14">
        <v>133</v>
      </c>
      <c r="T169" s="14">
        <v>139.30000000000001</v>
      </c>
      <c r="U169" s="14">
        <v>134.4</v>
      </c>
      <c r="V169" s="14">
        <v>129.80000000000001</v>
      </c>
      <c r="W169" s="14">
        <v>132.80000000000001</v>
      </c>
      <c r="X169" s="14">
        <v>130.19999999999999</v>
      </c>
      <c r="Y169" s="14">
        <v>117.3</v>
      </c>
      <c r="Z169" s="14">
        <v>127.3</v>
      </c>
      <c r="AA169" s="14">
        <v>137.6</v>
      </c>
      <c r="AB169" s="14">
        <v>124.5</v>
      </c>
      <c r="AC169" s="14">
        <v>126.8</v>
      </c>
      <c r="AD169" s="15">
        <v>135.4</v>
      </c>
      <c r="AF169" s="13">
        <f>SUM('Working sheet'!$D169:$P169)</f>
        <v>1783.8</v>
      </c>
      <c r="AG169" s="14">
        <f>SUM('Working sheet'!$Q169)</f>
        <v>149.80000000000001</v>
      </c>
      <c r="AH169" s="14">
        <f>SUM('Working sheet'!$R169:$T169)</f>
        <v>412.6</v>
      </c>
      <c r="AI169" s="14">
        <f>SUM('Working sheet'!$U169)</f>
        <v>134.4</v>
      </c>
      <c r="AJ169" s="14">
        <f>SUM('Working sheet'!$V169)</f>
        <v>129.80000000000001</v>
      </c>
      <c r="AK169" s="15">
        <f>SUM('Working sheet'!$W169:$AC169)</f>
        <v>896.5</v>
      </c>
    </row>
    <row r="170" spans="1:37" hidden="1" x14ac:dyDescent="0.25">
      <c r="A170" s="16" t="s">
        <v>28</v>
      </c>
      <c r="B170" s="17">
        <v>2017</v>
      </c>
      <c r="C170" s="17" t="s">
        <v>39</v>
      </c>
      <c r="D170" s="17">
        <v>135.19999999999999</v>
      </c>
      <c r="E170" s="17">
        <v>142</v>
      </c>
      <c r="F170" s="17">
        <v>130.5</v>
      </c>
      <c r="G170" s="17">
        <v>140.19999999999999</v>
      </c>
      <c r="H170" s="17">
        <v>120.7</v>
      </c>
      <c r="I170" s="17">
        <v>147.80000000000001</v>
      </c>
      <c r="J170" s="17">
        <v>154.5</v>
      </c>
      <c r="K170" s="17">
        <v>137.1</v>
      </c>
      <c r="L170" s="17">
        <v>121</v>
      </c>
      <c r="M170" s="17">
        <v>134.69999999999999</v>
      </c>
      <c r="N170" s="17">
        <v>131.69999999999999</v>
      </c>
      <c r="O170" s="17">
        <v>149.30000000000001</v>
      </c>
      <c r="P170" s="17">
        <v>139.6</v>
      </c>
      <c r="Q170" s="17">
        <v>149.80000000000001</v>
      </c>
      <c r="R170" s="17">
        <v>146.1</v>
      </c>
      <c r="S170" s="17">
        <v>139.69999999999999</v>
      </c>
      <c r="T170" s="17">
        <v>145.19999999999999</v>
      </c>
      <c r="U170" s="17">
        <v>136.5</v>
      </c>
      <c r="V170" s="17">
        <v>137.4</v>
      </c>
      <c r="W170" s="17">
        <v>137.9</v>
      </c>
      <c r="X170" s="17">
        <v>133.4</v>
      </c>
      <c r="Y170" s="17">
        <v>121.2</v>
      </c>
      <c r="Z170" s="17">
        <v>132.30000000000001</v>
      </c>
      <c r="AA170" s="17">
        <v>139.6</v>
      </c>
      <c r="AB170" s="17">
        <v>126.7</v>
      </c>
      <c r="AC170" s="17">
        <v>130.30000000000001</v>
      </c>
      <c r="AD170" s="18">
        <v>137.6</v>
      </c>
      <c r="AF170" s="16">
        <f>SUM('Working sheet'!$D170:$P170)</f>
        <v>1784.3</v>
      </c>
      <c r="AG170" s="17">
        <f>SUM('Working sheet'!$Q170)</f>
        <v>149.80000000000001</v>
      </c>
      <c r="AH170" s="17">
        <f>SUM('Working sheet'!$R170:$T170)</f>
        <v>430.99999999999994</v>
      </c>
      <c r="AI170" s="17">
        <f>SUM('Working sheet'!$U170)</f>
        <v>136.5</v>
      </c>
      <c r="AJ170" s="17">
        <f>SUM('Working sheet'!$V170)</f>
        <v>137.4</v>
      </c>
      <c r="AK170" s="18">
        <f>SUM('Working sheet'!$W170:$AC170)</f>
        <v>921.40000000000009</v>
      </c>
    </row>
    <row r="171" spans="1:37" hidden="1" x14ac:dyDescent="0.25">
      <c r="A171" s="13" t="s">
        <v>30</v>
      </c>
      <c r="B171" s="14">
        <v>2017</v>
      </c>
      <c r="C171" s="14" t="s">
        <v>39</v>
      </c>
      <c r="D171" s="14">
        <v>133.6</v>
      </c>
      <c r="E171" s="14">
        <v>143</v>
      </c>
      <c r="F171" s="14">
        <v>129.69999999999999</v>
      </c>
      <c r="G171" s="14">
        <v>138.69999999999999</v>
      </c>
      <c r="H171" s="14">
        <v>114.5</v>
      </c>
      <c r="I171" s="14">
        <v>137.5</v>
      </c>
      <c r="J171" s="14">
        <v>160.69999999999999</v>
      </c>
      <c r="K171" s="14">
        <v>124.5</v>
      </c>
      <c r="L171" s="14">
        <v>122.4</v>
      </c>
      <c r="M171" s="14">
        <v>137.30000000000001</v>
      </c>
      <c r="N171" s="14">
        <v>124.8</v>
      </c>
      <c r="O171" s="14">
        <v>145</v>
      </c>
      <c r="P171" s="14">
        <v>138</v>
      </c>
      <c r="Q171" s="14">
        <v>153.6</v>
      </c>
      <c r="R171" s="14">
        <v>133.30000000000001</v>
      </c>
      <c r="S171" s="14">
        <v>124.6</v>
      </c>
      <c r="T171" s="14">
        <v>132</v>
      </c>
      <c r="U171" s="14">
        <v>135.69999999999999</v>
      </c>
      <c r="V171" s="14">
        <v>120.6</v>
      </c>
      <c r="W171" s="14">
        <v>128.1</v>
      </c>
      <c r="X171" s="14">
        <v>126.1</v>
      </c>
      <c r="Y171" s="14">
        <v>115.7</v>
      </c>
      <c r="Z171" s="14">
        <v>124.5</v>
      </c>
      <c r="AA171" s="14">
        <v>135.9</v>
      </c>
      <c r="AB171" s="14">
        <v>124.4</v>
      </c>
      <c r="AC171" s="14">
        <v>124.5</v>
      </c>
      <c r="AD171" s="15">
        <v>132.4</v>
      </c>
      <c r="AF171" s="13">
        <f>SUM('Working sheet'!$D171:$P171)</f>
        <v>1749.7</v>
      </c>
      <c r="AG171" s="14">
        <f>SUM('Working sheet'!$Q171)</f>
        <v>153.6</v>
      </c>
      <c r="AH171" s="14">
        <f>SUM('Working sheet'!$R171:$T171)</f>
        <v>389.9</v>
      </c>
      <c r="AI171" s="14">
        <f>SUM('Working sheet'!$U171)</f>
        <v>135.69999999999999</v>
      </c>
      <c r="AJ171" s="14">
        <f>SUM('Working sheet'!$V171)</f>
        <v>120.6</v>
      </c>
      <c r="AK171" s="15">
        <f>SUM('Working sheet'!$W171:$AC171)</f>
        <v>879.19999999999993</v>
      </c>
    </row>
    <row r="172" spans="1:37" x14ac:dyDescent="0.25">
      <c r="A172" s="16" t="s">
        <v>31</v>
      </c>
      <c r="B172" s="17">
        <v>2017</v>
      </c>
      <c r="C172" s="17" t="s">
        <v>39</v>
      </c>
      <c r="D172" s="17">
        <v>134.69999999999999</v>
      </c>
      <c r="E172" s="17">
        <v>142.4</v>
      </c>
      <c r="F172" s="17">
        <v>130.19999999999999</v>
      </c>
      <c r="G172" s="17">
        <v>139.6</v>
      </c>
      <c r="H172" s="17">
        <v>118.4</v>
      </c>
      <c r="I172" s="17">
        <v>143</v>
      </c>
      <c r="J172" s="17">
        <v>156.6</v>
      </c>
      <c r="K172" s="17">
        <v>132.9</v>
      </c>
      <c r="L172" s="17">
        <v>121.5</v>
      </c>
      <c r="M172" s="17">
        <v>135.6</v>
      </c>
      <c r="N172" s="17">
        <v>128.80000000000001</v>
      </c>
      <c r="O172" s="17">
        <v>147.30000000000001</v>
      </c>
      <c r="P172" s="17">
        <v>139</v>
      </c>
      <c r="Q172" s="17">
        <v>150.80000000000001</v>
      </c>
      <c r="R172" s="17">
        <v>141.1</v>
      </c>
      <c r="S172" s="17">
        <v>133.4</v>
      </c>
      <c r="T172" s="17">
        <v>140</v>
      </c>
      <c r="U172" s="17">
        <v>135.69999999999999</v>
      </c>
      <c r="V172" s="17">
        <v>131</v>
      </c>
      <c r="W172" s="17">
        <v>133.30000000000001</v>
      </c>
      <c r="X172" s="17">
        <v>130.6</v>
      </c>
      <c r="Y172" s="17">
        <v>118.3</v>
      </c>
      <c r="Z172" s="17">
        <v>127.9</v>
      </c>
      <c r="AA172" s="17">
        <v>137.4</v>
      </c>
      <c r="AB172" s="17">
        <v>125.7</v>
      </c>
      <c r="AC172" s="17">
        <v>127.5</v>
      </c>
      <c r="AD172" s="18">
        <v>135.19999999999999</v>
      </c>
      <c r="AF172" s="16">
        <f>SUM('Working sheet'!$D172:$P172)</f>
        <v>1769.9999999999998</v>
      </c>
      <c r="AG172" s="17">
        <f>SUM('Working sheet'!$Q172)</f>
        <v>150.80000000000001</v>
      </c>
      <c r="AH172" s="17">
        <f>SUM('Working sheet'!$R172:$T172)</f>
        <v>414.5</v>
      </c>
      <c r="AI172" s="17">
        <f>SUM('Working sheet'!$U172)</f>
        <v>135.69999999999999</v>
      </c>
      <c r="AJ172" s="17">
        <f>SUM('Working sheet'!$V172)</f>
        <v>131</v>
      </c>
      <c r="AK172" s="18">
        <f>SUM('Working sheet'!$W172:$AC172)</f>
        <v>900.7</v>
      </c>
    </row>
    <row r="173" spans="1:37" hidden="1" x14ac:dyDescent="0.25">
      <c r="A173" s="13" t="s">
        <v>28</v>
      </c>
      <c r="B173" s="14">
        <v>2017</v>
      </c>
      <c r="C173" s="14" t="s">
        <v>40</v>
      </c>
      <c r="D173" s="14">
        <v>135.9</v>
      </c>
      <c r="E173" s="14">
        <v>141.9</v>
      </c>
      <c r="F173" s="14">
        <v>131</v>
      </c>
      <c r="G173" s="14">
        <v>141.5</v>
      </c>
      <c r="H173" s="14">
        <v>121.4</v>
      </c>
      <c r="I173" s="14">
        <v>146.69999999999999</v>
      </c>
      <c r="J173" s="14">
        <v>157.1</v>
      </c>
      <c r="K173" s="14">
        <v>136.4</v>
      </c>
      <c r="L173" s="14">
        <v>121.4</v>
      </c>
      <c r="M173" s="14">
        <v>135.6</v>
      </c>
      <c r="N173" s="14">
        <v>131.30000000000001</v>
      </c>
      <c r="O173" s="14">
        <v>150.30000000000001</v>
      </c>
      <c r="P173" s="14">
        <v>140.4</v>
      </c>
      <c r="Q173" s="14">
        <v>150.5</v>
      </c>
      <c r="R173" s="14">
        <v>147.19999999999999</v>
      </c>
      <c r="S173" s="14">
        <v>140.6</v>
      </c>
      <c r="T173" s="14">
        <v>146.19999999999999</v>
      </c>
      <c r="U173" s="14">
        <v>138</v>
      </c>
      <c r="V173" s="14">
        <v>138.1</v>
      </c>
      <c r="W173" s="14">
        <v>138.4</v>
      </c>
      <c r="X173" s="14">
        <v>134.19999999999999</v>
      </c>
      <c r="Y173" s="14">
        <v>121</v>
      </c>
      <c r="Z173" s="14">
        <v>133</v>
      </c>
      <c r="AA173" s="14">
        <v>140.1</v>
      </c>
      <c r="AB173" s="14">
        <v>127.4</v>
      </c>
      <c r="AC173" s="14">
        <v>130.69999999999999</v>
      </c>
      <c r="AD173" s="15">
        <v>138.30000000000001</v>
      </c>
      <c r="AF173" s="13">
        <f>SUM('Working sheet'!$D173:$P173)</f>
        <v>1790.8999999999999</v>
      </c>
      <c r="AG173" s="14">
        <f>SUM('Working sheet'!$Q173)</f>
        <v>150.5</v>
      </c>
      <c r="AH173" s="14">
        <f>SUM('Working sheet'!$R173:$T173)</f>
        <v>433.99999999999994</v>
      </c>
      <c r="AI173" s="14">
        <f>SUM('Working sheet'!$U173)</f>
        <v>138</v>
      </c>
      <c r="AJ173" s="14">
        <f>SUM('Working sheet'!$V173)</f>
        <v>138.1</v>
      </c>
      <c r="AK173" s="15">
        <f>SUM('Working sheet'!$W173:$AC173)</f>
        <v>924.8</v>
      </c>
    </row>
    <row r="174" spans="1:37" hidden="1" x14ac:dyDescent="0.25">
      <c r="A174" s="16" t="s">
        <v>30</v>
      </c>
      <c r="B174" s="17">
        <v>2017</v>
      </c>
      <c r="C174" s="17" t="s">
        <v>40</v>
      </c>
      <c r="D174" s="17">
        <v>133.9</v>
      </c>
      <c r="E174" s="17">
        <v>142.80000000000001</v>
      </c>
      <c r="F174" s="17">
        <v>131.4</v>
      </c>
      <c r="G174" s="17">
        <v>139.1</v>
      </c>
      <c r="H174" s="17">
        <v>114.9</v>
      </c>
      <c r="I174" s="17">
        <v>135.6</v>
      </c>
      <c r="J174" s="17">
        <v>173.2</v>
      </c>
      <c r="K174" s="17">
        <v>124.1</v>
      </c>
      <c r="L174" s="17">
        <v>122.6</v>
      </c>
      <c r="M174" s="17">
        <v>137.80000000000001</v>
      </c>
      <c r="N174" s="17">
        <v>125.1</v>
      </c>
      <c r="O174" s="17">
        <v>145.5</v>
      </c>
      <c r="P174" s="17">
        <v>139.69999999999999</v>
      </c>
      <c r="Q174" s="17">
        <v>154.6</v>
      </c>
      <c r="R174" s="17">
        <v>134</v>
      </c>
      <c r="S174" s="17">
        <v>124.9</v>
      </c>
      <c r="T174" s="17">
        <v>132.6</v>
      </c>
      <c r="U174" s="17">
        <v>137.30000000000001</v>
      </c>
      <c r="V174" s="17">
        <v>122.6</v>
      </c>
      <c r="W174" s="17">
        <v>128.30000000000001</v>
      </c>
      <c r="X174" s="17">
        <v>126.6</v>
      </c>
      <c r="Y174" s="17">
        <v>115</v>
      </c>
      <c r="Z174" s="17">
        <v>124.8</v>
      </c>
      <c r="AA174" s="17">
        <v>136.30000000000001</v>
      </c>
      <c r="AB174" s="17">
        <v>124.6</v>
      </c>
      <c r="AC174" s="17">
        <v>124.5</v>
      </c>
      <c r="AD174" s="18">
        <v>133.5</v>
      </c>
      <c r="AF174" s="16">
        <f>SUM('Working sheet'!$D174:$P174)</f>
        <v>1765.6999999999998</v>
      </c>
      <c r="AG174" s="17">
        <f>SUM('Working sheet'!$Q174)</f>
        <v>154.6</v>
      </c>
      <c r="AH174" s="17">
        <f>SUM('Working sheet'!$R174:$T174)</f>
        <v>391.5</v>
      </c>
      <c r="AI174" s="17">
        <f>SUM('Working sheet'!$U174)</f>
        <v>137.30000000000001</v>
      </c>
      <c r="AJ174" s="17">
        <f>SUM('Working sheet'!$V174)</f>
        <v>122.6</v>
      </c>
      <c r="AK174" s="18">
        <f>SUM('Working sheet'!$W174:$AC174)</f>
        <v>880.1</v>
      </c>
    </row>
    <row r="175" spans="1:37" x14ac:dyDescent="0.25">
      <c r="A175" s="13" t="s">
        <v>31</v>
      </c>
      <c r="B175" s="14">
        <v>2017</v>
      </c>
      <c r="C175" s="14" t="s">
        <v>40</v>
      </c>
      <c r="D175" s="14">
        <v>135.30000000000001</v>
      </c>
      <c r="E175" s="14">
        <v>142.19999999999999</v>
      </c>
      <c r="F175" s="14">
        <v>131.19999999999999</v>
      </c>
      <c r="G175" s="14">
        <v>140.6</v>
      </c>
      <c r="H175" s="14">
        <v>119</v>
      </c>
      <c r="I175" s="14">
        <v>141.5</v>
      </c>
      <c r="J175" s="14">
        <v>162.6</v>
      </c>
      <c r="K175" s="14">
        <v>132.30000000000001</v>
      </c>
      <c r="L175" s="14">
        <v>121.8</v>
      </c>
      <c r="M175" s="14">
        <v>136.30000000000001</v>
      </c>
      <c r="N175" s="14">
        <v>128.69999999999999</v>
      </c>
      <c r="O175" s="14">
        <v>148.1</v>
      </c>
      <c r="P175" s="14">
        <v>140.1</v>
      </c>
      <c r="Q175" s="14">
        <v>151.6</v>
      </c>
      <c r="R175" s="14">
        <v>142</v>
      </c>
      <c r="S175" s="14">
        <v>134.1</v>
      </c>
      <c r="T175" s="14">
        <v>140.80000000000001</v>
      </c>
      <c r="U175" s="14">
        <v>137.30000000000001</v>
      </c>
      <c r="V175" s="14">
        <v>132.19999999999999</v>
      </c>
      <c r="W175" s="14">
        <v>133.6</v>
      </c>
      <c r="X175" s="14">
        <v>131.30000000000001</v>
      </c>
      <c r="Y175" s="14">
        <v>117.8</v>
      </c>
      <c r="Z175" s="14">
        <v>128.4</v>
      </c>
      <c r="AA175" s="14">
        <v>137.9</v>
      </c>
      <c r="AB175" s="14">
        <v>126.2</v>
      </c>
      <c r="AC175" s="14">
        <v>127.7</v>
      </c>
      <c r="AD175" s="15">
        <v>136.1</v>
      </c>
      <c r="AF175" s="13">
        <f>SUM('Working sheet'!$D175:$P175)</f>
        <v>1779.6999999999998</v>
      </c>
      <c r="AG175" s="14">
        <f>SUM('Working sheet'!$Q175)</f>
        <v>151.6</v>
      </c>
      <c r="AH175" s="14">
        <f>SUM('Working sheet'!$R175:$T175)</f>
        <v>416.90000000000003</v>
      </c>
      <c r="AI175" s="14">
        <f>SUM('Working sheet'!$U175)</f>
        <v>137.30000000000001</v>
      </c>
      <c r="AJ175" s="14">
        <f>SUM('Working sheet'!$V175)</f>
        <v>132.19999999999999</v>
      </c>
      <c r="AK175" s="15">
        <f>SUM('Working sheet'!$W175:$AC175)</f>
        <v>902.90000000000009</v>
      </c>
    </row>
    <row r="176" spans="1:37" hidden="1" x14ac:dyDescent="0.25">
      <c r="A176" s="16" t="s">
        <v>28</v>
      </c>
      <c r="B176" s="17">
        <v>2017</v>
      </c>
      <c r="C176" s="17" t="s">
        <v>42</v>
      </c>
      <c r="D176" s="17">
        <v>136.30000000000001</v>
      </c>
      <c r="E176" s="17">
        <v>142.5</v>
      </c>
      <c r="F176" s="17">
        <v>140.5</v>
      </c>
      <c r="G176" s="17">
        <v>141.5</v>
      </c>
      <c r="H176" s="17">
        <v>121.6</v>
      </c>
      <c r="I176" s="17">
        <v>147.30000000000001</v>
      </c>
      <c r="J176" s="17">
        <v>168</v>
      </c>
      <c r="K176" s="17">
        <v>135.80000000000001</v>
      </c>
      <c r="L176" s="17">
        <v>122.5</v>
      </c>
      <c r="M176" s="17">
        <v>136</v>
      </c>
      <c r="N176" s="17">
        <v>131.9</v>
      </c>
      <c r="O176" s="17">
        <v>151.4</v>
      </c>
      <c r="P176" s="17">
        <v>142.4</v>
      </c>
      <c r="Q176" s="17">
        <v>152.1</v>
      </c>
      <c r="R176" s="17">
        <v>148.19999999999999</v>
      </c>
      <c r="S176" s="17">
        <v>141.5</v>
      </c>
      <c r="T176" s="17">
        <v>147.30000000000001</v>
      </c>
      <c r="U176" s="17">
        <v>138.9</v>
      </c>
      <c r="V176" s="17">
        <v>141.1</v>
      </c>
      <c r="W176" s="17">
        <v>139.4</v>
      </c>
      <c r="X176" s="17">
        <v>135.80000000000001</v>
      </c>
      <c r="Y176" s="17">
        <v>121.6</v>
      </c>
      <c r="Z176" s="17">
        <v>133.69999999999999</v>
      </c>
      <c r="AA176" s="17">
        <v>141.5</v>
      </c>
      <c r="AB176" s="17">
        <v>128.1</v>
      </c>
      <c r="AC176" s="17">
        <v>131.69999999999999</v>
      </c>
      <c r="AD176" s="18">
        <v>140</v>
      </c>
      <c r="AF176" s="16">
        <f>SUM('Working sheet'!$D176:$P176)</f>
        <v>1817.7000000000003</v>
      </c>
      <c r="AG176" s="17">
        <f>SUM('Working sheet'!$Q176)</f>
        <v>152.1</v>
      </c>
      <c r="AH176" s="17">
        <f>SUM('Working sheet'!$R176:$T176)</f>
        <v>437</v>
      </c>
      <c r="AI176" s="17">
        <f>SUM('Working sheet'!$U176)</f>
        <v>138.9</v>
      </c>
      <c r="AJ176" s="17">
        <f>SUM('Working sheet'!$V176)</f>
        <v>141.1</v>
      </c>
      <c r="AK176" s="18">
        <f>SUM('Working sheet'!$W176:$AC176)</f>
        <v>931.8</v>
      </c>
    </row>
    <row r="177" spans="1:37" hidden="1" x14ac:dyDescent="0.25">
      <c r="A177" s="13" t="s">
        <v>30</v>
      </c>
      <c r="B177" s="14">
        <v>2017</v>
      </c>
      <c r="C177" s="14" t="s">
        <v>42</v>
      </c>
      <c r="D177" s="14">
        <v>134.30000000000001</v>
      </c>
      <c r="E177" s="14">
        <v>142.1</v>
      </c>
      <c r="F177" s="14">
        <v>146.69999999999999</v>
      </c>
      <c r="G177" s="14">
        <v>139.5</v>
      </c>
      <c r="H177" s="14">
        <v>115.2</v>
      </c>
      <c r="I177" s="14">
        <v>136.4</v>
      </c>
      <c r="J177" s="14">
        <v>185.2</v>
      </c>
      <c r="K177" s="14">
        <v>122.2</v>
      </c>
      <c r="L177" s="14">
        <v>123.9</v>
      </c>
      <c r="M177" s="14">
        <v>138.30000000000001</v>
      </c>
      <c r="N177" s="14">
        <v>125.4</v>
      </c>
      <c r="O177" s="14">
        <v>146</v>
      </c>
      <c r="P177" s="14">
        <v>141.5</v>
      </c>
      <c r="Q177" s="14">
        <v>156.19999999999999</v>
      </c>
      <c r="R177" s="14">
        <v>135</v>
      </c>
      <c r="S177" s="14">
        <v>125.4</v>
      </c>
      <c r="T177" s="14">
        <v>133.5</v>
      </c>
      <c r="U177" s="14">
        <v>138.6</v>
      </c>
      <c r="V177" s="14">
        <v>125.7</v>
      </c>
      <c r="W177" s="14">
        <v>128.80000000000001</v>
      </c>
      <c r="X177" s="14">
        <v>127.4</v>
      </c>
      <c r="Y177" s="14">
        <v>115.3</v>
      </c>
      <c r="Z177" s="14">
        <v>125.1</v>
      </c>
      <c r="AA177" s="14">
        <v>136.6</v>
      </c>
      <c r="AB177" s="14">
        <v>124.9</v>
      </c>
      <c r="AC177" s="14">
        <v>124.9</v>
      </c>
      <c r="AD177" s="15">
        <v>134.80000000000001</v>
      </c>
      <c r="AF177" s="13">
        <f>SUM('Working sheet'!$D177:$P177)</f>
        <v>1796.7</v>
      </c>
      <c r="AG177" s="14">
        <f>SUM('Working sheet'!$Q177)</f>
        <v>156.19999999999999</v>
      </c>
      <c r="AH177" s="14">
        <f>SUM('Working sheet'!$R177:$T177)</f>
        <v>393.9</v>
      </c>
      <c r="AI177" s="14">
        <f>SUM('Working sheet'!$U177)</f>
        <v>138.6</v>
      </c>
      <c r="AJ177" s="14">
        <f>SUM('Working sheet'!$V177)</f>
        <v>125.7</v>
      </c>
      <c r="AK177" s="15">
        <f>SUM('Working sheet'!$W177:$AC177)</f>
        <v>883</v>
      </c>
    </row>
    <row r="178" spans="1:37" x14ac:dyDescent="0.25">
      <c r="A178" s="16" t="s">
        <v>31</v>
      </c>
      <c r="B178" s="17">
        <v>2017</v>
      </c>
      <c r="C178" s="17" t="s">
        <v>42</v>
      </c>
      <c r="D178" s="17">
        <v>135.69999999999999</v>
      </c>
      <c r="E178" s="17">
        <v>142.4</v>
      </c>
      <c r="F178" s="17">
        <v>142.9</v>
      </c>
      <c r="G178" s="17">
        <v>140.80000000000001</v>
      </c>
      <c r="H178" s="17">
        <v>119.2</v>
      </c>
      <c r="I178" s="17">
        <v>142.19999999999999</v>
      </c>
      <c r="J178" s="17">
        <v>173.8</v>
      </c>
      <c r="K178" s="17">
        <v>131.19999999999999</v>
      </c>
      <c r="L178" s="17">
        <v>123</v>
      </c>
      <c r="M178" s="17">
        <v>136.80000000000001</v>
      </c>
      <c r="N178" s="17">
        <v>129.19999999999999</v>
      </c>
      <c r="O178" s="17">
        <v>148.9</v>
      </c>
      <c r="P178" s="17">
        <v>142.1</v>
      </c>
      <c r="Q178" s="17">
        <v>153.19999999999999</v>
      </c>
      <c r="R178" s="17">
        <v>143</v>
      </c>
      <c r="S178" s="17">
        <v>134.80000000000001</v>
      </c>
      <c r="T178" s="17">
        <v>141.80000000000001</v>
      </c>
      <c r="U178" s="17">
        <v>138.6</v>
      </c>
      <c r="V178" s="17">
        <v>135.30000000000001</v>
      </c>
      <c r="W178" s="17">
        <v>134.4</v>
      </c>
      <c r="X178" s="17">
        <v>132.6</v>
      </c>
      <c r="Y178" s="17">
        <v>118.3</v>
      </c>
      <c r="Z178" s="17">
        <v>128.9</v>
      </c>
      <c r="AA178" s="17">
        <v>138.6</v>
      </c>
      <c r="AB178" s="17">
        <v>126.8</v>
      </c>
      <c r="AC178" s="17">
        <v>128.4</v>
      </c>
      <c r="AD178" s="18">
        <v>137.6</v>
      </c>
      <c r="AF178" s="16">
        <f>SUM('Working sheet'!$D178:$P178)</f>
        <v>1808.2</v>
      </c>
      <c r="AG178" s="17">
        <f>SUM('Working sheet'!$Q178)</f>
        <v>153.19999999999999</v>
      </c>
      <c r="AH178" s="17">
        <f>SUM('Working sheet'!$R178:$T178)</f>
        <v>419.6</v>
      </c>
      <c r="AI178" s="17">
        <f>SUM('Working sheet'!$U178)</f>
        <v>138.6</v>
      </c>
      <c r="AJ178" s="17">
        <f>SUM('Working sheet'!$V178)</f>
        <v>135.30000000000001</v>
      </c>
      <c r="AK178" s="18">
        <f>SUM('Working sheet'!$W178:$AC178)</f>
        <v>908</v>
      </c>
    </row>
    <row r="179" spans="1:37" hidden="1" x14ac:dyDescent="0.25">
      <c r="A179" s="13" t="s">
        <v>28</v>
      </c>
      <c r="B179" s="14">
        <v>2017</v>
      </c>
      <c r="C179" s="14" t="s">
        <v>43</v>
      </c>
      <c r="D179" s="14">
        <v>136.4</v>
      </c>
      <c r="E179" s="14">
        <v>143.69999999999999</v>
      </c>
      <c r="F179" s="14">
        <v>144.80000000000001</v>
      </c>
      <c r="G179" s="14">
        <v>141.9</v>
      </c>
      <c r="H179" s="14">
        <v>123.1</v>
      </c>
      <c r="I179" s="14">
        <v>147.19999999999999</v>
      </c>
      <c r="J179" s="14">
        <v>161</v>
      </c>
      <c r="K179" s="14">
        <v>133.80000000000001</v>
      </c>
      <c r="L179" s="14">
        <v>121.9</v>
      </c>
      <c r="M179" s="14">
        <v>135.80000000000001</v>
      </c>
      <c r="N179" s="14">
        <v>131.1</v>
      </c>
      <c r="O179" s="14">
        <v>151.4</v>
      </c>
      <c r="P179" s="14">
        <v>141.5</v>
      </c>
      <c r="Q179" s="14">
        <v>153.19999999999999</v>
      </c>
      <c r="R179" s="14">
        <v>148</v>
      </c>
      <c r="S179" s="14">
        <v>141.9</v>
      </c>
      <c r="T179" s="14">
        <v>147.19999999999999</v>
      </c>
      <c r="U179" s="14">
        <v>139.80000000000001</v>
      </c>
      <c r="V179" s="14">
        <v>142.6</v>
      </c>
      <c r="W179" s="14">
        <v>139.5</v>
      </c>
      <c r="X179" s="14">
        <v>136.1</v>
      </c>
      <c r="Y179" s="14">
        <v>122</v>
      </c>
      <c r="Z179" s="14">
        <v>133.4</v>
      </c>
      <c r="AA179" s="14">
        <v>141.1</v>
      </c>
      <c r="AB179" s="14">
        <v>127.8</v>
      </c>
      <c r="AC179" s="14">
        <v>131.9</v>
      </c>
      <c r="AD179" s="15">
        <v>139.80000000000001</v>
      </c>
      <c r="AF179" s="13">
        <f>SUM('Working sheet'!$D179:$P179)</f>
        <v>1813.6000000000001</v>
      </c>
      <c r="AG179" s="14">
        <f>SUM('Working sheet'!$Q179)</f>
        <v>153.19999999999999</v>
      </c>
      <c r="AH179" s="14">
        <f>SUM('Working sheet'!$R179:$T179)</f>
        <v>437.09999999999997</v>
      </c>
      <c r="AI179" s="14">
        <f>SUM('Working sheet'!$U179)</f>
        <v>139.80000000000001</v>
      </c>
      <c r="AJ179" s="14">
        <f>SUM('Working sheet'!$V179)</f>
        <v>142.6</v>
      </c>
      <c r="AK179" s="15">
        <f>SUM('Working sheet'!$W179:$AC179)</f>
        <v>931.8</v>
      </c>
    </row>
    <row r="180" spans="1:37" hidden="1" x14ac:dyDescent="0.25">
      <c r="A180" s="16" t="s">
        <v>30</v>
      </c>
      <c r="B180" s="17">
        <v>2017</v>
      </c>
      <c r="C180" s="17" t="s">
        <v>43</v>
      </c>
      <c r="D180" s="17">
        <v>134.4</v>
      </c>
      <c r="E180" s="17">
        <v>142.6</v>
      </c>
      <c r="F180" s="17">
        <v>145.9</v>
      </c>
      <c r="G180" s="17">
        <v>139.5</v>
      </c>
      <c r="H180" s="17">
        <v>115.9</v>
      </c>
      <c r="I180" s="17">
        <v>135</v>
      </c>
      <c r="J180" s="17">
        <v>163.19999999999999</v>
      </c>
      <c r="K180" s="17">
        <v>119.8</v>
      </c>
      <c r="L180" s="17">
        <v>120.7</v>
      </c>
      <c r="M180" s="17">
        <v>139.69999999999999</v>
      </c>
      <c r="N180" s="17">
        <v>125.7</v>
      </c>
      <c r="O180" s="17">
        <v>146.30000000000001</v>
      </c>
      <c r="P180" s="17">
        <v>138.80000000000001</v>
      </c>
      <c r="Q180" s="17">
        <v>157</v>
      </c>
      <c r="R180" s="17">
        <v>135.6</v>
      </c>
      <c r="S180" s="17">
        <v>125.6</v>
      </c>
      <c r="T180" s="17">
        <v>134</v>
      </c>
      <c r="U180" s="17">
        <v>139.1</v>
      </c>
      <c r="V180" s="17">
        <v>126.8</v>
      </c>
      <c r="W180" s="17">
        <v>129.30000000000001</v>
      </c>
      <c r="X180" s="17">
        <v>128.19999999999999</v>
      </c>
      <c r="Y180" s="17">
        <v>115.3</v>
      </c>
      <c r="Z180" s="17">
        <v>125.6</v>
      </c>
      <c r="AA180" s="17">
        <v>136.69999999999999</v>
      </c>
      <c r="AB180" s="17">
        <v>124.6</v>
      </c>
      <c r="AC180" s="17">
        <v>125.1</v>
      </c>
      <c r="AD180" s="18">
        <v>134.1</v>
      </c>
      <c r="AF180" s="16">
        <f>SUM('Working sheet'!$D180:$P180)</f>
        <v>1767.5</v>
      </c>
      <c r="AG180" s="17">
        <f>SUM('Working sheet'!$Q180)</f>
        <v>157</v>
      </c>
      <c r="AH180" s="17">
        <f>SUM('Working sheet'!$R180:$T180)</f>
        <v>395.2</v>
      </c>
      <c r="AI180" s="17">
        <f>SUM('Working sheet'!$U180)</f>
        <v>139.1</v>
      </c>
      <c r="AJ180" s="17">
        <f>SUM('Working sheet'!$V180)</f>
        <v>126.8</v>
      </c>
      <c r="AK180" s="18">
        <f>SUM('Working sheet'!$W180:$AC180)</f>
        <v>884.8</v>
      </c>
    </row>
    <row r="181" spans="1:37" x14ac:dyDescent="0.25">
      <c r="A181" s="13" t="s">
        <v>31</v>
      </c>
      <c r="B181" s="14">
        <v>2017</v>
      </c>
      <c r="C181" s="14" t="s">
        <v>43</v>
      </c>
      <c r="D181" s="14">
        <v>135.80000000000001</v>
      </c>
      <c r="E181" s="14">
        <v>143.30000000000001</v>
      </c>
      <c r="F181" s="14">
        <v>145.19999999999999</v>
      </c>
      <c r="G181" s="14">
        <v>141</v>
      </c>
      <c r="H181" s="14">
        <v>120.5</v>
      </c>
      <c r="I181" s="14">
        <v>141.5</v>
      </c>
      <c r="J181" s="14">
        <v>161.69999999999999</v>
      </c>
      <c r="K181" s="14">
        <v>129.1</v>
      </c>
      <c r="L181" s="14">
        <v>121.5</v>
      </c>
      <c r="M181" s="14">
        <v>137.1</v>
      </c>
      <c r="N181" s="14">
        <v>128.80000000000001</v>
      </c>
      <c r="O181" s="14">
        <v>149</v>
      </c>
      <c r="P181" s="14">
        <v>140.5</v>
      </c>
      <c r="Q181" s="14">
        <v>154.19999999999999</v>
      </c>
      <c r="R181" s="14">
        <v>143.1</v>
      </c>
      <c r="S181" s="14">
        <v>135.1</v>
      </c>
      <c r="T181" s="14">
        <v>142</v>
      </c>
      <c r="U181" s="14">
        <v>139.1</v>
      </c>
      <c r="V181" s="14">
        <v>136.6</v>
      </c>
      <c r="W181" s="14">
        <v>134.69999999999999</v>
      </c>
      <c r="X181" s="14">
        <v>133.1</v>
      </c>
      <c r="Y181" s="14">
        <v>118.5</v>
      </c>
      <c r="Z181" s="14">
        <v>129</v>
      </c>
      <c r="AA181" s="14">
        <v>138.5</v>
      </c>
      <c r="AB181" s="14">
        <v>126.5</v>
      </c>
      <c r="AC181" s="14">
        <v>128.6</v>
      </c>
      <c r="AD181" s="15">
        <v>137.19999999999999</v>
      </c>
      <c r="AF181" s="13">
        <f>SUM('Working sheet'!$D181:$P181)</f>
        <v>1794.9999999999998</v>
      </c>
      <c r="AG181" s="14">
        <f>SUM('Working sheet'!$Q181)</f>
        <v>154.19999999999999</v>
      </c>
      <c r="AH181" s="14">
        <f>SUM('Working sheet'!$R181:$T181)</f>
        <v>420.2</v>
      </c>
      <c r="AI181" s="14">
        <f>SUM('Working sheet'!$U181)</f>
        <v>139.1</v>
      </c>
      <c r="AJ181" s="14">
        <f>SUM('Working sheet'!$V181)</f>
        <v>136.6</v>
      </c>
      <c r="AK181" s="15">
        <f>SUM('Working sheet'!$W181:$AC181)</f>
        <v>908.9</v>
      </c>
    </row>
    <row r="182" spans="1:37" hidden="1" x14ac:dyDescent="0.25">
      <c r="A182" s="16" t="s">
        <v>28</v>
      </c>
      <c r="B182" s="17">
        <v>2018</v>
      </c>
      <c r="C182" s="17" t="s">
        <v>29</v>
      </c>
      <c r="D182" s="17">
        <v>136.6</v>
      </c>
      <c r="E182" s="17">
        <v>144.4</v>
      </c>
      <c r="F182" s="17">
        <v>143.80000000000001</v>
      </c>
      <c r="G182" s="17">
        <v>142</v>
      </c>
      <c r="H182" s="17">
        <v>123.2</v>
      </c>
      <c r="I182" s="17">
        <v>147.9</v>
      </c>
      <c r="J182" s="17">
        <v>152.1</v>
      </c>
      <c r="K182" s="17">
        <v>131.80000000000001</v>
      </c>
      <c r="L182" s="17">
        <v>119.5</v>
      </c>
      <c r="M182" s="17">
        <v>136</v>
      </c>
      <c r="N182" s="17">
        <v>131.19999999999999</v>
      </c>
      <c r="O182" s="17">
        <v>151.80000000000001</v>
      </c>
      <c r="P182" s="17">
        <v>140.4</v>
      </c>
      <c r="Q182" s="17">
        <v>153.6</v>
      </c>
      <c r="R182" s="17">
        <v>148.30000000000001</v>
      </c>
      <c r="S182" s="17">
        <v>142.30000000000001</v>
      </c>
      <c r="T182" s="17">
        <v>147.5</v>
      </c>
      <c r="U182" s="17">
        <v>140.9</v>
      </c>
      <c r="V182" s="17">
        <v>142.30000000000001</v>
      </c>
      <c r="W182" s="17">
        <v>139.80000000000001</v>
      </c>
      <c r="X182" s="17">
        <v>136</v>
      </c>
      <c r="Y182" s="17">
        <v>122.7</v>
      </c>
      <c r="Z182" s="17">
        <v>134.30000000000001</v>
      </c>
      <c r="AA182" s="17">
        <v>141.6</v>
      </c>
      <c r="AB182" s="17">
        <v>128.6</v>
      </c>
      <c r="AC182" s="17">
        <v>132.30000000000001</v>
      </c>
      <c r="AD182" s="18">
        <v>139.30000000000001</v>
      </c>
      <c r="AF182" s="16">
        <f>SUM('Working sheet'!$D182:$P182)</f>
        <v>1800.7</v>
      </c>
      <c r="AG182" s="17">
        <f>SUM('Working sheet'!$Q182)</f>
        <v>153.6</v>
      </c>
      <c r="AH182" s="17">
        <f>SUM('Working sheet'!$R182:$T182)</f>
        <v>438.1</v>
      </c>
      <c r="AI182" s="17">
        <f>SUM('Working sheet'!$U182)</f>
        <v>140.9</v>
      </c>
      <c r="AJ182" s="17">
        <f>SUM('Working sheet'!$V182)</f>
        <v>142.30000000000001</v>
      </c>
      <c r="AK182" s="18">
        <f>SUM('Working sheet'!$W182:$AC182)</f>
        <v>935.3</v>
      </c>
    </row>
    <row r="183" spans="1:37" hidden="1" x14ac:dyDescent="0.25">
      <c r="A183" s="13" t="s">
        <v>30</v>
      </c>
      <c r="B183" s="14">
        <v>2018</v>
      </c>
      <c r="C183" s="14" t="s">
        <v>29</v>
      </c>
      <c r="D183" s="14">
        <v>134.6</v>
      </c>
      <c r="E183" s="14">
        <v>143.69999999999999</v>
      </c>
      <c r="F183" s="14">
        <v>143.6</v>
      </c>
      <c r="G183" s="14">
        <v>139.6</v>
      </c>
      <c r="H183" s="14">
        <v>116.4</v>
      </c>
      <c r="I183" s="14">
        <v>133.80000000000001</v>
      </c>
      <c r="J183" s="14">
        <v>150.5</v>
      </c>
      <c r="K183" s="14">
        <v>118.4</v>
      </c>
      <c r="L183" s="14">
        <v>117.3</v>
      </c>
      <c r="M183" s="14">
        <v>140.5</v>
      </c>
      <c r="N183" s="14">
        <v>125.9</v>
      </c>
      <c r="O183" s="14">
        <v>146.80000000000001</v>
      </c>
      <c r="P183" s="14">
        <v>137.19999999999999</v>
      </c>
      <c r="Q183" s="14">
        <v>157.69999999999999</v>
      </c>
      <c r="R183" s="14">
        <v>136</v>
      </c>
      <c r="S183" s="14">
        <v>125.9</v>
      </c>
      <c r="T183" s="14">
        <v>134.4</v>
      </c>
      <c r="U183" s="14">
        <v>140.4</v>
      </c>
      <c r="V183" s="14">
        <v>127.3</v>
      </c>
      <c r="W183" s="14">
        <v>129.5</v>
      </c>
      <c r="X183" s="14">
        <v>129</v>
      </c>
      <c r="Y183" s="14">
        <v>116.3</v>
      </c>
      <c r="Z183" s="14">
        <v>126.2</v>
      </c>
      <c r="AA183" s="14">
        <v>137.1</v>
      </c>
      <c r="AB183" s="14">
        <v>125.5</v>
      </c>
      <c r="AC183" s="14">
        <v>125.8</v>
      </c>
      <c r="AD183" s="15">
        <v>134.1</v>
      </c>
      <c r="AF183" s="13">
        <f>SUM('Working sheet'!$D183:$P183)</f>
        <v>1748.3000000000002</v>
      </c>
      <c r="AG183" s="14">
        <f>SUM('Working sheet'!$Q183)</f>
        <v>157.69999999999999</v>
      </c>
      <c r="AH183" s="14">
        <f>SUM('Working sheet'!$R183:$T183)</f>
        <v>396.29999999999995</v>
      </c>
      <c r="AI183" s="14">
        <f>SUM('Working sheet'!$U183)</f>
        <v>140.4</v>
      </c>
      <c r="AJ183" s="14">
        <f>SUM('Working sheet'!$V183)</f>
        <v>127.3</v>
      </c>
      <c r="AK183" s="15">
        <f>SUM('Working sheet'!$W183:$AC183)</f>
        <v>889.4</v>
      </c>
    </row>
    <row r="184" spans="1:37" x14ac:dyDescent="0.25">
      <c r="A184" s="16" t="s">
        <v>31</v>
      </c>
      <c r="B184" s="17">
        <v>2018</v>
      </c>
      <c r="C184" s="17" t="s">
        <v>29</v>
      </c>
      <c r="D184" s="17">
        <v>136</v>
      </c>
      <c r="E184" s="17">
        <v>144.19999999999999</v>
      </c>
      <c r="F184" s="17">
        <v>143.69999999999999</v>
      </c>
      <c r="G184" s="17">
        <v>141.1</v>
      </c>
      <c r="H184" s="17">
        <v>120.7</v>
      </c>
      <c r="I184" s="17">
        <v>141.30000000000001</v>
      </c>
      <c r="J184" s="17">
        <v>151.6</v>
      </c>
      <c r="K184" s="17">
        <v>127.3</v>
      </c>
      <c r="L184" s="17">
        <v>118.8</v>
      </c>
      <c r="M184" s="17">
        <v>137.5</v>
      </c>
      <c r="N184" s="17">
        <v>129</v>
      </c>
      <c r="O184" s="17">
        <v>149.5</v>
      </c>
      <c r="P184" s="17">
        <v>139.19999999999999</v>
      </c>
      <c r="Q184" s="17">
        <v>154.69999999999999</v>
      </c>
      <c r="R184" s="17">
        <v>143.5</v>
      </c>
      <c r="S184" s="17">
        <v>135.5</v>
      </c>
      <c r="T184" s="17">
        <v>142.30000000000001</v>
      </c>
      <c r="U184" s="17">
        <v>140.4</v>
      </c>
      <c r="V184" s="17">
        <v>136.6</v>
      </c>
      <c r="W184" s="17">
        <v>134.9</v>
      </c>
      <c r="X184" s="17">
        <v>133.30000000000001</v>
      </c>
      <c r="Y184" s="17">
        <v>119.3</v>
      </c>
      <c r="Z184" s="17">
        <v>129.69999999999999</v>
      </c>
      <c r="AA184" s="17">
        <v>139</v>
      </c>
      <c r="AB184" s="17">
        <v>127.3</v>
      </c>
      <c r="AC184" s="17">
        <v>129.1</v>
      </c>
      <c r="AD184" s="18">
        <v>136.9</v>
      </c>
      <c r="AF184" s="16">
        <f>SUM('Working sheet'!$D184:$P184)</f>
        <v>1779.9</v>
      </c>
      <c r="AG184" s="17">
        <f>SUM('Working sheet'!$Q184)</f>
        <v>154.69999999999999</v>
      </c>
      <c r="AH184" s="17">
        <f>SUM('Working sheet'!$R184:$T184)</f>
        <v>421.3</v>
      </c>
      <c r="AI184" s="17">
        <f>SUM('Working sheet'!$U184)</f>
        <v>140.4</v>
      </c>
      <c r="AJ184" s="17">
        <f>SUM('Working sheet'!$V184)</f>
        <v>136.6</v>
      </c>
      <c r="AK184" s="18">
        <f>SUM('Working sheet'!$W184:$AC184)</f>
        <v>912.6</v>
      </c>
    </row>
    <row r="185" spans="1:37" hidden="1" x14ac:dyDescent="0.25">
      <c r="A185" s="13" t="s">
        <v>28</v>
      </c>
      <c r="B185" s="14">
        <v>2018</v>
      </c>
      <c r="C185" s="14" t="s">
        <v>32</v>
      </c>
      <c r="D185" s="14">
        <v>136.4</v>
      </c>
      <c r="E185" s="14">
        <v>143.69999999999999</v>
      </c>
      <c r="F185" s="14">
        <v>140.6</v>
      </c>
      <c r="G185" s="14">
        <v>141.5</v>
      </c>
      <c r="H185" s="14">
        <v>122.9</v>
      </c>
      <c r="I185" s="14">
        <v>149.4</v>
      </c>
      <c r="J185" s="14">
        <v>142.4</v>
      </c>
      <c r="K185" s="14">
        <v>130.19999999999999</v>
      </c>
      <c r="L185" s="14">
        <v>117.9</v>
      </c>
      <c r="M185" s="14">
        <v>135.6</v>
      </c>
      <c r="N185" s="14">
        <v>130.5</v>
      </c>
      <c r="O185" s="14">
        <v>151.69999999999999</v>
      </c>
      <c r="P185" s="14">
        <v>138.69999999999999</v>
      </c>
      <c r="Q185" s="14">
        <v>153.30000000000001</v>
      </c>
      <c r="R185" s="14">
        <v>148.69999999999999</v>
      </c>
      <c r="S185" s="14">
        <v>142.4</v>
      </c>
      <c r="T185" s="14">
        <v>147.80000000000001</v>
      </c>
      <c r="U185" s="14">
        <v>141.69999999999999</v>
      </c>
      <c r="V185" s="14">
        <v>142.4</v>
      </c>
      <c r="W185" s="14">
        <v>139.9</v>
      </c>
      <c r="X185" s="14">
        <v>136.19999999999999</v>
      </c>
      <c r="Y185" s="14">
        <v>123.3</v>
      </c>
      <c r="Z185" s="14">
        <v>134.30000000000001</v>
      </c>
      <c r="AA185" s="14">
        <v>141.5</v>
      </c>
      <c r="AB185" s="14">
        <v>128.80000000000001</v>
      </c>
      <c r="AC185" s="14">
        <v>132.5</v>
      </c>
      <c r="AD185" s="15">
        <v>138.5</v>
      </c>
      <c r="AF185" s="13">
        <f>SUM('Working sheet'!$D185:$P185)</f>
        <v>1781.5</v>
      </c>
      <c r="AG185" s="14">
        <f>SUM('Working sheet'!$Q185)</f>
        <v>153.30000000000001</v>
      </c>
      <c r="AH185" s="14">
        <f>SUM('Working sheet'!$R185:$T185)</f>
        <v>438.90000000000003</v>
      </c>
      <c r="AI185" s="14">
        <f>SUM('Working sheet'!$U185)</f>
        <v>141.69999999999999</v>
      </c>
      <c r="AJ185" s="14">
        <f>SUM('Working sheet'!$V185)</f>
        <v>142.4</v>
      </c>
      <c r="AK185" s="15">
        <f>SUM('Working sheet'!$W185:$AC185)</f>
        <v>936.5</v>
      </c>
    </row>
    <row r="186" spans="1:37" hidden="1" x14ac:dyDescent="0.25">
      <c r="A186" s="16" t="s">
        <v>30</v>
      </c>
      <c r="B186" s="17">
        <v>2018</v>
      </c>
      <c r="C186" s="17" t="s">
        <v>32</v>
      </c>
      <c r="D186" s="17">
        <v>134.80000000000001</v>
      </c>
      <c r="E186" s="17">
        <v>143</v>
      </c>
      <c r="F186" s="17">
        <v>139.9</v>
      </c>
      <c r="G186" s="17">
        <v>139.9</v>
      </c>
      <c r="H186" s="17">
        <v>116.2</v>
      </c>
      <c r="I186" s="17">
        <v>135.5</v>
      </c>
      <c r="J186" s="17">
        <v>136.9</v>
      </c>
      <c r="K186" s="17">
        <v>117</v>
      </c>
      <c r="L186" s="17">
        <v>115.4</v>
      </c>
      <c r="M186" s="17">
        <v>140.69999999999999</v>
      </c>
      <c r="N186" s="17">
        <v>125.9</v>
      </c>
      <c r="O186" s="17">
        <v>147.1</v>
      </c>
      <c r="P186" s="17">
        <v>135.6</v>
      </c>
      <c r="Q186" s="17">
        <v>159.30000000000001</v>
      </c>
      <c r="R186" s="17">
        <v>136.30000000000001</v>
      </c>
      <c r="S186" s="17">
        <v>126.1</v>
      </c>
      <c r="T186" s="17">
        <v>134.69999999999999</v>
      </c>
      <c r="U186" s="17">
        <v>141.30000000000001</v>
      </c>
      <c r="V186" s="17">
        <v>127.3</v>
      </c>
      <c r="W186" s="17">
        <v>129.9</v>
      </c>
      <c r="X186" s="17">
        <v>129.80000000000001</v>
      </c>
      <c r="Y186" s="17">
        <v>117.4</v>
      </c>
      <c r="Z186" s="17">
        <v>126.5</v>
      </c>
      <c r="AA186" s="17">
        <v>137.19999999999999</v>
      </c>
      <c r="AB186" s="17">
        <v>126.2</v>
      </c>
      <c r="AC186" s="17">
        <v>126.5</v>
      </c>
      <c r="AD186" s="18">
        <v>134</v>
      </c>
      <c r="AF186" s="16">
        <f>SUM('Working sheet'!$D186:$P186)</f>
        <v>1727.9</v>
      </c>
      <c r="AG186" s="17">
        <f>SUM('Working sheet'!$Q186)</f>
        <v>159.30000000000001</v>
      </c>
      <c r="AH186" s="17">
        <f>SUM('Working sheet'!$R186:$T186)</f>
        <v>397.09999999999997</v>
      </c>
      <c r="AI186" s="17">
        <f>SUM('Working sheet'!$U186)</f>
        <v>141.30000000000001</v>
      </c>
      <c r="AJ186" s="17">
        <f>SUM('Working sheet'!$V186)</f>
        <v>127.3</v>
      </c>
      <c r="AK186" s="18">
        <f>SUM('Working sheet'!$W186:$AC186)</f>
        <v>893.5</v>
      </c>
    </row>
    <row r="187" spans="1:37" x14ac:dyDescent="0.25">
      <c r="A187" s="13" t="s">
        <v>31</v>
      </c>
      <c r="B187" s="14">
        <v>2018</v>
      </c>
      <c r="C187" s="14" t="s">
        <v>32</v>
      </c>
      <c r="D187" s="14">
        <v>135.9</v>
      </c>
      <c r="E187" s="14">
        <v>143.5</v>
      </c>
      <c r="F187" s="14">
        <v>140.30000000000001</v>
      </c>
      <c r="G187" s="14">
        <v>140.9</v>
      </c>
      <c r="H187" s="14">
        <v>120.4</v>
      </c>
      <c r="I187" s="14">
        <v>142.9</v>
      </c>
      <c r="J187" s="14">
        <v>140.5</v>
      </c>
      <c r="K187" s="14">
        <v>125.8</v>
      </c>
      <c r="L187" s="14">
        <v>117.1</v>
      </c>
      <c r="M187" s="14">
        <v>137.30000000000001</v>
      </c>
      <c r="N187" s="14">
        <v>128.6</v>
      </c>
      <c r="O187" s="14">
        <v>149.6</v>
      </c>
      <c r="P187" s="14">
        <v>137.6</v>
      </c>
      <c r="Q187" s="14">
        <v>154.9</v>
      </c>
      <c r="R187" s="14">
        <v>143.80000000000001</v>
      </c>
      <c r="S187" s="14">
        <v>135.6</v>
      </c>
      <c r="T187" s="14">
        <v>142.6</v>
      </c>
      <c r="U187" s="14">
        <v>141.30000000000001</v>
      </c>
      <c r="V187" s="14">
        <v>136.69999999999999</v>
      </c>
      <c r="W187" s="14">
        <v>135.19999999999999</v>
      </c>
      <c r="X187" s="14">
        <v>133.80000000000001</v>
      </c>
      <c r="Y187" s="14">
        <v>120.2</v>
      </c>
      <c r="Z187" s="14">
        <v>129.9</v>
      </c>
      <c r="AA187" s="14">
        <v>139</v>
      </c>
      <c r="AB187" s="14">
        <v>127.7</v>
      </c>
      <c r="AC187" s="14">
        <v>129.6</v>
      </c>
      <c r="AD187" s="15">
        <v>136.4</v>
      </c>
      <c r="AF187" s="13">
        <f>SUM('Working sheet'!$D187:$P187)</f>
        <v>1760.3999999999996</v>
      </c>
      <c r="AG187" s="14">
        <f>SUM('Working sheet'!$Q187)</f>
        <v>154.9</v>
      </c>
      <c r="AH187" s="14">
        <f>SUM('Working sheet'!$R187:$T187)</f>
        <v>422</v>
      </c>
      <c r="AI187" s="14">
        <f>SUM('Working sheet'!$U187)</f>
        <v>141.30000000000001</v>
      </c>
      <c r="AJ187" s="14">
        <f>SUM('Working sheet'!$V187)</f>
        <v>136.69999999999999</v>
      </c>
      <c r="AK187" s="15">
        <f>SUM('Working sheet'!$W187:$AC187)</f>
        <v>915.40000000000009</v>
      </c>
    </row>
    <row r="188" spans="1:37" hidden="1" x14ac:dyDescent="0.25">
      <c r="A188" s="16" t="s">
        <v>28</v>
      </c>
      <c r="B188" s="17">
        <v>2018</v>
      </c>
      <c r="C188" s="17" t="s">
        <v>33</v>
      </c>
      <c r="D188" s="17">
        <v>136.80000000000001</v>
      </c>
      <c r="E188" s="17">
        <v>143.80000000000001</v>
      </c>
      <c r="F188" s="17">
        <v>140</v>
      </c>
      <c r="G188" s="17">
        <v>142</v>
      </c>
      <c r="H188" s="17">
        <v>123.2</v>
      </c>
      <c r="I188" s="17">
        <v>152.9</v>
      </c>
      <c r="J188" s="17">
        <v>138</v>
      </c>
      <c r="K188" s="17">
        <v>129.30000000000001</v>
      </c>
      <c r="L188" s="17">
        <v>117.1</v>
      </c>
      <c r="M188" s="17">
        <v>136.30000000000001</v>
      </c>
      <c r="N188" s="17">
        <v>131.19999999999999</v>
      </c>
      <c r="O188" s="17">
        <v>152.80000000000001</v>
      </c>
      <c r="P188" s="17">
        <v>138.6</v>
      </c>
      <c r="Q188" s="17">
        <v>155.1</v>
      </c>
      <c r="R188" s="17">
        <v>149.19999999999999</v>
      </c>
      <c r="S188" s="17">
        <v>143</v>
      </c>
      <c r="T188" s="17">
        <v>148.30000000000001</v>
      </c>
      <c r="U188" s="17">
        <v>142.5</v>
      </c>
      <c r="V188" s="17">
        <v>142.6</v>
      </c>
      <c r="W188" s="17">
        <v>139.9</v>
      </c>
      <c r="X188" s="17">
        <v>136.69999999999999</v>
      </c>
      <c r="Y188" s="17">
        <v>124.6</v>
      </c>
      <c r="Z188" s="17">
        <v>135.1</v>
      </c>
      <c r="AA188" s="17">
        <v>142.69999999999999</v>
      </c>
      <c r="AB188" s="17">
        <v>129.30000000000001</v>
      </c>
      <c r="AC188" s="17">
        <v>133.30000000000001</v>
      </c>
      <c r="AD188" s="18">
        <v>138.69999999999999</v>
      </c>
      <c r="AF188" s="16">
        <f>SUM('Working sheet'!$D188:$P188)</f>
        <v>1781.9999999999998</v>
      </c>
      <c r="AG188" s="17">
        <f>SUM('Working sheet'!$Q188)</f>
        <v>155.1</v>
      </c>
      <c r="AH188" s="17">
        <f>SUM('Working sheet'!$R188:$T188)</f>
        <v>440.5</v>
      </c>
      <c r="AI188" s="17">
        <f>SUM('Working sheet'!$U188)</f>
        <v>142.5</v>
      </c>
      <c r="AJ188" s="17">
        <f>SUM('Working sheet'!$V188)</f>
        <v>142.6</v>
      </c>
      <c r="AK188" s="18">
        <f>SUM('Working sheet'!$W188:$AC188)</f>
        <v>941.59999999999991</v>
      </c>
    </row>
    <row r="189" spans="1:37" hidden="1" x14ac:dyDescent="0.25">
      <c r="A189" s="13" t="s">
        <v>30</v>
      </c>
      <c r="B189" s="14">
        <v>2018</v>
      </c>
      <c r="C189" s="14" t="s">
        <v>33</v>
      </c>
      <c r="D189" s="14">
        <v>135</v>
      </c>
      <c r="E189" s="14">
        <v>143.1</v>
      </c>
      <c r="F189" s="14">
        <v>135.5</v>
      </c>
      <c r="G189" s="14">
        <v>139.9</v>
      </c>
      <c r="H189" s="14">
        <v>116.5</v>
      </c>
      <c r="I189" s="14">
        <v>138.5</v>
      </c>
      <c r="J189" s="14">
        <v>128</v>
      </c>
      <c r="K189" s="14">
        <v>115.5</v>
      </c>
      <c r="L189" s="14">
        <v>114.2</v>
      </c>
      <c r="M189" s="14">
        <v>140.69999999999999</v>
      </c>
      <c r="N189" s="14">
        <v>126.2</v>
      </c>
      <c r="O189" s="14">
        <v>147.6</v>
      </c>
      <c r="P189" s="14">
        <v>134.80000000000001</v>
      </c>
      <c r="Q189" s="14">
        <v>159.69999999999999</v>
      </c>
      <c r="R189" s="14">
        <v>136.69999999999999</v>
      </c>
      <c r="S189" s="14">
        <v>126.7</v>
      </c>
      <c r="T189" s="14">
        <v>135.19999999999999</v>
      </c>
      <c r="U189" s="14">
        <v>142</v>
      </c>
      <c r="V189" s="14">
        <v>126.4</v>
      </c>
      <c r="W189" s="14">
        <v>130.80000000000001</v>
      </c>
      <c r="X189" s="14">
        <v>130.5</v>
      </c>
      <c r="Y189" s="14">
        <v>117.8</v>
      </c>
      <c r="Z189" s="14">
        <v>126.8</v>
      </c>
      <c r="AA189" s="14">
        <v>137.80000000000001</v>
      </c>
      <c r="AB189" s="14">
        <v>126.7</v>
      </c>
      <c r="AC189" s="14">
        <v>127.1</v>
      </c>
      <c r="AD189" s="15">
        <v>134</v>
      </c>
      <c r="AF189" s="13">
        <f>SUM('Working sheet'!$D189:$P189)</f>
        <v>1715.5</v>
      </c>
      <c r="AG189" s="14">
        <f>SUM('Working sheet'!$Q189)</f>
        <v>159.69999999999999</v>
      </c>
      <c r="AH189" s="14">
        <f>SUM('Working sheet'!$R189:$T189)</f>
        <v>398.59999999999997</v>
      </c>
      <c r="AI189" s="14">
        <f>SUM('Working sheet'!$U189)</f>
        <v>142</v>
      </c>
      <c r="AJ189" s="14">
        <f>SUM('Working sheet'!$V189)</f>
        <v>126.4</v>
      </c>
      <c r="AK189" s="15">
        <f>SUM('Working sheet'!$W189:$AC189)</f>
        <v>897.50000000000011</v>
      </c>
    </row>
    <row r="190" spans="1:37" x14ac:dyDescent="0.25">
      <c r="A190" s="16" t="s">
        <v>31</v>
      </c>
      <c r="B190" s="17">
        <v>2018</v>
      </c>
      <c r="C190" s="17" t="s">
        <v>33</v>
      </c>
      <c r="D190" s="17">
        <v>136.19999999999999</v>
      </c>
      <c r="E190" s="17">
        <v>143.6</v>
      </c>
      <c r="F190" s="17">
        <v>138.30000000000001</v>
      </c>
      <c r="G190" s="17">
        <v>141.19999999999999</v>
      </c>
      <c r="H190" s="17">
        <v>120.7</v>
      </c>
      <c r="I190" s="17">
        <v>146.19999999999999</v>
      </c>
      <c r="J190" s="17">
        <v>134.6</v>
      </c>
      <c r="K190" s="17">
        <v>124.6</v>
      </c>
      <c r="L190" s="17">
        <v>116.1</v>
      </c>
      <c r="M190" s="17">
        <v>137.80000000000001</v>
      </c>
      <c r="N190" s="17">
        <v>129.1</v>
      </c>
      <c r="O190" s="17">
        <v>150.4</v>
      </c>
      <c r="P190" s="17">
        <v>137.19999999999999</v>
      </c>
      <c r="Q190" s="17">
        <v>156.30000000000001</v>
      </c>
      <c r="R190" s="17">
        <v>144.30000000000001</v>
      </c>
      <c r="S190" s="17">
        <v>136.19999999999999</v>
      </c>
      <c r="T190" s="17">
        <v>143.1</v>
      </c>
      <c r="U190" s="17">
        <v>142</v>
      </c>
      <c r="V190" s="17">
        <v>136.5</v>
      </c>
      <c r="W190" s="17">
        <v>135.6</v>
      </c>
      <c r="X190" s="17">
        <v>134.30000000000001</v>
      </c>
      <c r="Y190" s="17">
        <v>121</v>
      </c>
      <c r="Z190" s="17">
        <v>130.4</v>
      </c>
      <c r="AA190" s="17">
        <v>139.80000000000001</v>
      </c>
      <c r="AB190" s="17">
        <v>128.19999999999999</v>
      </c>
      <c r="AC190" s="17">
        <v>130.30000000000001</v>
      </c>
      <c r="AD190" s="18">
        <v>136.5</v>
      </c>
      <c r="AF190" s="16">
        <f>SUM('Working sheet'!$D190:$P190)</f>
        <v>1756</v>
      </c>
      <c r="AG190" s="17">
        <f>SUM('Working sheet'!$Q190)</f>
        <v>156.30000000000001</v>
      </c>
      <c r="AH190" s="17">
        <f>SUM('Working sheet'!$R190:$T190)</f>
        <v>423.6</v>
      </c>
      <c r="AI190" s="17">
        <f>SUM('Working sheet'!$U190)</f>
        <v>142</v>
      </c>
      <c r="AJ190" s="17">
        <f>SUM('Working sheet'!$V190)</f>
        <v>136.5</v>
      </c>
      <c r="AK190" s="18">
        <f>SUM('Working sheet'!$W190:$AC190)</f>
        <v>919.59999999999991</v>
      </c>
    </row>
    <row r="191" spans="1:37" hidden="1" x14ac:dyDescent="0.25">
      <c r="A191" s="13" t="s">
        <v>28</v>
      </c>
      <c r="B191" s="14">
        <v>2018</v>
      </c>
      <c r="C191" s="14" t="s">
        <v>34</v>
      </c>
      <c r="D191" s="14">
        <v>137.1</v>
      </c>
      <c r="E191" s="14">
        <v>144.5</v>
      </c>
      <c r="F191" s="14">
        <v>135.9</v>
      </c>
      <c r="G191" s="14">
        <v>142.4</v>
      </c>
      <c r="H191" s="14">
        <v>123.5</v>
      </c>
      <c r="I191" s="14">
        <v>156.4</v>
      </c>
      <c r="J191" s="14">
        <v>135.1</v>
      </c>
      <c r="K191" s="14">
        <v>128.4</v>
      </c>
      <c r="L191" s="14">
        <v>115.2</v>
      </c>
      <c r="M191" s="14">
        <v>137.19999999999999</v>
      </c>
      <c r="N191" s="14">
        <v>131.9</v>
      </c>
      <c r="O191" s="14">
        <v>153.80000000000001</v>
      </c>
      <c r="P191" s="14">
        <v>138.6</v>
      </c>
      <c r="Q191" s="14">
        <v>156.1</v>
      </c>
      <c r="R191" s="14">
        <v>150.1</v>
      </c>
      <c r="S191" s="14">
        <v>143.30000000000001</v>
      </c>
      <c r="T191" s="14">
        <v>149.1</v>
      </c>
      <c r="U191" s="14">
        <v>143.1</v>
      </c>
      <c r="V191" s="14">
        <v>143.80000000000001</v>
      </c>
      <c r="W191" s="14">
        <v>140.9</v>
      </c>
      <c r="X191" s="14">
        <v>137.6</v>
      </c>
      <c r="Y191" s="14">
        <v>125.3</v>
      </c>
      <c r="Z191" s="14">
        <v>136</v>
      </c>
      <c r="AA191" s="14">
        <v>143.69999999999999</v>
      </c>
      <c r="AB191" s="14">
        <v>130.4</v>
      </c>
      <c r="AC191" s="14">
        <v>134.19999999999999</v>
      </c>
      <c r="AD191" s="15">
        <v>139.1</v>
      </c>
      <c r="AF191" s="13">
        <f>SUM('Working sheet'!$D191:$P191)</f>
        <v>1780</v>
      </c>
      <c r="AG191" s="14">
        <f>SUM('Working sheet'!$Q191)</f>
        <v>156.1</v>
      </c>
      <c r="AH191" s="14">
        <f>SUM('Working sheet'!$R191:$T191)</f>
        <v>442.5</v>
      </c>
      <c r="AI191" s="14">
        <f>SUM('Working sheet'!$U191)</f>
        <v>143.1</v>
      </c>
      <c r="AJ191" s="14">
        <f>SUM('Working sheet'!$V191)</f>
        <v>143.80000000000001</v>
      </c>
      <c r="AK191" s="15">
        <f>SUM('Working sheet'!$W191:$AC191)</f>
        <v>948.09999999999991</v>
      </c>
    </row>
    <row r="192" spans="1:37" hidden="1" x14ac:dyDescent="0.25">
      <c r="A192" s="16" t="s">
        <v>30</v>
      </c>
      <c r="B192" s="17">
        <v>2018</v>
      </c>
      <c r="C192" s="17" t="s">
        <v>34</v>
      </c>
      <c r="D192" s="17">
        <v>135</v>
      </c>
      <c r="E192" s="17">
        <v>144.30000000000001</v>
      </c>
      <c r="F192" s="17">
        <v>130.80000000000001</v>
      </c>
      <c r="G192" s="17">
        <v>140.30000000000001</v>
      </c>
      <c r="H192" s="17">
        <v>116.6</v>
      </c>
      <c r="I192" s="17">
        <v>150.1</v>
      </c>
      <c r="J192" s="17">
        <v>127.6</v>
      </c>
      <c r="K192" s="17">
        <v>114</v>
      </c>
      <c r="L192" s="17">
        <v>110.6</v>
      </c>
      <c r="M192" s="17">
        <v>140.19999999999999</v>
      </c>
      <c r="N192" s="17">
        <v>126.5</v>
      </c>
      <c r="O192" s="17">
        <v>148.30000000000001</v>
      </c>
      <c r="P192" s="17">
        <v>135.69999999999999</v>
      </c>
      <c r="Q192" s="17">
        <v>159.19999999999999</v>
      </c>
      <c r="R192" s="17">
        <v>137.80000000000001</v>
      </c>
      <c r="S192" s="17">
        <v>127.4</v>
      </c>
      <c r="T192" s="17">
        <v>136.19999999999999</v>
      </c>
      <c r="U192" s="17">
        <v>142.9</v>
      </c>
      <c r="V192" s="17">
        <v>124.6</v>
      </c>
      <c r="W192" s="17">
        <v>131.80000000000001</v>
      </c>
      <c r="X192" s="17">
        <v>131.30000000000001</v>
      </c>
      <c r="Y192" s="17">
        <v>118.9</v>
      </c>
      <c r="Z192" s="17">
        <v>127.6</v>
      </c>
      <c r="AA192" s="17">
        <v>139.69999999999999</v>
      </c>
      <c r="AB192" s="17">
        <v>127.6</v>
      </c>
      <c r="AC192" s="17">
        <v>128.19999999999999</v>
      </c>
      <c r="AD192" s="18">
        <v>134.80000000000001</v>
      </c>
      <c r="AF192" s="16">
        <f>SUM('Working sheet'!$D192:$P192)</f>
        <v>1720.0000000000002</v>
      </c>
      <c r="AG192" s="17">
        <f>SUM('Working sheet'!$Q192)</f>
        <v>159.19999999999999</v>
      </c>
      <c r="AH192" s="17">
        <f>SUM('Working sheet'!$R192:$T192)</f>
        <v>401.40000000000003</v>
      </c>
      <c r="AI192" s="17">
        <f>SUM('Working sheet'!$U192)</f>
        <v>142.9</v>
      </c>
      <c r="AJ192" s="17">
        <f>SUM('Working sheet'!$V192)</f>
        <v>124.6</v>
      </c>
      <c r="AK192" s="18">
        <f>SUM('Working sheet'!$W192:$AC192)</f>
        <v>905.09999999999991</v>
      </c>
    </row>
    <row r="193" spans="1:37" x14ac:dyDescent="0.25">
      <c r="A193" s="13" t="s">
        <v>31</v>
      </c>
      <c r="B193" s="14">
        <v>2018</v>
      </c>
      <c r="C193" s="14" t="s">
        <v>34</v>
      </c>
      <c r="D193" s="14">
        <v>136.4</v>
      </c>
      <c r="E193" s="14">
        <v>144.4</v>
      </c>
      <c r="F193" s="14">
        <v>133.9</v>
      </c>
      <c r="G193" s="14">
        <v>141.6</v>
      </c>
      <c r="H193" s="14">
        <v>121</v>
      </c>
      <c r="I193" s="14">
        <v>153.5</v>
      </c>
      <c r="J193" s="14">
        <v>132.6</v>
      </c>
      <c r="K193" s="14">
        <v>123.5</v>
      </c>
      <c r="L193" s="14">
        <v>113.7</v>
      </c>
      <c r="M193" s="14">
        <v>138.19999999999999</v>
      </c>
      <c r="N193" s="14">
        <v>129.6</v>
      </c>
      <c r="O193" s="14">
        <v>151.19999999999999</v>
      </c>
      <c r="P193" s="14">
        <v>137.5</v>
      </c>
      <c r="Q193" s="14">
        <v>156.9</v>
      </c>
      <c r="R193" s="14">
        <v>145.30000000000001</v>
      </c>
      <c r="S193" s="14">
        <v>136.69999999999999</v>
      </c>
      <c r="T193" s="14">
        <v>144</v>
      </c>
      <c r="U193" s="14">
        <v>142.9</v>
      </c>
      <c r="V193" s="14">
        <v>136.5</v>
      </c>
      <c r="W193" s="14">
        <v>136.6</v>
      </c>
      <c r="X193" s="14">
        <v>135.19999999999999</v>
      </c>
      <c r="Y193" s="14">
        <v>121.9</v>
      </c>
      <c r="Z193" s="14">
        <v>131.30000000000001</v>
      </c>
      <c r="AA193" s="14">
        <v>141.4</v>
      </c>
      <c r="AB193" s="14">
        <v>129.19999999999999</v>
      </c>
      <c r="AC193" s="14">
        <v>131.30000000000001</v>
      </c>
      <c r="AD193" s="15">
        <v>137.1</v>
      </c>
      <c r="AF193" s="13">
        <f>SUM('Working sheet'!$D193:$P193)</f>
        <v>1757.1000000000001</v>
      </c>
      <c r="AG193" s="14">
        <f>SUM('Working sheet'!$Q193)</f>
        <v>156.9</v>
      </c>
      <c r="AH193" s="14">
        <f>SUM('Working sheet'!$R193:$T193)</f>
        <v>426</v>
      </c>
      <c r="AI193" s="14">
        <f>SUM('Working sheet'!$U193)</f>
        <v>142.9</v>
      </c>
      <c r="AJ193" s="14">
        <f>SUM('Working sheet'!$V193)</f>
        <v>136.5</v>
      </c>
      <c r="AK193" s="15">
        <f>SUM('Working sheet'!$W193:$AC193)</f>
        <v>926.89999999999986</v>
      </c>
    </row>
    <row r="194" spans="1:37" hidden="1" x14ac:dyDescent="0.25">
      <c r="A194" s="16" t="s">
        <v>28</v>
      </c>
      <c r="B194" s="17">
        <v>2018</v>
      </c>
      <c r="C194" s="17" t="s">
        <v>35</v>
      </c>
      <c r="D194" s="17">
        <v>137.4</v>
      </c>
      <c r="E194" s="17">
        <v>145.69999999999999</v>
      </c>
      <c r="F194" s="17">
        <v>135.5</v>
      </c>
      <c r="G194" s="17">
        <v>142.9</v>
      </c>
      <c r="H194" s="17">
        <v>123.6</v>
      </c>
      <c r="I194" s="17">
        <v>157.5</v>
      </c>
      <c r="J194" s="17">
        <v>137.80000000000001</v>
      </c>
      <c r="K194" s="17">
        <v>127.2</v>
      </c>
      <c r="L194" s="17">
        <v>111.8</v>
      </c>
      <c r="M194" s="17">
        <v>137.4</v>
      </c>
      <c r="N194" s="17">
        <v>132.19999999999999</v>
      </c>
      <c r="O194" s="17">
        <v>154.30000000000001</v>
      </c>
      <c r="P194" s="17">
        <v>139.1</v>
      </c>
      <c r="Q194" s="17">
        <v>157</v>
      </c>
      <c r="R194" s="17">
        <v>150.80000000000001</v>
      </c>
      <c r="S194" s="17">
        <v>144.1</v>
      </c>
      <c r="T194" s="17">
        <v>149.80000000000001</v>
      </c>
      <c r="U194" s="17">
        <v>142.9</v>
      </c>
      <c r="V194" s="17">
        <v>144.30000000000001</v>
      </c>
      <c r="W194" s="17">
        <v>141.80000000000001</v>
      </c>
      <c r="X194" s="17">
        <v>138.4</v>
      </c>
      <c r="Y194" s="17">
        <v>126.4</v>
      </c>
      <c r="Z194" s="17">
        <v>136.80000000000001</v>
      </c>
      <c r="AA194" s="17">
        <v>144.4</v>
      </c>
      <c r="AB194" s="17">
        <v>131.19999999999999</v>
      </c>
      <c r="AC194" s="17">
        <v>135.1</v>
      </c>
      <c r="AD194" s="18">
        <v>139.80000000000001</v>
      </c>
      <c r="AF194" s="16">
        <f>SUM('Working sheet'!$D194:$P194)</f>
        <v>1782.4</v>
      </c>
      <c r="AG194" s="17">
        <f>SUM('Working sheet'!$Q194)</f>
        <v>157</v>
      </c>
      <c r="AH194" s="17">
        <f>SUM('Working sheet'!$R194:$T194)</f>
        <v>444.7</v>
      </c>
      <c r="AI194" s="17">
        <f>SUM('Working sheet'!$U194)</f>
        <v>142.9</v>
      </c>
      <c r="AJ194" s="17">
        <f>SUM('Working sheet'!$V194)</f>
        <v>144.30000000000001</v>
      </c>
      <c r="AK194" s="18">
        <f>SUM('Working sheet'!$W194:$AC194)</f>
        <v>954.1</v>
      </c>
    </row>
    <row r="195" spans="1:37" hidden="1" x14ac:dyDescent="0.25">
      <c r="A195" s="13" t="s">
        <v>30</v>
      </c>
      <c r="B195" s="14">
        <v>2018</v>
      </c>
      <c r="C195" s="14" t="s">
        <v>35</v>
      </c>
      <c r="D195" s="14">
        <v>135</v>
      </c>
      <c r="E195" s="14">
        <v>148.19999999999999</v>
      </c>
      <c r="F195" s="14">
        <v>130.5</v>
      </c>
      <c r="G195" s="14">
        <v>140.69999999999999</v>
      </c>
      <c r="H195" s="14">
        <v>116.4</v>
      </c>
      <c r="I195" s="14">
        <v>151.30000000000001</v>
      </c>
      <c r="J195" s="14">
        <v>131.4</v>
      </c>
      <c r="K195" s="14">
        <v>112.8</v>
      </c>
      <c r="L195" s="14">
        <v>105.3</v>
      </c>
      <c r="M195" s="14">
        <v>139.6</v>
      </c>
      <c r="N195" s="14">
        <v>126.6</v>
      </c>
      <c r="O195" s="14">
        <v>148.69999999999999</v>
      </c>
      <c r="P195" s="14">
        <v>136.4</v>
      </c>
      <c r="Q195" s="14">
        <v>160.30000000000001</v>
      </c>
      <c r="R195" s="14">
        <v>138.6</v>
      </c>
      <c r="S195" s="14">
        <v>127.9</v>
      </c>
      <c r="T195" s="14">
        <v>137</v>
      </c>
      <c r="U195" s="14">
        <v>143.19999999999999</v>
      </c>
      <c r="V195" s="14">
        <v>124.7</v>
      </c>
      <c r="W195" s="14">
        <v>132.5</v>
      </c>
      <c r="X195" s="14">
        <v>132</v>
      </c>
      <c r="Y195" s="14">
        <v>119.8</v>
      </c>
      <c r="Z195" s="14">
        <v>128</v>
      </c>
      <c r="AA195" s="14">
        <v>140.4</v>
      </c>
      <c r="AB195" s="14">
        <v>128.1</v>
      </c>
      <c r="AC195" s="14">
        <v>128.9</v>
      </c>
      <c r="AD195" s="15">
        <v>135.4</v>
      </c>
      <c r="AF195" s="13">
        <f>SUM('Working sheet'!$D195:$P195)</f>
        <v>1722.8999999999999</v>
      </c>
      <c r="AG195" s="14">
        <f>SUM('Working sheet'!$Q195)</f>
        <v>160.30000000000001</v>
      </c>
      <c r="AH195" s="14">
        <f>SUM('Working sheet'!$R195:$T195)</f>
        <v>403.5</v>
      </c>
      <c r="AI195" s="14">
        <f>SUM('Working sheet'!$U195)</f>
        <v>143.19999999999999</v>
      </c>
      <c r="AJ195" s="14">
        <f>SUM('Working sheet'!$V195)</f>
        <v>124.7</v>
      </c>
      <c r="AK195" s="15">
        <f>SUM('Working sheet'!$W195:$AC195)</f>
        <v>909.69999999999993</v>
      </c>
    </row>
    <row r="196" spans="1:37" x14ac:dyDescent="0.25">
      <c r="A196" s="16" t="s">
        <v>31</v>
      </c>
      <c r="B196" s="17">
        <v>2018</v>
      </c>
      <c r="C196" s="17" t="s">
        <v>35</v>
      </c>
      <c r="D196" s="17">
        <v>136.6</v>
      </c>
      <c r="E196" s="17">
        <v>146.6</v>
      </c>
      <c r="F196" s="17">
        <v>133.6</v>
      </c>
      <c r="G196" s="17">
        <v>142.1</v>
      </c>
      <c r="H196" s="17">
        <v>121</v>
      </c>
      <c r="I196" s="17">
        <v>154.6</v>
      </c>
      <c r="J196" s="17">
        <v>135.6</v>
      </c>
      <c r="K196" s="17">
        <v>122.3</v>
      </c>
      <c r="L196" s="17">
        <v>109.6</v>
      </c>
      <c r="M196" s="17">
        <v>138.1</v>
      </c>
      <c r="N196" s="17">
        <v>129.9</v>
      </c>
      <c r="O196" s="17">
        <v>151.69999999999999</v>
      </c>
      <c r="P196" s="17">
        <v>138.1</v>
      </c>
      <c r="Q196" s="17">
        <v>157.9</v>
      </c>
      <c r="R196" s="17">
        <v>146</v>
      </c>
      <c r="S196" s="17">
        <v>137.4</v>
      </c>
      <c r="T196" s="17">
        <v>144.69999999999999</v>
      </c>
      <c r="U196" s="17">
        <v>143.19999999999999</v>
      </c>
      <c r="V196" s="17">
        <v>136.9</v>
      </c>
      <c r="W196" s="17">
        <v>137.4</v>
      </c>
      <c r="X196" s="17">
        <v>136</v>
      </c>
      <c r="Y196" s="17">
        <v>122.9</v>
      </c>
      <c r="Z196" s="17">
        <v>131.80000000000001</v>
      </c>
      <c r="AA196" s="17">
        <v>142.1</v>
      </c>
      <c r="AB196" s="17">
        <v>129.9</v>
      </c>
      <c r="AC196" s="17">
        <v>132.1</v>
      </c>
      <c r="AD196" s="18">
        <v>137.80000000000001</v>
      </c>
      <c r="AF196" s="16">
        <f>SUM('Working sheet'!$D196:$P196)</f>
        <v>1759.8</v>
      </c>
      <c r="AG196" s="17">
        <f>SUM('Working sheet'!$Q196)</f>
        <v>157.9</v>
      </c>
      <c r="AH196" s="17">
        <f>SUM('Working sheet'!$R196:$T196)</f>
        <v>428.09999999999997</v>
      </c>
      <c r="AI196" s="17">
        <f>SUM('Working sheet'!$U196)</f>
        <v>143.19999999999999</v>
      </c>
      <c r="AJ196" s="17">
        <f>SUM('Working sheet'!$V196)</f>
        <v>136.9</v>
      </c>
      <c r="AK196" s="18">
        <f>SUM('Working sheet'!$W196:$AC196)</f>
        <v>932.19999999999993</v>
      </c>
    </row>
    <row r="197" spans="1:37" hidden="1" x14ac:dyDescent="0.25">
      <c r="A197" s="13" t="s">
        <v>28</v>
      </c>
      <c r="B197" s="14">
        <v>2018</v>
      </c>
      <c r="C197" s="14" t="s">
        <v>36</v>
      </c>
      <c r="D197" s="14">
        <v>137.6</v>
      </c>
      <c r="E197" s="14">
        <v>148.1</v>
      </c>
      <c r="F197" s="14">
        <v>136.69999999999999</v>
      </c>
      <c r="G197" s="14">
        <v>143.19999999999999</v>
      </c>
      <c r="H197" s="14">
        <v>124</v>
      </c>
      <c r="I197" s="14">
        <v>154.1</v>
      </c>
      <c r="J197" s="14">
        <v>143.5</v>
      </c>
      <c r="K197" s="14">
        <v>126</v>
      </c>
      <c r="L197" s="14">
        <v>112.4</v>
      </c>
      <c r="M197" s="14">
        <v>137.6</v>
      </c>
      <c r="N197" s="14">
        <v>132.80000000000001</v>
      </c>
      <c r="O197" s="14">
        <v>154.30000000000001</v>
      </c>
      <c r="P197" s="14">
        <v>140</v>
      </c>
      <c r="Q197" s="14">
        <v>157.30000000000001</v>
      </c>
      <c r="R197" s="14">
        <v>151.30000000000001</v>
      </c>
      <c r="S197" s="14">
        <v>144.69999999999999</v>
      </c>
      <c r="T197" s="14">
        <v>150.30000000000001</v>
      </c>
      <c r="U197" s="14">
        <v>143.1</v>
      </c>
      <c r="V197" s="14">
        <v>145.1</v>
      </c>
      <c r="W197" s="14">
        <v>142.19999999999999</v>
      </c>
      <c r="X197" s="14">
        <v>138.4</v>
      </c>
      <c r="Y197" s="14">
        <v>127.4</v>
      </c>
      <c r="Z197" s="14">
        <v>137.80000000000001</v>
      </c>
      <c r="AA197" s="14">
        <v>145.1</v>
      </c>
      <c r="AB197" s="14">
        <v>131.4</v>
      </c>
      <c r="AC197" s="14">
        <v>135.6</v>
      </c>
      <c r="AD197" s="15">
        <v>140.5</v>
      </c>
      <c r="AF197" s="13">
        <f>SUM('Working sheet'!$D197:$P197)</f>
        <v>1790.2999999999997</v>
      </c>
      <c r="AG197" s="14">
        <f>SUM('Working sheet'!$Q197)</f>
        <v>157.30000000000001</v>
      </c>
      <c r="AH197" s="14">
        <f>SUM('Working sheet'!$R197:$T197)</f>
        <v>446.3</v>
      </c>
      <c r="AI197" s="14">
        <f>SUM('Working sheet'!$U197)</f>
        <v>143.1</v>
      </c>
      <c r="AJ197" s="14">
        <f>SUM('Working sheet'!$V197)</f>
        <v>145.1</v>
      </c>
      <c r="AK197" s="15">
        <f>SUM('Working sheet'!$W197:$AC197)</f>
        <v>957.9</v>
      </c>
    </row>
    <row r="198" spans="1:37" hidden="1" x14ac:dyDescent="0.25">
      <c r="A198" s="16" t="s">
        <v>30</v>
      </c>
      <c r="B198" s="17">
        <v>2018</v>
      </c>
      <c r="C198" s="17" t="s">
        <v>36</v>
      </c>
      <c r="D198" s="17">
        <v>135.30000000000001</v>
      </c>
      <c r="E198" s="17">
        <v>149.69999999999999</v>
      </c>
      <c r="F198" s="17">
        <v>133.9</v>
      </c>
      <c r="G198" s="17">
        <v>140.80000000000001</v>
      </c>
      <c r="H198" s="17">
        <v>116.6</v>
      </c>
      <c r="I198" s="17">
        <v>152.19999999999999</v>
      </c>
      <c r="J198" s="17">
        <v>144</v>
      </c>
      <c r="K198" s="17">
        <v>112.3</v>
      </c>
      <c r="L198" s="17">
        <v>108.4</v>
      </c>
      <c r="M198" s="17">
        <v>140</v>
      </c>
      <c r="N198" s="17">
        <v>126.7</v>
      </c>
      <c r="O198" s="17">
        <v>149</v>
      </c>
      <c r="P198" s="17">
        <v>138.4</v>
      </c>
      <c r="Q198" s="17">
        <v>161</v>
      </c>
      <c r="R198" s="17">
        <v>138.9</v>
      </c>
      <c r="S198" s="17">
        <v>128.69999999999999</v>
      </c>
      <c r="T198" s="17">
        <v>137.4</v>
      </c>
      <c r="U198" s="17">
        <v>142.5</v>
      </c>
      <c r="V198" s="17">
        <v>126.5</v>
      </c>
      <c r="W198" s="17">
        <v>133.1</v>
      </c>
      <c r="X198" s="17">
        <v>132.6</v>
      </c>
      <c r="Y198" s="17">
        <v>120.4</v>
      </c>
      <c r="Z198" s="17">
        <v>128.5</v>
      </c>
      <c r="AA198" s="17">
        <v>141.19999999999999</v>
      </c>
      <c r="AB198" s="17">
        <v>128.19999999999999</v>
      </c>
      <c r="AC198" s="17">
        <v>129.5</v>
      </c>
      <c r="AD198" s="18">
        <v>136.19999999999999</v>
      </c>
      <c r="AF198" s="16">
        <f>SUM('Working sheet'!$D198:$P198)</f>
        <v>1747.3000000000002</v>
      </c>
      <c r="AG198" s="17">
        <f>SUM('Working sheet'!$Q198)</f>
        <v>161</v>
      </c>
      <c r="AH198" s="17">
        <f>SUM('Working sheet'!$R198:$T198)</f>
        <v>405</v>
      </c>
      <c r="AI198" s="17">
        <f>SUM('Working sheet'!$U198)</f>
        <v>142.5</v>
      </c>
      <c r="AJ198" s="17">
        <f>SUM('Working sheet'!$V198)</f>
        <v>126.5</v>
      </c>
      <c r="AK198" s="18">
        <f>SUM('Working sheet'!$W198:$AC198)</f>
        <v>913.5</v>
      </c>
    </row>
    <row r="199" spans="1:37" x14ac:dyDescent="0.25">
      <c r="A199" s="13" t="s">
        <v>31</v>
      </c>
      <c r="B199" s="14">
        <v>2018</v>
      </c>
      <c r="C199" s="14" t="s">
        <v>36</v>
      </c>
      <c r="D199" s="14">
        <v>136.9</v>
      </c>
      <c r="E199" s="14">
        <v>148.69999999999999</v>
      </c>
      <c r="F199" s="14">
        <v>135.6</v>
      </c>
      <c r="G199" s="14">
        <v>142.30000000000001</v>
      </c>
      <c r="H199" s="14">
        <v>121.3</v>
      </c>
      <c r="I199" s="14">
        <v>153.19999999999999</v>
      </c>
      <c r="J199" s="14">
        <v>143.69999999999999</v>
      </c>
      <c r="K199" s="14">
        <v>121.4</v>
      </c>
      <c r="L199" s="14">
        <v>111.1</v>
      </c>
      <c r="M199" s="14">
        <v>138.4</v>
      </c>
      <c r="N199" s="14">
        <v>130.30000000000001</v>
      </c>
      <c r="O199" s="14">
        <v>151.80000000000001</v>
      </c>
      <c r="P199" s="14">
        <v>139.4</v>
      </c>
      <c r="Q199" s="14">
        <v>158.30000000000001</v>
      </c>
      <c r="R199" s="14">
        <v>146.4</v>
      </c>
      <c r="S199" s="14">
        <v>138.1</v>
      </c>
      <c r="T199" s="14">
        <v>145.19999999999999</v>
      </c>
      <c r="U199" s="14">
        <v>142.5</v>
      </c>
      <c r="V199" s="14">
        <v>138.1</v>
      </c>
      <c r="W199" s="14">
        <v>137.9</v>
      </c>
      <c r="X199" s="14">
        <v>136.19999999999999</v>
      </c>
      <c r="Y199" s="14">
        <v>123.7</v>
      </c>
      <c r="Z199" s="14">
        <v>132.6</v>
      </c>
      <c r="AA199" s="14">
        <v>142.80000000000001</v>
      </c>
      <c r="AB199" s="14">
        <v>130.1</v>
      </c>
      <c r="AC199" s="14">
        <v>132.6</v>
      </c>
      <c r="AD199" s="15">
        <v>138.5</v>
      </c>
      <c r="AF199" s="13">
        <f>SUM('Working sheet'!$D199:$P199)</f>
        <v>1774.1000000000001</v>
      </c>
      <c r="AG199" s="14">
        <f>SUM('Working sheet'!$Q199)</f>
        <v>158.30000000000001</v>
      </c>
      <c r="AH199" s="14">
        <f>SUM('Working sheet'!$R199:$T199)</f>
        <v>429.7</v>
      </c>
      <c r="AI199" s="14">
        <f>SUM('Working sheet'!$U199)</f>
        <v>142.5</v>
      </c>
      <c r="AJ199" s="14">
        <f>SUM('Working sheet'!$V199)</f>
        <v>138.1</v>
      </c>
      <c r="AK199" s="15">
        <f>SUM('Working sheet'!$W199:$AC199)</f>
        <v>935.90000000000009</v>
      </c>
    </row>
    <row r="200" spans="1:37" hidden="1" x14ac:dyDescent="0.25">
      <c r="A200" s="16" t="s">
        <v>28</v>
      </c>
      <c r="B200" s="17">
        <v>2018</v>
      </c>
      <c r="C200" s="17" t="s">
        <v>37</v>
      </c>
      <c r="D200" s="17">
        <v>138.4</v>
      </c>
      <c r="E200" s="17">
        <v>149.30000000000001</v>
      </c>
      <c r="F200" s="17">
        <v>139.30000000000001</v>
      </c>
      <c r="G200" s="17">
        <v>143.4</v>
      </c>
      <c r="H200" s="17">
        <v>124.1</v>
      </c>
      <c r="I200" s="17">
        <v>153.30000000000001</v>
      </c>
      <c r="J200" s="17">
        <v>154.19999999999999</v>
      </c>
      <c r="K200" s="17">
        <v>126.4</v>
      </c>
      <c r="L200" s="17">
        <v>114.3</v>
      </c>
      <c r="M200" s="17">
        <v>138.19999999999999</v>
      </c>
      <c r="N200" s="17">
        <v>132.80000000000001</v>
      </c>
      <c r="O200" s="17">
        <v>154.80000000000001</v>
      </c>
      <c r="P200" s="17">
        <v>142</v>
      </c>
      <c r="Q200" s="17">
        <v>156.1</v>
      </c>
      <c r="R200" s="17">
        <v>151.5</v>
      </c>
      <c r="S200" s="17">
        <v>145.1</v>
      </c>
      <c r="T200" s="17">
        <v>150.6</v>
      </c>
      <c r="U200" s="17">
        <v>144.1</v>
      </c>
      <c r="V200" s="17">
        <v>146.80000000000001</v>
      </c>
      <c r="W200" s="17">
        <v>143.1</v>
      </c>
      <c r="X200" s="17">
        <v>139</v>
      </c>
      <c r="Y200" s="17">
        <v>127.5</v>
      </c>
      <c r="Z200" s="17">
        <v>138.4</v>
      </c>
      <c r="AA200" s="17">
        <v>145.80000000000001</v>
      </c>
      <c r="AB200" s="17">
        <v>131.4</v>
      </c>
      <c r="AC200" s="17">
        <v>136</v>
      </c>
      <c r="AD200" s="18">
        <v>141.80000000000001</v>
      </c>
      <c r="AF200" s="16">
        <f>SUM('Working sheet'!$D200:$P200)</f>
        <v>1810.5000000000002</v>
      </c>
      <c r="AG200" s="17">
        <f>SUM('Working sheet'!$Q200)</f>
        <v>156.1</v>
      </c>
      <c r="AH200" s="17">
        <f>SUM('Working sheet'!$R200:$T200)</f>
        <v>447.20000000000005</v>
      </c>
      <c r="AI200" s="17">
        <f>SUM('Working sheet'!$U200)</f>
        <v>144.1</v>
      </c>
      <c r="AJ200" s="17">
        <f>SUM('Working sheet'!$V200)</f>
        <v>146.80000000000001</v>
      </c>
      <c r="AK200" s="18">
        <f>SUM('Working sheet'!$W200:$AC200)</f>
        <v>961.19999999999993</v>
      </c>
    </row>
    <row r="201" spans="1:37" hidden="1" x14ac:dyDescent="0.25">
      <c r="A201" s="13" t="s">
        <v>30</v>
      </c>
      <c r="B201" s="14">
        <v>2018</v>
      </c>
      <c r="C201" s="14" t="s">
        <v>37</v>
      </c>
      <c r="D201" s="14">
        <v>135.6</v>
      </c>
      <c r="E201" s="14">
        <v>148.6</v>
      </c>
      <c r="F201" s="14">
        <v>139.1</v>
      </c>
      <c r="G201" s="14">
        <v>141</v>
      </c>
      <c r="H201" s="14">
        <v>116.7</v>
      </c>
      <c r="I201" s="14">
        <v>149.69999999999999</v>
      </c>
      <c r="J201" s="14">
        <v>159.19999999999999</v>
      </c>
      <c r="K201" s="14">
        <v>112.6</v>
      </c>
      <c r="L201" s="14">
        <v>111.8</v>
      </c>
      <c r="M201" s="14">
        <v>140.30000000000001</v>
      </c>
      <c r="N201" s="14">
        <v>126.8</v>
      </c>
      <c r="O201" s="14">
        <v>149.4</v>
      </c>
      <c r="P201" s="14">
        <v>140.30000000000001</v>
      </c>
      <c r="Q201" s="14">
        <v>161.4</v>
      </c>
      <c r="R201" s="14">
        <v>139.6</v>
      </c>
      <c r="S201" s="14">
        <v>128.9</v>
      </c>
      <c r="T201" s="14">
        <v>137.9</v>
      </c>
      <c r="U201" s="14">
        <v>143.6</v>
      </c>
      <c r="V201" s="14">
        <v>128.1</v>
      </c>
      <c r="W201" s="14">
        <v>133.6</v>
      </c>
      <c r="X201" s="14">
        <v>133.6</v>
      </c>
      <c r="Y201" s="14">
        <v>120.1</v>
      </c>
      <c r="Z201" s="14">
        <v>129</v>
      </c>
      <c r="AA201" s="14">
        <v>144</v>
      </c>
      <c r="AB201" s="14">
        <v>128.19999999999999</v>
      </c>
      <c r="AC201" s="14">
        <v>130.19999999999999</v>
      </c>
      <c r="AD201" s="15">
        <v>137.5</v>
      </c>
      <c r="AF201" s="13">
        <f>SUM('Working sheet'!$D201:$P201)</f>
        <v>1771.1</v>
      </c>
      <c r="AG201" s="14">
        <f>SUM('Working sheet'!$Q201)</f>
        <v>161.4</v>
      </c>
      <c r="AH201" s="14">
        <f>SUM('Working sheet'!$R201:$T201)</f>
        <v>406.4</v>
      </c>
      <c r="AI201" s="14">
        <f>SUM('Working sheet'!$U201)</f>
        <v>143.6</v>
      </c>
      <c r="AJ201" s="14">
        <f>SUM('Working sheet'!$V201)</f>
        <v>128.1</v>
      </c>
      <c r="AK201" s="15">
        <f>SUM('Working sheet'!$W201:$AC201)</f>
        <v>918.7</v>
      </c>
    </row>
    <row r="202" spans="1:37" x14ac:dyDescent="0.25">
      <c r="A202" s="16" t="s">
        <v>31</v>
      </c>
      <c r="B202" s="17">
        <v>2018</v>
      </c>
      <c r="C202" s="17" t="s">
        <v>37</v>
      </c>
      <c r="D202" s="17">
        <v>137.5</v>
      </c>
      <c r="E202" s="17">
        <v>149.1</v>
      </c>
      <c r="F202" s="17">
        <v>139.19999999999999</v>
      </c>
      <c r="G202" s="17">
        <v>142.5</v>
      </c>
      <c r="H202" s="17">
        <v>121.4</v>
      </c>
      <c r="I202" s="17">
        <v>151.6</v>
      </c>
      <c r="J202" s="17">
        <v>155.9</v>
      </c>
      <c r="K202" s="17">
        <v>121.7</v>
      </c>
      <c r="L202" s="17">
        <v>113.5</v>
      </c>
      <c r="M202" s="17">
        <v>138.9</v>
      </c>
      <c r="N202" s="17">
        <v>130.30000000000001</v>
      </c>
      <c r="O202" s="17">
        <v>152.30000000000001</v>
      </c>
      <c r="P202" s="17">
        <v>141.4</v>
      </c>
      <c r="Q202" s="17">
        <v>157.5</v>
      </c>
      <c r="R202" s="17">
        <v>146.80000000000001</v>
      </c>
      <c r="S202" s="17">
        <v>138.4</v>
      </c>
      <c r="T202" s="17">
        <v>145.6</v>
      </c>
      <c r="U202" s="17">
        <v>143.6</v>
      </c>
      <c r="V202" s="17">
        <v>139.69999999999999</v>
      </c>
      <c r="W202" s="17">
        <v>138.6</v>
      </c>
      <c r="X202" s="17">
        <v>137</v>
      </c>
      <c r="Y202" s="17">
        <v>123.6</v>
      </c>
      <c r="Z202" s="17">
        <v>133.1</v>
      </c>
      <c r="AA202" s="17">
        <v>144.69999999999999</v>
      </c>
      <c r="AB202" s="17">
        <v>130.1</v>
      </c>
      <c r="AC202" s="17">
        <v>133.19999999999999</v>
      </c>
      <c r="AD202" s="18">
        <v>139.80000000000001</v>
      </c>
      <c r="AF202" s="16">
        <f>SUM('Working sheet'!$D202:$P202)</f>
        <v>1795.3</v>
      </c>
      <c r="AG202" s="17">
        <f>SUM('Working sheet'!$Q202)</f>
        <v>157.5</v>
      </c>
      <c r="AH202" s="17">
        <f>SUM('Working sheet'!$R202:$T202)</f>
        <v>430.80000000000007</v>
      </c>
      <c r="AI202" s="17">
        <f>SUM('Working sheet'!$U202)</f>
        <v>143.6</v>
      </c>
      <c r="AJ202" s="17">
        <f>SUM('Working sheet'!$V202)</f>
        <v>139.69999999999999</v>
      </c>
      <c r="AK202" s="18">
        <f>SUM('Working sheet'!$W202:$AC202)</f>
        <v>940.3</v>
      </c>
    </row>
    <row r="203" spans="1:37" hidden="1" x14ac:dyDescent="0.25">
      <c r="A203" s="13" t="s">
        <v>28</v>
      </c>
      <c r="B203" s="14">
        <v>2018</v>
      </c>
      <c r="C203" s="14" t="s">
        <v>38</v>
      </c>
      <c r="D203" s="14">
        <v>139.19999999999999</v>
      </c>
      <c r="E203" s="14">
        <v>148.80000000000001</v>
      </c>
      <c r="F203" s="14">
        <v>139.1</v>
      </c>
      <c r="G203" s="14">
        <v>143.5</v>
      </c>
      <c r="H203" s="14">
        <v>125</v>
      </c>
      <c r="I203" s="14">
        <v>154.4</v>
      </c>
      <c r="J203" s="14">
        <v>156.30000000000001</v>
      </c>
      <c r="K203" s="14">
        <v>126.8</v>
      </c>
      <c r="L203" s="14">
        <v>115.4</v>
      </c>
      <c r="M203" s="14">
        <v>138.6</v>
      </c>
      <c r="N203" s="14">
        <v>133.80000000000001</v>
      </c>
      <c r="O203" s="14">
        <v>155.19999999999999</v>
      </c>
      <c r="P203" s="14">
        <v>142.69999999999999</v>
      </c>
      <c r="Q203" s="14">
        <v>156.4</v>
      </c>
      <c r="R203" s="14">
        <v>152.1</v>
      </c>
      <c r="S203" s="14">
        <v>145.80000000000001</v>
      </c>
      <c r="T203" s="14">
        <v>151.30000000000001</v>
      </c>
      <c r="U203" s="14">
        <v>145</v>
      </c>
      <c r="V203" s="14">
        <v>147.69999999999999</v>
      </c>
      <c r="W203" s="14">
        <v>143.80000000000001</v>
      </c>
      <c r="X203" s="14">
        <v>139.4</v>
      </c>
      <c r="Y203" s="14">
        <v>128.30000000000001</v>
      </c>
      <c r="Z203" s="14">
        <v>138.6</v>
      </c>
      <c r="AA203" s="14">
        <v>146.9</v>
      </c>
      <c r="AB203" s="14">
        <v>131.30000000000001</v>
      </c>
      <c r="AC203" s="14">
        <v>136.6</v>
      </c>
      <c r="AD203" s="15">
        <v>142.5</v>
      </c>
      <c r="AF203" s="13">
        <f>SUM('Working sheet'!$D203:$P203)</f>
        <v>1818.8</v>
      </c>
      <c r="AG203" s="14">
        <f>SUM('Working sheet'!$Q203)</f>
        <v>156.4</v>
      </c>
      <c r="AH203" s="14">
        <f>SUM('Working sheet'!$R203:$T203)</f>
        <v>449.2</v>
      </c>
      <c r="AI203" s="14">
        <f>SUM('Working sheet'!$U203)</f>
        <v>145</v>
      </c>
      <c r="AJ203" s="14">
        <f>SUM('Working sheet'!$V203)</f>
        <v>147.69999999999999</v>
      </c>
      <c r="AK203" s="15">
        <f>SUM('Working sheet'!$W203:$AC203)</f>
        <v>964.9</v>
      </c>
    </row>
    <row r="204" spans="1:37" hidden="1" x14ac:dyDescent="0.25">
      <c r="A204" s="16" t="s">
        <v>30</v>
      </c>
      <c r="B204" s="17">
        <v>2018</v>
      </c>
      <c r="C204" s="17" t="s">
        <v>38</v>
      </c>
      <c r="D204" s="17">
        <v>136.5</v>
      </c>
      <c r="E204" s="17">
        <v>146.4</v>
      </c>
      <c r="F204" s="17">
        <v>136.6</v>
      </c>
      <c r="G204" s="17">
        <v>141.19999999999999</v>
      </c>
      <c r="H204" s="17">
        <v>117.4</v>
      </c>
      <c r="I204" s="17">
        <v>146.30000000000001</v>
      </c>
      <c r="J204" s="17">
        <v>157.30000000000001</v>
      </c>
      <c r="K204" s="17">
        <v>113.6</v>
      </c>
      <c r="L204" s="17">
        <v>113.3</v>
      </c>
      <c r="M204" s="17">
        <v>141.1</v>
      </c>
      <c r="N204" s="17">
        <v>127.4</v>
      </c>
      <c r="O204" s="17">
        <v>150.4</v>
      </c>
      <c r="P204" s="17">
        <v>140.1</v>
      </c>
      <c r="Q204" s="17">
        <v>162.1</v>
      </c>
      <c r="R204" s="17">
        <v>140</v>
      </c>
      <c r="S204" s="17">
        <v>129</v>
      </c>
      <c r="T204" s="17">
        <v>138.30000000000001</v>
      </c>
      <c r="U204" s="17">
        <v>144.6</v>
      </c>
      <c r="V204" s="17">
        <v>129.80000000000001</v>
      </c>
      <c r="W204" s="17">
        <v>134.4</v>
      </c>
      <c r="X204" s="17">
        <v>134.9</v>
      </c>
      <c r="Y204" s="17">
        <v>120.7</v>
      </c>
      <c r="Z204" s="17">
        <v>129.80000000000001</v>
      </c>
      <c r="AA204" s="17">
        <v>145.30000000000001</v>
      </c>
      <c r="AB204" s="17">
        <v>128.30000000000001</v>
      </c>
      <c r="AC204" s="17">
        <v>131</v>
      </c>
      <c r="AD204" s="18">
        <v>138</v>
      </c>
      <c r="AF204" s="16">
        <f>SUM('Working sheet'!$D204:$P204)</f>
        <v>1767.6</v>
      </c>
      <c r="AG204" s="17">
        <f>SUM('Working sheet'!$Q204)</f>
        <v>162.1</v>
      </c>
      <c r="AH204" s="17">
        <f>SUM('Working sheet'!$R204:$T204)</f>
        <v>407.3</v>
      </c>
      <c r="AI204" s="17">
        <f>SUM('Working sheet'!$U204)</f>
        <v>144.6</v>
      </c>
      <c r="AJ204" s="17">
        <f>SUM('Working sheet'!$V204)</f>
        <v>129.80000000000001</v>
      </c>
      <c r="AK204" s="18">
        <f>SUM('Working sheet'!$W204:$AC204)</f>
        <v>924.39999999999986</v>
      </c>
    </row>
    <row r="205" spans="1:37" x14ac:dyDescent="0.25">
      <c r="A205" s="13" t="s">
        <v>31</v>
      </c>
      <c r="B205" s="14">
        <v>2018</v>
      </c>
      <c r="C205" s="14" t="s">
        <v>38</v>
      </c>
      <c r="D205" s="14">
        <v>138.30000000000001</v>
      </c>
      <c r="E205" s="14">
        <v>148</v>
      </c>
      <c r="F205" s="14">
        <v>138.1</v>
      </c>
      <c r="G205" s="14">
        <v>142.6</v>
      </c>
      <c r="H205" s="14">
        <v>122.2</v>
      </c>
      <c r="I205" s="14">
        <v>150.6</v>
      </c>
      <c r="J205" s="14">
        <v>156.6</v>
      </c>
      <c r="K205" s="14">
        <v>122.4</v>
      </c>
      <c r="L205" s="14">
        <v>114.7</v>
      </c>
      <c r="M205" s="14">
        <v>139.4</v>
      </c>
      <c r="N205" s="14">
        <v>131.1</v>
      </c>
      <c r="O205" s="14">
        <v>153</v>
      </c>
      <c r="P205" s="14">
        <v>141.69999999999999</v>
      </c>
      <c r="Q205" s="14">
        <v>157.9</v>
      </c>
      <c r="R205" s="14">
        <v>147.30000000000001</v>
      </c>
      <c r="S205" s="14">
        <v>138.80000000000001</v>
      </c>
      <c r="T205" s="14">
        <v>146.1</v>
      </c>
      <c r="U205" s="14">
        <v>144.6</v>
      </c>
      <c r="V205" s="14">
        <v>140.9</v>
      </c>
      <c r="W205" s="14">
        <v>139.4</v>
      </c>
      <c r="X205" s="14">
        <v>137.69999999999999</v>
      </c>
      <c r="Y205" s="14">
        <v>124.3</v>
      </c>
      <c r="Z205" s="14">
        <v>133.6</v>
      </c>
      <c r="AA205" s="14">
        <v>146</v>
      </c>
      <c r="AB205" s="14">
        <v>130.1</v>
      </c>
      <c r="AC205" s="14">
        <v>133.9</v>
      </c>
      <c r="AD205" s="15">
        <v>140.4</v>
      </c>
      <c r="AF205" s="13">
        <f>SUM('Working sheet'!$D205:$P205)</f>
        <v>1798.7000000000003</v>
      </c>
      <c r="AG205" s="14">
        <f>SUM('Working sheet'!$Q205)</f>
        <v>157.9</v>
      </c>
      <c r="AH205" s="14">
        <f>SUM('Working sheet'!$R205:$T205)</f>
        <v>432.20000000000005</v>
      </c>
      <c r="AI205" s="14">
        <f>SUM('Working sheet'!$U205)</f>
        <v>144.6</v>
      </c>
      <c r="AJ205" s="14">
        <f>SUM('Working sheet'!$V205)</f>
        <v>140.9</v>
      </c>
      <c r="AK205" s="15">
        <f>SUM('Working sheet'!$W205:$AC205)</f>
        <v>945</v>
      </c>
    </row>
    <row r="206" spans="1:37" hidden="1" x14ac:dyDescent="0.25">
      <c r="A206" s="16" t="s">
        <v>28</v>
      </c>
      <c r="B206" s="17">
        <v>2018</v>
      </c>
      <c r="C206" s="17" t="s">
        <v>39</v>
      </c>
      <c r="D206" s="17">
        <v>139.4</v>
      </c>
      <c r="E206" s="17">
        <v>147.19999999999999</v>
      </c>
      <c r="F206" s="17">
        <v>136.6</v>
      </c>
      <c r="G206" s="17">
        <v>143.69999999999999</v>
      </c>
      <c r="H206" s="17">
        <v>124.6</v>
      </c>
      <c r="I206" s="17">
        <v>150.1</v>
      </c>
      <c r="J206" s="17">
        <v>149.4</v>
      </c>
      <c r="K206" s="17">
        <v>125.4</v>
      </c>
      <c r="L206" s="17">
        <v>114.4</v>
      </c>
      <c r="M206" s="17">
        <v>138.69999999999999</v>
      </c>
      <c r="N206" s="17">
        <v>133.1</v>
      </c>
      <c r="O206" s="17">
        <v>155.9</v>
      </c>
      <c r="P206" s="17">
        <v>141.30000000000001</v>
      </c>
      <c r="Q206" s="17">
        <v>157.69999999999999</v>
      </c>
      <c r="R206" s="17">
        <v>152.1</v>
      </c>
      <c r="S206" s="17">
        <v>146.1</v>
      </c>
      <c r="T206" s="17">
        <v>151.30000000000001</v>
      </c>
      <c r="U206" s="17">
        <v>146</v>
      </c>
      <c r="V206" s="17">
        <v>149</v>
      </c>
      <c r="W206" s="17">
        <v>144</v>
      </c>
      <c r="X206" s="17">
        <v>140</v>
      </c>
      <c r="Y206" s="17">
        <v>129.9</v>
      </c>
      <c r="Z206" s="17">
        <v>140</v>
      </c>
      <c r="AA206" s="17">
        <v>147.6</v>
      </c>
      <c r="AB206" s="17">
        <v>132</v>
      </c>
      <c r="AC206" s="17">
        <v>137.4</v>
      </c>
      <c r="AD206" s="18">
        <v>142.1</v>
      </c>
      <c r="AF206" s="16">
        <f>SUM('Working sheet'!$D206:$P206)</f>
        <v>1799.8000000000002</v>
      </c>
      <c r="AG206" s="17">
        <f>SUM('Working sheet'!$Q206)</f>
        <v>157.69999999999999</v>
      </c>
      <c r="AH206" s="17">
        <f>SUM('Working sheet'!$R206:$T206)</f>
        <v>449.5</v>
      </c>
      <c r="AI206" s="17">
        <f>SUM('Working sheet'!$U206)</f>
        <v>146</v>
      </c>
      <c r="AJ206" s="17">
        <f>SUM('Working sheet'!$V206)</f>
        <v>149</v>
      </c>
      <c r="AK206" s="18">
        <f>SUM('Working sheet'!$W206:$AC206)</f>
        <v>970.9</v>
      </c>
    </row>
    <row r="207" spans="1:37" hidden="1" x14ac:dyDescent="0.25">
      <c r="A207" s="13" t="s">
        <v>30</v>
      </c>
      <c r="B207" s="14">
        <v>2018</v>
      </c>
      <c r="C207" s="14" t="s">
        <v>39</v>
      </c>
      <c r="D207" s="14">
        <v>137</v>
      </c>
      <c r="E207" s="14">
        <v>143.1</v>
      </c>
      <c r="F207" s="14">
        <v>132.80000000000001</v>
      </c>
      <c r="G207" s="14">
        <v>141.5</v>
      </c>
      <c r="H207" s="14">
        <v>117.8</v>
      </c>
      <c r="I207" s="14">
        <v>140</v>
      </c>
      <c r="J207" s="14">
        <v>151.30000000000001</v>
      </c>
      <c r="K207" s="14">
        <v>113.5</v>
      </c>
      <c r="L207" s="14">
        <v>112.3</v>
      </c>
      <c r="M207" s="14">
        <v>141.19999999999999</v>
      </c>
      <c r="N207" s="14">
        <v>127.7</v>
      </c>
      <c r="O207" s="14">
        <v>151.30000000000001</v>
      </c>
      <c r="P207" s="14">
        <v>138.9</v>
      </c>
      <c r="Q207" s="14">
        <v>163.30000000000001</v>
      </c>
      <c r="R207" s="14">
        <v>140.80000000000001</v>
      </c>
      <c r="S207" s="14">
        <v>129.30000000000001</v>
      </c>
      <c r="T207" s="14">
        <v>139.1</v>
      </c>
      <c r="U207" s="14">
        <v>145.30000000000001</v>
      </c>
      <c r="V207" s="14">
        <v>131.19999999999999</v>
      </c>
      <c r="W207" s="14">
        <v>134.9</v>
      </c>
      <c r="X207" s="14">
        <v>135.69999999999999</v>
      </c>
      <c r="Y207" s="14">
        <v>122.5</v>
      </c>
      <c r="Z207" s="14">
        <v>130.19999999999999</v>
      </c>
      <c r="AA207" s="14">
        <v>145.19999999999999</v>
      </c>
      <c r="AB207" s="14">
        <v>129.30000000000001</v>
      </c>
      <c r="AC207" s="14">
        <v>131.9</v>
      </c>
      <c r="AD207" s="15">
        <v>138.1</v>
      </c>
      <c r="AF207" s="13">
        <f>SUM('Working sheet'!$D207:$P207)</f>
        <v>1748.4</v>
      </c>
      <c r="AG207" s="14">
        <f>SUM('Working sheet'!$Q207)</f>
        <v>163.30000000000001</v>
      </c>
      <c r="AH207" s="14">
        <f>SUM('Working sheet'!$R207:$T207)</f>
        <v>409.20000000000005</v>
      </c>
      <c r="AI207" s="14">
        <f>SUM('Working sheet'!$U207)</f>
        <v>145.30000000000001</v>
      </c>
      <c r="AJ207" s="14">
        <f>SUM('Working sheet'!$V207)</f>
        <v>131.19999999999999</v>
      </c>
      <c r="AK207" s="15">
        <f>SUM('Working sheet'!$W207:$AC207)</f>
        <v>929.69999999999993</v>
      </c>
    </row>
    <row r="208" spans="1:37" x14ac:dyDescent="0.25">
      <c r="A208" s="16" t="s">
        <v>31</v>
      </c>
      <c r="B208" s="17">
        <v>2018</v>
      </c>
      <c r="C208" s="17" t="s">
        <v>39</v>
      </c>
      <c r="D208" s="17">
        <v>138.6</v>
      </c>
      <c r="E208" s="17">
        <v>145.80000000000001</v>
      </c>
      <c r="F208" s="17">
        <v>135.1</v>
      </c>
      <c r="G208" s="17">
        <v>142.9</v>
      </c>
      <c r="H208" s="17">
        <v>122.1</v>
      </c>
      <c r="I208" s="17">
        <v>145.4</v>
      </c>
      <c r="J208" s="17">
        <v>150</v>
      </c>
      <c r="K208" s="17">
        <v>121.4</v>
      </c>
      <c r="L208" s="17">
        <v>113.7</v>
      </c>
      <c r="M208" s="17">
        <v>139.5</v>
      </c>
      <c r="N208" s="17">
        <v>130.80000000000001</v>
      </c>
      <c r="O208" s="17">
        <v>153.80000000000001</v>
      </c>
      <c r="P208" s="17">
        <v>140.4</v>
      </c>
      <c r="Q208" s="17">
        <v>159.19999999999999</v>
      </c>
      <c r="R208" s="17">
        <v>147.69999999999999</v>
      </c>
      <c r="S208" s="17">
        <v>139.1</v>
      </c>
      <c r="T208" s="17">
        <v>146.5</v>
      </c>
      <c r="U208" s="17">
        <v>145.30000000000001</v>
      </c>
      <c r="V208" s="17">
        <v>142.30000000000001</v>
      </c>
      <c r="W208" s="17">
        <v>139.69999999999999</v>
      </c>
      <c r="X208" s="17">
        <v>138.4</v>
      </c>
      <c r="Y208" s="17">
        <v>126</v>
      </c>
      <c r="Z208" s="17">
        <v>134.5</v>
      </c>
      <c r="AA208" s="17">
        <v>146.19999999999999</v>
      </c>
      <c r="AB208" s="17">
        <v>130.9</v>
      </c>
      <c r="AC208" s="17">
        <v>134.69999999999999</v>
      </c>
      <c r="AD208" s="18">
        <v>140.19999999999999</v>
      </c>
      <c r="AF208" s="16">
        <f>SUM('Working sheet'!$D208:$P208)</f>
        <v>1779.5</v>
      </c>
      <c r="AG208" s="17">
        <f>SUM('Working sheet'!$Q208)</f>
        <v>159.19999999999999</v>
      </c>
      <c r="AH208" s="17">
        <f>SUM('Working sheet'!$R208:$T208)</f>
        <v>433.29999999999995</v>
      </c>
      <c r="AI208" s="17">
        <f>SUM('Working sheet'!$U208)</f>
        <v>145.30000000000001</v>
      </c>
      <c r="AJ208" s="17">
        <f>SUM('Working sheet'!$V208)</f>
        <v>142.30000000000001</v>
      </c>
      <c r="AK208" s="18">
        <f>SUM('Working sheet'!$W208:$AC208)</f>
        <v>950.39999999999986</v>
      </c>
    </row>
    <row r="209" spans="1:37" hidden="1" x14ac:dyDescent="0.25">
      <c r="A209" s="13" t="s">
        <v>28</v>
      </c>
      <c r="B209" s="14">
        <v>2018</v>
      </c>
      <c r="C209" s="14" t="s">
        <v>40</v>
      </c>
      <c r="D209" s="14">
        <v>139.30000000000001</v>
      </c>
      <c r="E209" s="14">
        <v>147.6</v>
      </c>
      <c r="F209" s="14">
        <v>134.6</v>
      </c>
      <c r="G209" s="14">
        <v>141.9</v>
      </c>
      <c r="H209" s="14">
        <v>123.5</v>
      </c>
      <c r="I209" s="14">
        <v>144.5</v>
      </c>
      <c r="J209" s="14">
        <v>147.6</v>
      </c>
      <c r="K209" s="14">
        <v>121.4</v>
      </c>
      <c r="L209" s="14">
        <v>112.3</v>
      </c>
      <c r="M209" s="14">
        <v>139.5</v>
      </c>
      <c r="N209" s="14">
        <v>134.6</v>
      </c>
      <c r="O209" s="14">
        <v>155.19999999999999</v>
      </c>
      <c r="P209" s="14">
        <v>140.19999999999999</v>
      </c>
      <c r="Q209" s="14">
        <v>159.6</v>
      </c>
      <c r="R209" s="14">
        <v>150.69999999999999</v>
      </c>
      <c r="S209" s="14">
        <v>144.5</v>
      </c>
      <c r="T209" s="14">
        <v>149.80000000000001</v>
      </c>
      <c r="U209" s="14">
        <v>146.80000000000001</v>
      </c>
      <c r="V209" s="14">
        <v>149.69999999999999</v>
      </c>
      <c r="W209" s="14">
        <v>147.5</v>
      </c>
      <c r="X209" s="14">
        <v>144.80000000000001</v>
      </c>
      <c r="Y209" s="14">
        <v>130.80000000000001</v>
      </c>
      <c r="Z209" s="14">
        <v>140.1</v>
      </c>
      <c r="AA209" s="14">
        <v>148</v>
      </c>
      <c r="AB209" s="14">
        <v>134.4</v>
      </c>
      <c r="AC209" s="14">
        <v>139.80000000000001</v>
      </c>
      <c r="AD209" s="15">
        <v>142.19999999999999</v>
      </c>
      <c r="AF209" s="13">
        <f>SUM('Working sheet'!$D209:$P209)</f>
        <v>1782.2</v>
      </c>
      <c r="AG209" s="14">
        <f>SUM('Working sheet'!$Q209)</f>
        <v>159.6</v>
      </c>
      <c r="AH209" s="14">
        <f>SUM('Working sheet'!$R209:$T209)</f>
        <v>445</v>
      </c>
      <c r="AI209" s="14">
        <f>SUM('Working sheet'!$U209)</f>
        <v>146.80000000000001</v>
      </c>
      <c r="AJ209" s="14">
        <f>SUM('Working sheet'!$V209)</f>
        <v>149.69999999999999</v>
      </c>
      <c r="AK209" s="15">
        <f>SUM('Working sheet'!$W209:$AC209)</f>
        <v>985.40000000000009</v>
      </c>
    </row>
    <row r="210" spans="1:37" hidden="1" x14ac:dyDescent="0.25">
      <c r="A210" s="16" t="s">
        <v>30</v>
      </c>
      <c r="B210" s="17">
        <v>2018</v>
      </c>
      <c r="C210" s="17" t="s">
        <v>40</v>
      </c>
      <c r="D210" s="17">
        <v>137.6</v>
      </c>
      <c r="E210" s="17">
        <v>144.9</v>
      </c>
      <c r="F210" s="17">
        <v>133.5</v>
      </c>
      <c r="G210" s="17">
        <v>141.5</v>
      </c>
      <c r="H210" s="17">
        <v>118</v>
      </c>
      <c r="I210" s="17">
        <v>139.5</v>
      </c>
      <c r="J210" s="17">
        <v>153</v>
      </c>
      <c r="K210" s="17">
        <v>113.2</v>
      </c>
      <c r="L210" s="17">
        <v>112.8</v>
      </c>
      <c r="M210" s="17">
        <v>141.1</v>
      </c>
      <c r="N210" s="17">
        <v>127.6</v>
      </c>
      <c r="O210" s="17">
        <v>152</v>
      </c>
      <c r="P210" s="17">
        <v>139.4</v>
      </c>
      <c r="Q210" s="17">
        <v>164</v>
      </c>
      <c r="R210" s="17">
        <v>141.5</v>
      </c>
      <c r="S210" s="17">
        <v>129.80000000000001</v>
      </c>
      <c r="T210" s="17">
        <v>139.69999999999999</v>
      </c>
      <c r="U210" s="17">
        <v>146.30000000000001</v>
      </c>
      <c r="V210" s="17">
        <v>133.4</v>
      </c>
      <c r="W210" s="17">
        <v>135.1</v>
      </c>
      <c r="X210" s="17">
        <v>136.19999999999999</v>
      </c>
      <c r="Y210" s="17">
        <v>123.3</v>
      </c>
      <c r="Z210" s="17">
        <v>130.69999999999999</v>
      </c>
      <c r="AA210" s="17">
        <v>145.5</v>
      </c>
      <c r="AB210" s="17">
        <v>130.4</v>
      </c>
      <c r="AC210" s="17">
        <v>132.5</v>
      </c>
      <c r="AD210" s="18">
        <v>138.9</v>
      </c>
      <c r="AF210" s="16">
        <f>SUM('Working sheet'!$D210:$P210)</f>
        <v>1754.1</v>
      </c>
      <c r="AG210" s="17">
        <f>SUM('Working sheet'!$Q210)</f>
        <v>164</v>
      </c>
      <c r="AH210" s="17">
        <f>SUM('Working sheet'!$R210:$T210)</f>
        <v>411</v>
      </c>
      <c r="AI210" s="17">
        <f>SUM('Working sheet'!$U210)</f>
        <v>146.30000000000001</v>
      </c>
      <c r="AJ210" s="17">
        <f>SUM('Working sheet'!$V210)</f>
        <v>133.4</v>
      </c>
      <c r="AK210" s="18">
        <f>SUM('Working sheet'!$W210:$AC210)</f>
        <v>933.69999999999993</v>
      </c>
    </row>
    <row r="211" spans="1:37" x14ac:dyDescent="0.25">
      <c r="A211" s="13" t="s">
        <v>31</v>
      </c>
      <c r="B211" s="14">
        <v>2018</v>
      </c>
      <c r="C211" s="14" t="s">
        <v>40</v>
      </c>
      <c r="D211" s="14">
        <v>137.4</v>
      </c>
      <c r="E211" s="14">
        <v>149.5</v>
      </c>
      <c r="F211" s="14">
        <v>137.30000000000001</v>
      </c>
      <c r="G211" s="14">
        <v>141.9</v>
      </c>
      <c r="H211" s="14">
        <v>121.1</v>
      </c>
      <c r="I211" s="14">
        <v>142.5</v>
      </c>
      <c r="J211" s="14">
        <v>146.69999999999999</v>
      </c>
      <c r="K211" s="14">
        <v>119.1</v>
      </c>
      <c r="L211" s="14">
        <v>111.9</v>
      </c>
      <c r="M211" s="14">
        <v>141</v>
      </c>
      <c r="N211" s="14">
        <v>133.6</v>
      </c>
      <c r="O211" s="14">
        <v>154.5</v>
      </c>
      <c r="P211" s="14">
        <v>139.69999999999999</v>
      </c>
      <c r="Q211" s="14">
        <v>162.6</v>
      </c>
      <c r="R211" s="14">
        <v>148</v>
      </c>
      <c r="S211" s="14">
        <v>139.19999999999999</v>
      </c>
      <c r="T211" s="14">
        <v>146.80000000000001</v>
      </c>
      <c r="U211" s="14">
        <v>146.9</v>
      </c>
      <c r="V211" s="14">
        <v>145.30000000000001</v>
      </c>
      <c r="W211" s="14">
        <v>142.19999999999999</v>
      </c>
      <c r="X211" s="14">
        <v>142.1</v>
      </c>
      <c r="Y211" s="14">
        <v>125.5</v>
      </c>
      <c r="Z211" s="14">
        <v>136.5</v>
      </c>
      <c r="AA211" s="14">
        <v>147.80000000000001</v>
      </c>
      <c r="AB211" s="14">
        <v>132</v>
      </c>
      <c r="AC211" s="14">
        <v>136.30000000000001</v>
      </c>
      <c r="AD211" s="15">
        <v>140.80000000000001</v>
      </c>
      <c r="AF211" s="13">
        <f>SUM('Working sheet'!$D211:$P211)</f>
        <v>1776.2</v>
      </c>
      <c r="AG211" s="14">
        <f>SUM('Working sheet'!$Q211)</f>
        <v>162.6</v>
      </c>
      <c r="AH211" s="14">
        <f>SUM('Working sheet'!$R211:$T211)</f>
        <v>434</v>
      </c>
      <c r="AI211" s="14">
        <f>SUM('Working sheet'!$U211)</f>
        <v>146.9</v>
      </c>
      <c r="AJ211" s="14">
        <f>SUM('Working sheet'!$V211)</f>
        <v>145.30000000000001</v>
      </c>
      <c r="AK211" s="15">
        <f>SUM('Working sheet'!$W211:$AC211)</f>
        <v>962.39999999999986</v>
      </c>
    </row>
    <row r="212" spans="1:37" hidden="1" x14ac:dyDescent="0.25">
      <c r="A212" s="16" t="s">
        <v>28</v>
      </c>
      <c r="B212" s="17">
        <v>2018</v>
      </c>
      <c r="C212" s="17" t="s">
        <v>42</v>
      </c>
      <c r="D212" s="17">
        <v>137.1</v>
      </c>
      <c r="E212" s="17">
        <v>150.80000000000001</v>
      </c>
      <c r="F212" s="17">
        <v>136.69999999999999</v>
      </c>
      <c r="G212" s="17">
        <v>141.9</v>
      </c>
      <c r="H212" s="17">
        <v>122.8</v>
      </c>
      <c r="I212" s="17">
        <v>143.9</v>
      </c>
      <c r="J212" s="17">
        <v>147.5</v>
      </c>
      <c r="K212" s="17">
        <v>121</v>
      </c>
      <c r="L212" s="17">
        <v>111.6</v>
      </c>
      <c r="M212" s="17">
        <v>140.6</v>
      </c>
      <c r="N212" s="17">
        <v>137.5</v>
      </c>
      <c r="O212" s="17">
        <v>156.1</v>
      </c>
      <c r="P212" s="17">
        <v>140</v>
      </c>
      <c r="Q212" s="17">
        <v>161.9</v>
      </c>
      <c r="R212" s="17">
        <v>151.69999999999999</v>
      </c>
      <c r="S212" s="17">
        <v>145.5</v>
      </c>
      <c r="T212" s="17">
        <v>150.80000000000001</v>
      </c>
      <c r="U212" s="17">
        <v>146.69999999999999</v>
      </c>
      <c r="V212" s="17">
        <v>150.30000000000001</v>
      </c>
      <c r="W212" s="17">
        <v>148</v>
      </c>
      <c r="X212" s="17">
        <v>145.4</v>
      </c>
      <c r="Y212" s="17">
        <v>130.30000000000001</v>
      </c>
      <c r="Z212" s="17">
        <v>143.1</v>
      </c>
      <c r="AA212" s="17">
        <v>150.19999999999999</v>
      </c>
      <c r="AB212" s="17">
        <v>133.1</v>
      </c>
      <c r="AC212" s="17">
        <v>140.1</v>
      </c>
      <c r="AD212" s="18">
        <v>142.4</v>
      </c>
      <c r="AF212" s="16">
        <f>SUM('Working sheet'!$D212:$P212)</f>
        <v>1787.4999999999995</v>
      </c>
      <c r="AG212" s="17">
        <f>SUM('Working sheet'!$Q212)</f>
        <v>161.9</v>
      </c>
      <c r="AH212" s="17">
        <f>SUM('Working sheet'!$R212:$T212)</f>
        <v>448</v>
      </c>
      <c r="AI212" s="17">
        <f>SUM('Working sheet'!$U212)</f>
        <v>146.69999999999999</v>
      </c>
      <c r="AJ212" s="17">
        <f>SUM('Working sheet'!$V212)</f>
        <v>150.30000000000001</v>
      </c>
      <c r="AK212" s="18">
        <f>SUM('Working sheet'!$W212:$AC212)</f>
        <v>990.2</v>
      </c>
    </row>
    <row r="213" spans="1:37" hidden="1" x14ac:dyDescent="0.25">
      <c r="A213" s="13" t="s">
        <v>30</v>
      </c>
      <c r="B213" s="14">
        <v>2018</v>
      </c>
      <c r="C213" s="14" t="s">
        <v>42</v>
      </c>
      <c r="D213" s="14">
        <v>138.1</v>
      </c>
      <c r="E213" s="14">
        <v>146.30000000000001</v>
      </c>
      <c r="F213" s="14">
        <v>137.80000000000001</v>
      </c>
      <c r="G213" s="14">
        <v>141.6</v>
      </c>
      <c r="H213" s="14">
        <v>118.1</v>
      </c>
      <c r="I213" s="14">
        <v>141.5</v>
      </c>
      <c r="J213" s="14">
        <v>145.19999999999999</v>
      </c>
      <c r="K213" s="14">
        <v>115.3</v>
      </c>
      <c r="L213" s="14">
        <v>112.5</v>
      </c>
      <c r="M213" s="14">
        <v>141.4</v>
      </c>
      <c r="N213" s="14">
        <v>128</v>
      </c>
      <c r="O213" s="14">
        <v>152.6</v>
      </c>
      <c r="P213" s="14">
        <v>139.1</v>
      </c>
      <c r="Q213" s="14">
        <v>164.4</v>
      </c>
      <c r="R213" s="14">
        <v>142.4</v>
      </c>
      <c r="S213" s="14">
        <v>130.19999999999999</v>
      </c>
      <c r="T213" s="14">
        <v>140.5</v>
      </c>
      <c r="U213" s="14">
        <v>146.9</v>
      </c>
      <c r="V213" s="14">
        <v>136.69999999999999</v>
      </c>
      <c r="W213" s="14">
        <v>135.80000000000001</v>
      </c>
      <c r="X213" s="14">
        <v>136.80000000000001</v>
      </c>
      <c r="Y213" s="14">
        <v>121.2</v>
      </c>
      <c r="Z213" s="14">
        <v>131.30000000000001</v>
      </c>
      <c r="AA213" s="14">
        <v>146.1</v>
      </c>
      <c r="AB213" s="14">
        <v>130.5</v>
      </c>
      <c r="AC213" s="14">
        <v>132.19999999999999</v>
      </c>
      <c r="AD213" s="15">
        <v>139</v>
      </c>
      <c r="AF213" s="13">
        <f>SUM('Working sheet'!$D213:$P213)</f>
        <v>1757.4999999999998</v>
      </c>
      <c r="AG213" s="14">
        <f>SUM('Working sheet'!$Q213)</f>
        <v>164.4</v>
      </c>
      <c r="AH213" s="14">
        <f>SUM('Working sheet'!$R213:$T213)</f>
        <v>413.1</v>
      </c>
      <c r="AI213" s="14">
        <f>SUM('Working sheet'!$U213)</f>
        <v>146.9</v>
      </c>
      <c r="AJ213" s="14">
        <f>SUM('Working sheet'!$V213)</f>
        <v>136.69999999999999</v>
      </c>
      <c r="AK213" s="15">
        <f>SUM('Working sheet'!$W213:$AC213)</f>
        <v>933.90000000000009</v>
      </c>
    </row>
    <row r="214" spans="1:37" x14ac:dyDescent="0.25">
      <c r="A214" s="16" t="s">
        <v>31</v>
      </c>
      <c r="B214" s="17">
        <v>2018</v>
      </c>
      <c r="C214" s="17" t="s">
        <v>42</v>
      </c>
      <c r="D214" s="17">
        <v>137.4</v>
      </c>
      <c r="E214" s="17">
        <v>149.19999999999999</v>
      </c>
      <c r="F214" s="17">
        <v>137.1</v>
      </c>
      <c r="G214" s="17">
        <v>141.80000000000001</v>
      </c>
      <c r="H214" s="17">
        <v>121.1</v>
      </c>
      <c r="I214" s="17">
        <v>142.80000000000001</v>
      </c>
      <c r="J214" s="17">
        <v>146.69999999999999</v>
      </c>
      <c r="K214" s="17">
        <v>119.1</v>
      </c>
      <c r="L214" s="17">
        <v>111.9</v>
      </c>
      <c r="M214" s="17">
        <v>140.9</v>
      </c>
      <c r="N214" s="17">
        <v>133.5</v>
      </c>
      <c r="O214" s="17">
        <v>154.5</v>
      </c>
      <c r="P214" s="17">
        <v>139.69999999999999</v>
      </c>
      <c r="Q214" s="17">
        <v>162.6</v>
      </c>
      <c r="R214" s="17">
        <v>148</v>
      </c>
      <c r="S214" s="17">
        <v>139.1</v>
      </c>
      <c r="T214" s="17">
        <v>146.69999999999999</v>
      </c>
      <c r="U214" s="17">
        <v>146.9</v>
      </c>
      <c r="V214" s="17">
        <v>145.1</v>
      </c>
      <c r="W214" s="17">
        <v>142.19999999999999</v>
      </c>
      <c r="X214" s="17">
        <v>142.1</v>
      </c>
      <c r="Y214" s="17">
        <v>125.5</v>
      </c>
      <c r="Z214" s="17">
        <v>136.5</v>
      </c>
      <c r="AA214" s="17">
        <v>147.80000000000001</v>
      </c>
      <c r="AB214" s="17">
        <v>132</v>
      </c>
      <c r="AC214" s="17">
        <v>136.30000000000001</v>
      </c>
      <c r="AD214" s="18">
        <v>140.80000000000001</v>
      </c>
      <c r="AF214" s="16">
        <f>SUM('Working sheet'!$D214:$P214)</f>
        <v>1775.7000000000003</v>
      </c>
      <c r="AG214" s="17">
        <f>SUM('Working sheet'!$Q214)</f>
        <v>162.6</v>
      </c>
      <c r="AH214" s="17">
        <f>SUM('Working sheet'!$R214:$T214)</f>
        <v>433.8</v>
      </c>
      <c r="AI214" s="17">
        <f>SUM('Working sheet'!$U214)</f>
        <v>146.9</v>
      </c>
      <c r="AJ214" s="17">
        <f>SUM('Working sheet'!$V214)</f>
        <v>145.1</v>
      </c>
      <c r="AK214" s="18">
        <f>SUM('Working sheet'!$W214:$AC214)</f>
        <v>962.39999999999986</v>
      </c>
    </row>
    <row r="215" spans="1:37" hidden="1" x14ac:dyDescent="0.25">
      <c r="A215" s="13" t="s">
        <v>28</v>
      </c>
      <c r="B215" s="14">
        <v>2018</v>
      </c>
      <c r="C215" s="14" t="s">
        <v>43</v>
      </c>
      <c r="D215" s="14">
        <v>137.1</v>
      </c>
      <c r="E215" s="14">
        <v>151.9</v>
      </c>
      <c r="F215" s="14">
        <v>137.4</v>
      </c>
      <c r="G215" s="14">
        <v>142.4</v>
      </c>
      <c r="H215" s="14">
        <v>124.2</v>
      </c>
      <c r="I215" s="14">
        <v>140.19999999999999</v>
      </c>
      <c r="J215" s="14">
        <v>136.6</v>
      </c>
      <c r="K215" s="14">
        <v>120.9</v>
      </c>
      <c r="L215" s="14">
        <v>109.9</v>
      </c>
      <c r="M215" s="14">
        <v>140.19999999999999</v>
      </c>
      <c r="N215" s="14">
        <v>137.80000000000001</v>
      </c>
      <c r="O215" s="14">
        <v>156</v>
      </c>
      <c r="P215" s="14">
        <v>138.5</v>
      </c>
      <c r="Q215" s="14">
        <v>162.4</v>
      </c>
      <c r="R215" s="14">
        <v>151.6</v>
      </c>
      <c r="S215" s="14">
        <v>145.9</v>
      </c>
      <c r="T215" s="14">
        <v>150.80000000000001</v>
      </c>
      <c r="U215" s="14">
        <v>147.1</v>
      </c>
      <c r="V215" s="14">
        <v>149</v>
      </c>
      <c r="W215" s="14">
        <v>149.5</v>
      </c>
      <c r="X215" s="14">
        <v>149.6</v>
      </c>
      <c r="Y215" s="14">
        <v>128.9</v>
      </c>
      <c r="Z215" s="14">
        <v>143.30000000000001</v>
      </c>
      <c r="AA215" s="14">
        <v>155.1</v>
      </c>
      <c r="AB215" s="14">
        <v>133.19999999999999</v>
      </c>
      <c r="AC215" s="14">
        <v>141.6</v>
      </c>
      <c r="AD215" s="15">
        <v>141.9</v>
      </c>
      <c r="AF215" s="13">
        <f>SUM('Working sheet'!$D215:$P215)</f>
        <v>1773.1000000000001</v>
      </c>
      <c r="AG215" s="14">
        <f>SUM('Working sheet'!$Q215)</f>
        <v>162.4</v>
      </c>
      <c r="AH215" s="14">
        <f>SUM('Working sheet'!$R215:$T215)</f>
        <v>448.3</v>
      </c>
      <c r="AI215" s="14">
        <f>SUM('Working sheet'!$U215)</f>
        <v>147.1</v>
      </c>
      <c r="AJ215" s="14">
        <f>SUM('Working sheet'!$V215)</f>
        <v>149</v>
      </c>
      <c r="AK215" s="15">
        <f>SUM('Working sheet'!$W215:$AC215)</f>
        <v>1001.1999999999999</v>
      </c>
    </row>
    <row r="216" spans="1:37" hidden="1" x14ac:dyDescent="0.25">
      <c r="A216" s="16" t="s">
        <v>30</v>
      </c>
      <c r="B216" s="17">
        <v>2018</v>
      </c>
      <c r="C216" s="17" t="s">
        <v>43</v>
      </c>
      <c r="D216" s="17">
        <v>138.5</v>
      </c>
      <c r="E216" s="17">
        <v>147.80000000000001</v>
      </c>
      <c r="F216" s="17">
        <v>141.1</v>
      </c>
      <c r="G216" s="17">
        <v>141.6</v>
      </c>
      <c r="H216" s="17">
        <v>118.1</v>
      </c>
      <c r="I216" s="17">
        <v>138.5</v>
      </c>
      <c r="J216" s="17">
        <v>132.4</v>
      </c>
      <c r="K216" s="17">
        <v>117.5</v>
      </c>
      <c r="L216" s="17">
        <v>111</v>
      </c>
      <c r="M216" s="17">
        <v>141.5</v>
      </c>
      <c r="N216" s="17">
        <v>128.1</v>
      </c>
      <c r="O216" s="17">
        <v>152.9</v>
      </c>
      <c r="P216" s="17">
        <v>137.6</v>
      </c>
      <c r="Q216" s="17">
        <v>164.6</v>
      </c>
      <c r="R216" s="17">
        <v>142.69999999999999</v>
      </c>
      <c r="S216" s="17">
        <v>130.30000000000001</v>
      </c>
      <c r="T216" s="17">
        <v>140.80000000000001</v>
      </c>
      <c r="U216" s="17">
        <v>146.5</v>
      </c>
      <c r="V216" s="17">
        <v>132.4</v>
      </c>
      <c r="W216" s="17">
        <v>136.19999999999999</v>
      </c>
      <c r="X216" s="17">
        <v>137.30000000000001</v>
      </c>
      <c r="Y216" s="17">
        <v>118.8</v>
      </c>
      <c r="Z216" s="17">
        <v>131.69999999999999</v>
      </c>
      <c r="AA216" s="17">
        <v>146.5</v>
      </c>
      <c r="AB216" s="17">
        <v>130.80000000000001</v>
      </c>
      <c r="AC216" s="17">
        <v>131.69999999999999</v>
      </c>
      <c r="AD216" s="18">
        <v>138</v>
      </c>
      <c r="AF216" s="16">
        <f>SUM('Working sheet'!$D216:$P216)</f>
        <v>1746.6</v>
      </c>
      <c r="AG216" s="17">
        <f>SUM('Working sheet'!$Q216)</f>
        <v>164.6</v>
      </c>
      <c r="AH216" s="17">
        <f>SUM('Working sheet'!$R216:$T216)</f>
        <v>413.8</v>
      </c>
      <c r="AI216" s="17">
        <f>SUM('Working sheet'!$U216)</f>
        <v>146.5</v>
      </c>
      <c r="AJ216" s="17">
        <f>SUM('Working sheet'!$V216)</f>
        <v>132.4</v>
      </c>
      <c r="AK216" s="18">
        <f>SUM('Working sheet'!$W216:$AC216)</f>
        <v>933</v>
      </c>
    </row>
    <row r="217" spans="1:37" x14ac:dyDescent="0.25">
      <c r="A217" s="13" t="s">
        <v>31</v>
      </c>
      <c r="B217" s="14">
        <v>2018</v>
      </c>
      <c r="C217" s="14" t="s">
        <v>43</v>
      </c>
      <c r="D217" s="14">
        <v>137.5</v>
      </c>
      <c r="E217" s="14">
        <v>150.5</v>
      </c>
      <c r="F217" s="14">
        <v>138.80000000000001</v>
      </c>
      <c r="G217" s="14">
        <v>142.1</v>
      </c>
      <c r="H217" s="14">
        <v>122</v>
      </c>
      <c r="I217" s="14">
        <v>139.4</v>
      </c>
      <c r="J217" s="14">
        <v>135.19999999999999</v>
      </c>
      <c r="K217" s="14">
        <v>119.8</v>
      </c>
      <c r="L217" s="14">
        <v>110.3</v>
      </c>
      <c r="M217" s="14">
        <v>140.6</v>
      </c>
      <c r="N217" s="14">
        <v>133.80000000000001</v>
      </c>
      <c r="O217" s="14">
        <v>154.6</v>
      </c>
      <c r="P217" s="14">
        <v>138.19999999999999</v>
      </c>
      <c r="Q217" s="14">
        <v>163</v>
      </c>
      <c r="R217" s="14">
        <v>148.1</v>
      </c>
      <c r="S217" s="14">
        <v>139.4</v>
      </c>
      <c r="T217" s="14">
        <v>146.80000000000001</v>
      </c>
      <c r="U217" s="14">
        <v>146.5</v>
      </c>
      <c r="V217" s="14">
        <v>142.69999999999999</v>
      </c>
      <c r="W217" s="14">
        <v>143.19999999999999</v>
      </c>
      <c r="X217" s="14">
        <v>144.9</v>
      </c>
      <c r="Y217" s="14">
        <v>123.6</v>
      </c>
      <c r="Z217" s="14">
        <v>136.80000000000001</v>
      </c>
      <c r="AA217" s="14">
        <v>150.1</v>
      </c>
      <c r="AB217" s="14">
        <v>132.19999999999999</v>
      </c>
      <c r="AC217" s="14">
        <v>136.80000000000001</v>
      </c>
      <c r="AD217" s="15">
        <v>140.1</v>
      </c>
      <c r="AF217" s="13">
        <f>SUM('Working sheet'!$D217:$P217)</f>
        <v>1762.7999999999997</v>
      </c>
      <c r="AG217" s="14">
        <f>SUM('Working sheet'!$Q217)</f>
        <v>163</v>
      </c>
      <c r="AH217" s="14">
        <f>SUM('Working sheet'!$R217:$T217)</f>
        <v>434.3</v>
      </c>
      <c r="AI217" s="14">
        <f>SUM('Working sheet'!$U217)</f>
        <v>146.5</v>
      </c>
      <c r="AJ217" s="14">
        <f>SUM('Working sheet'!$V217)</f>
        <v>142.69999999999999</v>
      </c>
      <c r="AK217" s="15">
        <f>SUM('Working sheet'!$W217:$AC217)</f>
        <v>967.59999999999991</v>
      </c>
    </row>
    <row r="218" spans="1:37" hidden="1" x14ac:dyDescent="0.25">
      <c r="A218" s="16" t="s">
        <v>28</v>
      </c>
      <c r="B218" s="17">
        <v>2019</v>
      </c>
      <c r="C218" s="17" t="s">
        <v>29</v>
      </c>
      <c r="D218" s="17">
        <v>136.6</v>
      </c>
      <c r="E218" s="17">
        <v>152.5</v>
      </c>
      <c r="F218" s="17">
        <v>138.19999999999999</v>
      </c>
      <c r="G218" s="17">
        <v>142.4</v>
      </c>
      <c r="H218" s="17">
        <v>123.9</v>
      </c>
      <c r="I218" s="17">
        <v>135.5</v>
      </c>
      <c r="J218" s="17">
        <v>131.69999999999999</v>
      </c>
      <c r="K218" s="17">
        <v>121.3</v>
      </c>
      <c r="L218" s="17">
        <v>108.4</v>
      </c>
      <c r="M218" s="17">
        <v>138.9</v>
      </c>
      <c r="N218" s="17">
        <v>137</v>
      </c>
      <c r="O218" s="17">
        <v>155.80000000000001</v>
      </c>
      <c r="P218" s="17">
        <v>137.4</v>
      </c>
      <c r="Q218" s="17">
        <v>162.69999999999999</v>
      </c>
      <c r="R218" s="17">
        <v>150.6</v>
      </c>
      <c r="S218" s="17">
        <v>145.1</v>
      </c>
      <c r="T218" s="17">
        <v>149.9</v>
      </c>
      <c r="U218" s="17">
        <v>148.1</v>
      </c>
      <c r="V218" s="17">
        <v>146.19999999999999</v>
      </c>
      <c r="W218" s="17">
        <v>150.1</v>
      </c>
      <c r="X218" s="17">
        <v>149.6</v>
      </c>
      <c r="Y218" s="17">
        <v>128.6</v>
      </c>
      <c r="Z218" s="17">
        <v>142.9</v>
      </c>
      <c r="AA218" s="17">
        <v>155.19999999999999</v>
      </c>
      <c r="AB218" s="17">
        <v>133.5</v>
      </c>
      <c r="AC218" s="17">
        <v>141.69999999999999</v>
      </c>
      <c r="AD218" s="18">
        <v>141</v>
      </c>
      <c r="AF218" s="16">
        <f>SUM('Working sheet'!$D218:$P218)</f>
        <v>1759.6000000000001</v>
      </c>
      <c r="AG218" s="17">
        <f>SUM('Working sheet'!$Q218)</f>
        <v>162.69999999999999</v>
      </c>
      <c r="AH218" s="17">
        <f>SUM('Working sheet'!$R218:$T218)</f>
        <v>445.6</v>
      </c>
      <c r="AI218" s="17">
        <f>SUM('Working sheet'!$U218)</f>
        <v>148.1</v>
      </c>
      <c r="AJ218" s="17">
        <f>SUM('Working sheet'!$V218)</f>
        <v>146.19999999999999</v>
      </c>
      <c r="AK218" s="18">
        <f>SUM('Working sheet'!$W218:$AC218)</f>
        <v>1001.5999999999999</v>
      </c>
    </row>
    <row r="219" spans="1:37" hidden="1" x14ac:dyDescent="0.25">
      <c r="A219" s="13" t="s">
        <v>30</v>
      </c>
      <c r="B219" s="14">
        <v>2019</v>
      </c>
      <c r="C219" s="14" t="s">
        <v>29</v>
      </c>
      <c r="D219" s="14">
        <v>138.30000000000001</v>
      </c>
      <c r="E219" s="14">
        <v>149.4</v>
      </c>
      <c r="F219" s="14">
        <v>143.5</v>
      </c>
      <c r="G219" s="14">
        <v>141.69999999999999</v>
      </c>
      <c r="H219" s="14">
        <v>118.1</v>
      </c>
      <c r="I219" s="14">
        <v>135.19999999999999</v>
      </c>
      <c r="J219" s="14">
        <v>130.5</v>
      </c>
      <c r="K219" s="14">
        <v>118.2</v>
      </c>
      <c r="L219" s="14">
        <v>110.4</v>
      </c>
      <c r="M219" s="14">
        <v>140.4</v>
      </c>
      <c r="N219" s="14">
        <v>128.1</v>
      </c>
      <c r="O219" s="14">
        <v>153.19999999999999</v>
      </c>
      <c r="P219" s="14">
        <v>137.30000000000001</v>
      </c>
      <c r="Q219" s="14">
        <v>164.7</v>
      </c>
      <c r="R219" s="14">
        <v>143</v>
      </c>
      <c r="S219" s="14">
        <v>130.4</v>
      </c>
      <c r="T219" s="14">
        <v>141.1</v>
      </c>
      <c r="U219" s="14">
        <v>147.69999999999999</v>
      </c>
      <c r="V219" s="14">
        <v>128.6</v>
      </c>
      <c r="W219" s="14">
        <v>136.30000000000001</v>
      </c>
      <c r="X219" s="14">
        <v>137.80000000000001</v>
      </c>
      <c r="Y219" s="14">
        <v>118.6</v>
      </c>
      <c r="Z219" s="14">
        <v>131.9</v>
      </c>
      <c r="AA219" s="14">
        <v>146.6</v>
      </c>
      <c r="AB219" s="14">
        <v>131.69999999999999</v>
      </c>
      <c r="AC219" s="14">
        <v>131.80000000000001</v>
      </c>
      <c r="AD219" s="15">
        <v>138</v>
      </c>
      <c r="AF219" s="13">
        <f>SUM('Working sheet'!$D219:$P219)</f>
        <v>1744.3000000000002</v>
      </c>
      <c r="AG219" s="14">
        <f>SUM('Working sheet'!$Q219)</f>
        <v>164.7</v>
      </c>
      <c r="AH219" s="14">
        <f>SUM('Working sheet'!$R219:$T219)</f>
        <v>414.5</v>
      </c>
      <c r="AI219" s="14">
        <f>SUM('Working sheet'!$U219)</f>
        <v>147.69999999999999</v>
      </c>
      <c r="AJ219" s="14">
        <f>SUM('Working sheet'!$V219)</f>
        <v>128.6</v>
      </c>
      <c r="AK219" s="15">
        <f>SUM('Working sheet'!$W219:$AC219)</f>
        <v>934.7</v>
      </c>
    </row>
    <row r="220" spans="1:37" x14ac:dyDescent="0.25">
      <c r="A220" s="16" t="s">
        <v>31</v>
      </c>
      <c r="B220" s="17">
        <v>2019</v>
      </c>
      <c r="C220" s="17" t="s">
        <v>29</v>
      </c>
      <c r="D220" s="17">
        <v>137.1</v>
      </c>
      <c r="E220" s="17">
        <v>151.4</v>
      </c>
      <c r="F220" s="17">
        <v>140.19999999999999</v>
      </c>
      <c r="G220" s="17">
        <v>142.1</v>
      </c>
      <c r="H220" s="17">
        <v>121.8</v>
      </c>
      <c r="I220" s="17">
        <v>135.4</v>
      </c>
      <c r="J220" s="17">
        <v>131.30000000000001</v>
      </c>
      <c r="K220" s="17">
        <v>120.3</v>
      </c>
      <c r="L220" s="17">
        <v>109.1</v>
      </c>
      <c r="M220" s="17">
        <v>139.4</v>
      </c>
      <c r="N220" s="17">
        <v>133.30000000000001</v>
      </c>
      <c r="O220" s="17">
        <v>154.6</v>
      </c>
      <c r="P220" s="17">
        <v>137.4</v>
      </c>
      <c r="Q220" s="17">
        <v>163.19999999999999</v>
      </c>
      <c r="R220" s="17">
        <v>147.6</v>
      </c>
      <c r="S220" s="17">
        <v>139</v>
      </c>
      <c r="T220" s="17">
        <v>146.4</v>
      </c>
      <c r="U220" s="17">
        <v>147.69999999999999</v>
      </c>
      <c r="V220" s="17">
        <v>139.5</v>
      </c>
      <c r="W220" s="17">
        <v>143.6</v>
      </c>
      <c r="X220" s="17">
        <v>145.1</v>
      </c>
      <c r="Y220" s="17">
        <v>123.3</v>
      </c>
      <c r="Z220" s="17">
        <v>136.69999999999999</v>
      </c>
      <c r="AA220" s="17">
        <v>150.19999999999999</v>
      </c>
      <c r="AB220" s="17">
        <v>132.80000000000001</v>
      </c>
      <c r="AC220" s="17">
        <v>136.9</v>
      </c>
      <c r="AD220" s="18">
        <v>139.6</v>
      </c>
      <c r="AF220" s="16">
        <f>SUM('Working sheet'!$D220:$P220)</f>
        <v>1753.3999999999999</v>
      </c>
      <c r="AG220" s="17">
        <f>SUM('Working sheet'!$Q220)</f>
        <v>163.19999999999999</v>
      </c>
      <c r="AH220" s="17">
        <f>SUM('Working sheet'!$R220:$T220)</f>
        <v>433</v>
      </c>
      <c r="AI220" s="17">
        <f>SUM('Working sheet'!$U220)</f>
        <v>147.69999999999999</v>
      </c>
      <c r="AJ220" s="17">
        <f>SUM('Working sheet'!$V220)</f>
        <v>139.5</v>
      </c>
      <c r="AK220" s="18">
        <f>SUM('Working sheet'!$W220:$AC220)</f>
        <v>968.6</v>
      </c>
    </row>
    <row r="221" spans="1:37" hidden="1" x14ac:dyDescent="0.25">
      <c r="A221" s="13" t="s">
        <v>28</v>
      </c>
      <c r="B221" s="14">
        <v>2019</v>
      </c>
      <c r="C221" s="14" t="s">
        <v>32</v>
      </c>
      <c r="D221" s="14">
        <v>136.80000000000001</v>
      </c>
      <c r="E221" s="14">
        <v>153</v>
      </c>
      <c r="F221" s="14">
        <v>139.1</v>
      </c>
      <c r="G221" s="14">
        <v>142.5</v>
      </c>
      <c r="H221" s="14">
        <v>124.1</v>
      </c>
      <c r="I221" s="14">
        <v>135.80000000000001</v>
      </c>
      <c r="J221" s="14">
        <v>128.69999999999999</v>
      </c>
      <c r="K221" s="14">
        <v>121.5</v>
      </c>
      <c r="L221" s="14">
        <v>108.3</v>
      </c>
      <c r="M221" s="14">
        <v>139.19999999999999</v>
      </c>
      <c r="N221" s="14">
        <v>137.4</v>
      </c>
      <c r="O221" s="14">
        <v>156.19999999999999</v>
      </c>
      <c r="P221" s="14">
        <v>137.19999999999999</v>
      </c>
      <c r="Q221" s="14">
        <v>162.80000000000001</v>
      </c>
      <c r="R221" s="14">
        <v>150.5</v>
      </c>
      <c r="S221" s="14">
        <v>146.1</v>
      </c>
      <c r="T221" s="14">
        <v>149.9</v>
      </c>
      <c r="U221" s="14">
        <v>148.80000000000001</v>
      </c>
      <c r="V221" s="14">
        <v>145.30000000000001</v>
      </c>
      <c r="W221" s="14">
        <v>150.1</v>
      </c>
      <c r="X221" s="14">
        <v>149.9</v>
      </c>
      <c r="Y221" s="14">
        <v>129.19999999999999</v>
      </c>
      <c r="Z221" s="14">
        <v>143.4</v>
      </c>
      <c r="AA221" s="14">
        <v>155.5</v>
      </c>
      <c r="AB221" s="14">
        <v>134.9</v>
      </c>
      <c r="AC221" s="14">
        <v>142.19999999999999</v>
      </c>
      <c r="AD221" s="15">
        <v>141</v>
      </c>
      <c r="AF221" s="13">
        <f>SUM('Working sheet'!$D221:$P221)</f>
        <v>1759.8000000000002</v>
      </c>
      <c r="AG221" s="14">
        <f>SUM('Working sheet'!$Q221)</f>
        <v>162.80000000000001</v>
      </c>
      <c r="AH221" s="14">
        <f>SUM('Working sheet'!$R221:$T221)</f>
        <v>446.5</v>
      </c>
      <c r="AI221" s="14">
        <f>SUM('Working sheet'!$U221)</f>
        <v>148.80000000000001</v>
      </c>
      <c r="AJ221" s="14">
        <f>SUM('Working sheet'!$V221)</f>
        <v>145.30000000000001</v>
      </c>
      <c r="AK221" s="15">
        <f>SUM('Working sheet'!$W221:$AC221)</f>
        <v>1005.2</v>
      </c>
    </row>
    <row r="222" spans="1:37" hidden="1" x14ac:dyDescent="0.25">
      <c r="A222" s="16" t="s">
        <v>30</v>
      </c>
      <c r="B222" s="17">
        <v>2019</v>
      </c>
      <c r="C222" s="17" t="s">
        <v>32</v>
      </c>
      <c r="D222" s="17">
        <v>139.4</v>
      </c>
      <c r="E222" s="17">
        <v>150.1</v>
      </c>
      <c r="F222" s="17">
        <v>145.30000000000001</v>
      </c>
      <c r="G222" s="17">
        <v>141.69999999999999</v>
      </c>
      <c r="H222" s="17">
        <v>118.4</v>
      </c>
      <c r="I222" s="17">
        <v>137</v>
      </c>
      <c r="J222" s="17">
        <v>131.6</v>
      </c>
      <c r="K222" s="17">
        <v>119.9</v>
      </c>
      <c r="L222" s="17">
        <v>110.4</v>
      </c>
      <c r="M222" s="17">
        <v>140.80000000000001</v>
      </c>
      <c r="N222" s="17">
        <v>128.30000000000001</v>
      </c>
      <c r="O222" s="17">
        <v>153.5</v>
      </c>
      <c r="P222" s="17">
        <v>138</v>
      </c>
      <c r="Q222" s="17">
        <v>164.9</v>
      </c>
      <c r="R222" s="17">
        <v>143.30000000000001</v>
      </c>
      <c r="S222" s="17">
        <v>130.80000000000001</v>
      </c>
      <c r="T222" s="17">
        <v>141.4</v>
      </c>
      <c r="U222" s="17">
        <v>148.5</v>
      </c>
      <c r="V222" s="17">
        <v>127.1</v>
      </c>
      <c r="W222" s="17">
        <v>136.6</v>
      </c>
      <c r="X222" s="17">
        <v>138.5</v>
      </c>
      <c r="Y222" s="17">
        <v>119.2</v>
      </c>
      <c r="Z222" s="17">
        <v>132.19999999999999</v>
      </c>
      <c r="AA222" s="17">
        <v>146.6</v>
      </c>
      <c r="AB222" s="17">
        <v>133</v>
      </c>
      <c r="AC222" s="17">
        <v>132.4</v>
      </c>
      <c r="AD222" s="18">
        <v>138.6</v>
      </c>
      <c r="AF222" s="16">
        <f>SUM('Working sheet'!$D222:$P222)</f>
        <v>1754.4</v>
      </c>
      <c r="AG222" s="17">
        <f>SUM('Working sheet'!$Q222)</f>
        <v>164.9</v>
      </c>
      <c r="AH222" s="17">
        <f>SUM('Working sheet'!$R222:$T222)</f>
        <v>415.5</v>
      </c>
      <c r="AI222" s="17">
        <f>SUM('Working sheet'!$U222)</f>
        <v>148.5</v>
      </c>
      <c r="AJ222" s="17">
        <f>SUM('Working sheet'!$V222)</f>
        <v>127.1</v>
      </c>
      <c r="AK222" s="18">
        <f>SUM('Working sheet'!$W222:$AC222)</f>
        <v>938.5</v>
      </c>
    </row>
    <row r="223" spans="1:37" x14ac:dyDescent="0.25">
      <c r="A223" s="13" t="s">
        <v>31</v>
      </c>
      <c r="B223" s="14">
        <v>2019</v>
      </c>
      <c r="C223" s="14" t="s">
        <v>32</v>
      </c>
      <c r="D223" s="14">
        <v>137.6</v>
      </c>
      <c r="E223" s="14">
        <v>152</v>
      </c>
      <c r="F223" s="14">
        <v>141.5</v>
      </c>
      <c r="G223" s="14">
        <v>142.19999999999999</v>
      </c>
      <c r="H223" s="14">
        <v>122</v>
      </c>
      <c r="I223" s="14">
        <v>136.4</v>
      </c>
      <c r="J223" s="14">
        <v>129.69999999999999</v>
      </c>
      <c r="K223" s="14">
        <v>121</v>
      </c>
      <c r="L223" s="14">
        <v>109</v>
      </c>
      <c r="M223" s="14">
        <v>139.69999999999999</v>
      </c>
      <c r="N223" s="14">
        <v>133.6</v>
      </c>
      <c r="O223" s="14">
        <v>154.9</v>
      </c>
      <c r="P223" s="14">
        <v>137.5</v>
      </c>
      <c r="Q223" s="14">
        <v>163.4</v>
      </c>
      <c r="R223" s="14">
        <v>147.69999999999999</v>
      </c>
      <c r="S223" s="14">
        <v>139.69999999999999</v>
      </c>
      <c r="T223" s="14">
        <v>146.5</v>
      </c>
      <c r="U223" s="14">
        <v>148.5</v>
      </c>
      <c r="V223" s="14">
        <v>138.4</v>
      </c>
      <c r="W223" s="14">
        <v>143.69999999999999</v>
      </c>
      <c r="X223" s="14">
        <v>145.6</v>
      </c>
      <c r="Y223" s="14">
        <v>123.9</v>
      </c>
      <c r="Z223" s="14">
        <v>137.1</v>
      </c>
      <c r="AA223" s="14">
        <v>150.30000000000001</v>
      </c>
      <c r="AB223" s="14">
        <v>134.1</v>
      </c>
      <c r="AC223" s="14">
        <v>137.4</v>
      </c>
      <c r="AD223" s="15">
        <v>139.9</v>
      </c>
      <c r="AF223" s="13">
        <f>SUM('Working sheet'!$D223:$P223)</f>
        <v>1757.1</v>
      </c>
      <c r="AG223" s="14">
        <f>SUM('Working sheet'!$Q223)</f>
        <v>163.4</v>
      </c>
      <c r="AH223" s="14">
        <f>SUM('Working sheet'!$R223:$T223)</f>
        <v>433.9</v>
      </c>
      <c r="AI223" s="14">
        <f>SUM('Working sheet'!$U223)</f>
        <v>148.5</v>
      </c>
      <c r="AJ223" s="14">
        <f>SUM('Working sheet'!$V223)</f>
        <v>138.4</v>
      </c>
      <c r="AK223" s="15">
        <f>SUM('Working sheet'!$W223:$AC223)</f>
        <v>972.09999999999991</v>
      </c>
    </row>
    <row r="224" spans="1:37" hidden="1" x14ac:dyDescent="0.25">
      <c r="A224" s="16" t="s">
        <v>28</v>
      </c>
      <c r="B224" s="17">
        <v>2019</v>
      </c>
      <c r="C224" s="17" t="s">
        <v>33</v>
      </c>
      <c r="D224" s="17">
        <v>136.9</v>
      </c>
      <c r="E224" s="17">
        <v>154.1</v>
      </c>
      <c r="F224" s="17">
        <v>138.69999999999999</v>
      </c>
      <c r="G224" s="17">
        <v>142.5</v>
      </c>
      <c r="H224" s="17">
        <v>124.1</v>
      </c>
      <c r="I224" s="17">
        <v>136.1</v>
      </c>
      <c r="J224" s="17">
        <v>128.19999999999999</v>
      </c>
      <c r="K224" s="17">
        <v>122.3</v>
      </c>
      <c r="L224" s="17">
        <v>108.3</v>
      </c>
      <c r="M224" s="17">
        <v>138.9</v>
      </c>
      <c r="N224" s="17">
        <v>137.4</v>
      </c>
      <c r="O224" s="17">
        <v>156.4</v>
      </c>
      <c r="P224" s="17">
        <v>137.30000000000001</v>
      </c>
      <c r="Q224" s="17">
        <v>162.9</v>
      </c>
      <c r="R224" s="17">
        <v>150.80000000000001</v>
      </c>
      <c r="S224" s="17">
        <v>146.1</v>
      </c>
      <c r="T224" s="17">
        <v>150.1</v>
      </c>
      <c r="U224" s="17">
        <v>149.6</v>
      </c>
      <c r="V224" s="17">
        <v>146.4</v>
      </c>
      <c r="W224" s="17">
        <v>150</v>
      </c>
      <c r="X224" s="17">
        <v>150.4</v>
      </c>
      <c r="Y224" s="17">
        <v>129.9</v>
      </c>
      <c r="Z224" s="17">
        <v>143.80000000000001</v>
      </c>
      <c r="AA224" s="17">
        <v>155.5</v>
      </c>
      <c r="AB224" s="17">
        <v>134</v>
      </c>
      <c r="AC224" s="17">
        <v>142.4</v>
      </c>
      <c r="AD224" s="18">
        <v>141.19999999999999</v>
      </c>
      <c r="AF224" s="16">
        <f>SUM('Working sheet'!$D224:$P224)</f>
        <v>1761.2000000000003</v>
      </c>
      <c r="AG224" s="17">
        <f>SUM('Working sheet'!$Q224)</f>
        <v>162.9</v>
      </c>
      <c r="AH224" s="17">
        <f>SUM('Working sheet'!$R224:$T224)</f>
        <v>447</v>
      </c>
      <c r="AI224" s="17">
        <f>SUM('Working sheet'!$U224)</f>
        <v>149.6</v>
      </c>
      <c r="AJ224" s="17">
        <f>SUM('Working sheet'!$V224)</f>
        <v>146.4</v>
      </c>
      <c r="AK224" s="18">
        <f>SUM('Working sheet'!$W224:$AC224)</f>
        <v>1005.9999999999999</v>
      </c>
    </row>
    <row r="225" spans="1:37" hidden="1" x14ac:dyDescent="0.25">
      <c r="A225" s="13" t="s">
        <v>30</v>
      </c>
      <c r="B225" s="14">
        <v>2019</v>
      </c>
      <c r="C225" s="14" t="s">
        <v>33</v>
      </c>
      <c r="D225" s="14">
        <v>139.69999999999999</v>
      </c>
      <c r="E225" s="14">
        <v>151.1</v>
      </c>
      <c r="F225" s="14">
        <v>142.9</v>
      </c>
      <c r="G225" s="14">
        <v>141.9</v>
      </c>
      <c r="H225" s="14">
        <v>118.4</v>
      </c>
      <c r="I225" s="14">
        <v>139.4</v>
      </c>
      <c r="J225" s="14">
        <v>141.19999999999999</v>
      </c>
      <c r="K225" s="14">
        <v>120.7</v>
      </c>
      <c r="L225" s="14">
        <v>110.4</v>
      </c>
      <c r="M225" s="14">
        <v>140.69999999999999</v>
      </c>
      <c r="N225" s="14">
        <v>128.5</v>
      </c>
      <c r="O225" s="14">
        <v>153.9</v>
      </c>
      <c r="P225" s="14">
        <v>139.6</v>
      </c>
      <c r="Q225" s="14">
        <v>165.3</v>
      </c>
      <c r="R225" s="14">
        <v>143.5</v>
      </c>
      <c r="S225" s="14">
        <v>131.19999999999999</v>
      </c>
      <c r="T225" s="14">
        <v>141.6</v>
      </c>
      <c r="U225" s="14">
        <v>149</v>
      </c>
      <c r="V225" s="14">
        <v>128.80000000000001</v>
      </c>
      <c r="W225" s="14">
        <v>136.80000000000001</v>
      </c>
      <c r="X225" s="14">
        <v>139.19999999999999</v>
      </c>
      <c r="Y225" s="14">
        <v>119.9</v>
      </c>
      <c r="Z225" s="14">
        <v>133</v>
      </c>
      <c r="AA225" s="14">
        <v>146.69999999999999</v>
      </c>
      <c r="AB225" s="14">
        <v>132.5</v>
      </c>
      <c r="AC225" s="14">
        <v>132.80000000000001</v>
      </c>
      <c r="AD225" s="15">
        <v>139.5</v>
      </c>
      <c r="AF225" s="13">
        <f>SUM('Working sheet'!$D225:$P225)</f>
        <v>1768.4</v>
      </c>
      <c r="AG225" s="14">
        <f>SUM('Working sheet'!$Q225)</f>
        <v>165.3</v>
      </c>
      <c r="AH225" s="14">
        <f>SUM('Working sheet'!$R225:$T225)</f>
        <v>416.29999999999995</v>
      </c>
      <c r="AI225" s="14">
        <f>SUM('Working sheet'!$U225)</f>
        <v>149</v>
      </c>
      <c r="AJ225" s="14">
        <f>SUM('Working sheet'!$V225)</f>
        <v>128.80000000000001</v>
      </c>
      <c r="AK225" s="15">
        <f>SUM('Working sheet'!$W225:$AC225)</f>
        <v>940.89999999999986</v>
      </c>
    </row>
    <row r="226" spans="1:37" x14ac:dyDescent="0.25">
      <c r="A226" s="16" t="s">
        <v>31</v>
      </c>
      <c r="B226" s="17">
        <v>2019</v>
      </c>
      <c r="C226" s="17" t="s">
        <v>33</v>
      </c>
      <c r="D226" s="17">
        <v>137.80000000000001</v>
      </c>
      <c r="E226" s="17">
        <v>153</v>
      </c>
      <c r="F226" s="17">
        <v>140.30000000000001</v>
      </c>
      <c r="G226" s="17">
        <v>142.30000000000001</v>
      </c>
      <c r="H226" s="17">
        <v>122</v>
      </c>
      <c r="I226" s="17">
        <v>137.6</v>
      </c>
      <c r="J226" s="17">
        <v>132.6</v>
      </c>
      <c r="K226" s="17">
        <v>121.8</v>
      </c>
      <c r="L226" s="17">
        <v>109</v>
      </c>
      <c r="M226" s="17">
        <v>139.5</v>
      </c>
      <c r="N226" s="17">
        <v>133.69999999999999</v>
      </c>
      <c r="O226" s="17">
        <v>155.19999999999999</v>
      </c>
      <c r="P226" s="17">
        <v>138.1</v>
      </c>
      <c r="Q226" s="17">
        <v>163.5</v>
      </c>
      <c r="R226" s="17">
        <v>147.9</v>
      </c>
      <c r="S226" s="17">
        <v>139.9</v>
      </c>
      <c r="T226" s="17">
        <v>146.69999999999999</v>
      </c>
      <c r="U226" s="17">
        <v>149</v>
      </c>
      <c r="V226" s="17">
        <v>139.69999999999999</v>
      </c>
      <c r="W226" s="17">
        <v>143.80000000000001</v>
      </c>
      <c r="X226" s="17">
        <v>146.19999999999999</v>
      </c>
      <c r="Y226" s="17">
        <v>124.6</v>
      </c>
      <c r="Z226" s="17">
        <v>137.69999999999999</v>
      </c>
      <c r="AA226" s="17">
        <v>150.30000000000001</v>
      </c>
      <c r="AB226" s="17">
        <v>133.4</v>
      </c>
      <c r="AC226" s="17">
        <v>137.69999999999999</v>
      </c>
      <c r="AD226" s="18">
        <v>140.4</v>
      </c>
      <c r="AF226" s="16">
        <f>SUM('Working sheet'!$D226:$P226)</f>
        <v>1762.9</v>
      </c>
      <c r="AG226" s="17">
        <f>SUM('Working sheet'!$Q226)</f>
        <v>163.5</v>
      </c>
      <c r="AH226" s="17">
        <f>SUM('Working sheet'!$R226:$T226)</f>
        <v>434.5</v>
      </c>
      <c r="AI226" s="17">
        <f>SUM('Working sheet'!$U226)</f>
        <v>149</v>
      </c>
      <c r="AJ226" s="17">
        <f>SUM('Working sheet'!$V226)</f>
        <v>139.69999999999999</v>
      </c>
      <c r="AK226" s="18">
        <f>SUM('Working sheet'!$W226:$AC226)</f>
        <v>973.69999999999982</v>
      </c>
    </row>
    <row r="227" spans="1:37" hidden="1" x14ac:dyDescent="0.25">
      <c r="A227" s="13" t="s">
        <v>28</v>
      </c>
      <c r="B227" s="14">
        <v>2019</v>
      </c>
      <c r="C227" s="14" t="s">
        <v>35</v>
      </c>
      <c r="D227" s="14">
        <v>137.4</v>
      </c>
      <c r="E227" s="14">
        <v>159.5</v>
      </c>
      <c r="F227" s="14">
        <v>134.5</v>
      </c>
      <c r="G227" s="14">
        <v>142.6</v>
      </c>
      <c r="H227" s="14">
        <v>124</v>
      </c>
      <c r="I227" s="14">
        <v>143.69999999999999</v>
      </c>
      <c r="J227" s="14">
        <v>133.4</v>
      </c>
      <c r="K227" s="14">
        <v>125.1</v>
      </c>
      <c r="L227" s="14">
        <v>109.3</v>
      </c>
      <c r="M227" s="14">
        <v>139.30000000000001</v>
      </c>
      <c r="N227" s="14">
        <v>137.69999999999999</v>
      </c>
      <c r="O227" s="14">
        <v>156.4</v>
      </c>
      <c r="P227" s="14">
        <v>139.19999999999999</v>
      </c>
      <c r="Q227" s="14">
        <v>163.30000000000001</v>
      </c>
      <c r="R227" s="14">
        <v>151.30000000000001</v>
      </c>
      <c r="S227" s="14">
        <v>146.6</v>
      </c>
      <c r="T227" s="14">
        <v>150.69999999999999</v>
      </c>
      <c r="U227" s="14">
        <v>149.80000000000001</v>
      </c>
      <c r="V227" s="14">
        <v>146.9</v>
      </c>
      <c r="W227" s="14">
        <v>149.5</v>
      </c>
      <c r="X227" s="14">
        <v>151.30000000000001</v>
      </c>
      <c r="Y227" s="14">
        <v>130.19999999999999</v>
      </c>
      <c r="Z227" s="14">
        <v>145.9</v>
      </c>
      <c r="AA227" s="14">
        <v>156.69999999999999</v>
      </c>
      <c r="AB227" s="14">
        <v>133.9</v>
      </c>
      <c r="AC227" s="14">
        <v>142.9</v>
      </c>
      <c r="AD227" s="15">
        <v>142.4</v>
      </c>
      <c r="AF227" s="13">
        <f>SUM('Working sheet'!$D227:$P227)</f>
        <v>1782.1000000000001</v>
      </c>
      <c r="AG227" s="14">
        <f>SUM('Working sheet'!$Q227)</f>
        <v>163.30000000000001</v>
      </c>
      <c r="AH227" s="14">
        <f>SUM('Working sheet'!$R227:$T227)</f>
        <v>448.59999999999997</v>
      </c>
      <c r="AI227" s="14">
        <f>SUM('Working sheet'!$U227)</f>
        <v>149.80000000000001</v>
      </c>
      <c r="AJ227" s="14">
        <f>SUM('Working sheet'!$V227)</f>
        <v>146.9</v>
      </c>
      <c r="AK227" s="15">
        <f>SUM('Working sheet'!$W227:$AC227)</f>
        <v>1010.3999999999999</v>
      </c>
    </row>
    <row r="228" spans="1:37" hidden="1" x14ac:dyDescent="0.25">
      <c r="A228" s="16" t="s">
        <v>30</v>
      </c>
      <c r="B228" s="17">
        <v>2019</v>
      </c>
      <c r="C228" s="17" t="s">
        <v>35</v>
      </c>
      <c r="D228" s="17">
        <v>140.4</v>
      </c>
      <c r="E228" s="17">
        <v>156.69999999999999</v>
      </c>
      <c r="F228" s="17">
        <v>138.30000000000001</v>
      </c>
      <c r="G228" s="17">
        <v>142.4</v>
      </c>
      <c r="H228" s="17">
        <v>118.6</v>
      </c>
      <c r="I228" s="17">
        <v>149.69999999999999</v>
      </c>
      <c r="J228" s="17">
        <v>161.6</v>
      </c>
      <c r="K228" s="17">
        <v>124.4</v>
      </c>
      <c r="L228" s="17">
        <v>111.2</v>
      </c>
      <c r="M228" s="17">
        <v>141</v>
      </c>
      <c r="N228" s="17">
        <v>128.9</v>
      </c>
      <c r="O228" s="17">
        <v>154.5</v>
      </c>
      <c r="P228" s="17">
        <v>143.80000000000001</v>
      </c>
      <c r="Q228" s="17">
        <v>166.2</v>
      </c>
      <c r="R228" s="17">
        <v>144</v>
      </c>
      <c r="S228" s="17">
        <v>131.69999999999999</v>
      </c>
      <c r="T228" s="17">
        <v>142.19999999999999</v>
      </c>
      <c r="U228" s="17">
        <v>150.1</v>
      </c>
      <c r="V228" s="17">
        <v>129.4</v>
      </c>
      <c r="W228" s="17">
        <v>137.19999999999999</v>
      </c>
      <c r="X228" s="17">
        <v>139.80000000000001</v>
      </c>
      <c r="Y228" s="17">
        <v>120.1</v>
      </c>
      <c r="Z228" s="17">
        <v>134</v>
      </c>
      <c r="AA228" s="17">
        <v>148</v>
      </c>
      <c r="AB228" s="17">
        <v>132.6</v>
      </c>
      <c r="AC228" s="17">
        <v>133.30000000000001</v>
      </c>
      <c r="AD228" s="18">
        <v>141.5</v>
      </c>
      <c r="AF228" s="16">
        <f>SUM('Working sheet'!$D228:$P228)</f>
        <v>1811.5000000000002</v>
      </c>
      <c r="AG228" s="17">
        <f>SUM('Working sheet'!$Q228)</f>
        <v>166.2</v>
      </c>
      <c r="AH228" s="17">
        <f>SUM('Working sheet'!$R228:$T228)</f>
        <v>417.9</v>
      </c>
      <c r="AI228" s="17">
        <f>SUM('Working sheet'!$U228)</f>
        <v>150.1</v>
      </c>
      <c r="AJ228" s="17">
        <f>SUM('Working sheet'!$V228)</f>
        <v>129.4</v>
      </c>
      <c r="AK228" s="18">
        <f>SUM('Working sheet'!$W228:$AC228)</f>
        <v>945</v>
      </c>
    </row>
    <row r="229" spans="1:37" x14ac:dyDescent="0.25">
      <c r="A229" s="13" t="s">
        <v>31</v>
      </c>
      <c r="B229" s="14">
        <v>2019</v>
      </c>
      <c r="C229" s="14" t="s">
        <v>35</v>
      </c>
      <c r="D229" s="14">
        <v>138.30000000000001</v>
      </c>
      <c r="E229" s="14">
        <v>158.5</v>
      </c>
      <c r="F229" s="14">
        <v>136</v>
      </c>
      <c r="G229" s="14">
        <v>142.5</v>
      </c>
      <c r="H229" s="14">
        <v>122</v>
      </c>
      <c r="I229" s="14">
        <v>146.5</v>
      </c>
      <c r="J229" s="14">
        <v>143</v>
      </c>
      <c r="K229" s="14">
        <v>124.9</v>
      </c>
      <c r="L229" s="14">
        <v>109.9</v>
      </c>
      <c r="M229" s="14">
        <v>139.9</v>
      </c>
      <c r="N229" s="14">
        <v>134</v>
      </c>
      <c r="O229" s="14">
        <v>155.5</v>
      </c>
      <c r="P229" s="14">
        <v>140.9</v>
      </c>
      <c r="Q229" s="14">
        <v>164.1</v>
      </c>
      <c r="R229" s="14">
        <v>148.4</v>
      </c>
      <c r="S229" s="14">
        <v>140.4</v>
      </c>
      <c r="T229" s="14">
        <v>147.30000000000001</v>
      </c>
      <c r="U229" s="14">
        <v>150.1</v>
      </c>
      <c r="V229" s="14">
        <v>140.30000000000001</v>
      </c>
      <c r="W229" s="14">
        <v>143.69999999999999</v>
      </c>
      <c r="X229" s="14">
        <v>146.9</v>
      </c>
      <c r="Y229" s="14">
        <v>124.9</v>
      </c>
      <c r="Z229" s="14">
        <v>139.19999999999999</v>
      </c>
      <c r="AA229" s="14">
        <v>151.6</v>
      </c>
      <c r="AB229" s="14">
        <v>133.4</v>
      </c>
      <c r="AC229" s="14">
        <v>138.19999999999999</v>
      </c>
      <c r="AD229" s="15">
        <v>142</v>
      </c>
      <c r="AF229" s="13">
        <f>SUM('Working sheet'!$D229:$P229)</f>
        <v>1791.9000000000003</v>
      </c>
      <c r="AG229" s="14">
        <f>SUM('Working sheet'!$Q229)</f>
        <v>164.1</v>
      </c>
      <c r="AH229" s="14">
        <f>SUM('Working sheet'!$R229:$T229)</f>
        <v>436.1</v>
      </c>
      <c r="AI229" s="14">
        <f>SUM('Working sheet'!$U229)</f>
        <v>150.1</v>
      </c>
      <c r="AJ229" s="14">
        <f>SUM('Working sheet'!$V229)</f>
        <v>140.30000000000001</v>
      </c>
      <c r="AK229" s="15">
        <f>SUM('Working sheet'!$W229:$AC229)</f>
        <v>977.90000000000009</v>
      </c>
    </row>
    <row r="230" spans="1:37" hidden="1" x14ac:dyDescent="0.25">
      <c r="A230" s="16" t="s">
        <v>28</v>
      </c>
      <c r="B230" s="17">
        <v>2019</v>
      </c>
      <c r="C230" s="17" t="s">
        <v>36</v>
      </c>
      <c r="D230" s="17">
        <v>137.80000000000001</v>
      </c>
      <c r="E230" s="17">
        <v>163.5</v>
      </c>
      <c r="F230" s="17">
        <v>136.19999999999999</v>
      </c>
      <c r="G230" s="17">
        <v>143.19999999999999</v>
      </c>
      <c r="H230" s="17">
        <v>124.3</v>
      </c>
      <c r="I230" s="17">
        <v>143.30000000000001</v>
      </c>
      <c r="J230" s="17">
        <v>140.6</v>
      </c>
      <c r="K230" s="17">
        <v>128.69999999999999</v>
      </c>
      <c r="L230" s="17">
        <v>110.6</v>
      </c>
      <c r="M230" s="17">
        <v>140.4</v>
      </c>
      <c r="N230" s="17">
        <v>138</v>
      </c>
      <c r="O230" s="17">
        <v>156.6</v>
      </c>
      <c r="P230" s="17">
        <v>141</v>
      </c>
      <c r="Q230" s="17">
        <v>164.2</v>
      </c>
      <c r="R230" s="17">
        <v>151.4</v>
      </c>
      <c r="S230" s="17">
        <v>146.5</v>
      </c>
      <c r="T230" s="17">
        <v>150.69999999999999</v>
      </c>
      <c r="U230" s="17">
        <v>150</v>
      </c>
      <c r="V230" s="17">
        <v>147.80000000000001</v>
      </c>
      <c r="W230" s="17">
        <v>149.6</v>
      </c>
      <c r="X230" s="17">
        <v>151.69999999999999</v>
      </c>
      <c r="Y230" s="17">
        <v>130.19999999999999</v>
      </c>
      <c r="Z230" s="17">
        <v>146.4</v>
      </c>
      <c r="AA230" s="17">
        <v>157.69999999999999</v>
      </c>
      <c r="AB230" s="17">
        <v>134.80000000000001</v>
      </c>
      <c r="AC230" s="17">
        <v>143.30000000000001</v>
      </c>
      <c r="AD230" s="18">
        <v>143.6</v>
      </c>
      <c r="AF230" s="16">
        <f>SUM('Working sheet'!$D230:$P230)</f>
        <v>1804.1999999999998</v>
      </c>
      <c r="AG230" s="17">
        <f>SUM('Working sheet'!$Q230)</f>
        <v>164.2</v>
      </c>
      <c r="AH230" s="17">
        <f>SUM('Working sheet'!$R230:$T230)</f>
        <v>448.59999999999997</v>
      </c>
      <c r="AI230" s="17">
        <f>SUM('Working sheet'!$U230)</f>
        <v>150</v>
      </c>
      <c r="AJ230" s="17">
        <f>SUM('Working sheet'!$V230)</f>
        <v>147.80000000000001</v>
      </c>
      <c r="AK230" s="18">
        <f>SUM('Working sheet'!$W230:$AC230)</f>
        <v>1013.6999999999998</v>
      </c>
    </row>
    <row r="231" spans="1:37" hidden="1" x14ac:dyDescent="0.25">
      <c r="A231" s="13" t="s">
        <v>30</v>
      </c>
      <c r="B231" s="14">
        <v>2019</v>
      </c>
      <c r="C231" s="14" t="s">
        <v>36</v>
      </c>
      <c r="D231" s="14">
        <v>140.69999999999999</v>
      </c>
      <c r="E231" s="14">
        <v>159.6</v>
      </c>
      <c r="F231" s="14">
        <v>140.4</v>
      </c>
      <c r="G231" s="14">
        <v>143.4</v>
      </c>
      <c r="H231" s="14">
        <v>118.6</v>
      </c>
      <c r="I231" s="14">
        <v>150.9</v>
      </c>
      <c r="J231" s="14">
        <v>169.8</v>
      </c>
      <c r="K231" s="14">
        <v>127.4</v>
      </c>
      <c r="L231" s="14">
        <v>111.8</v>
      </c>
      <c r="M231" s="14">
        <v>141</v>
      </c>
      <c r="N231" s="14">
        <v>129</v>
      </c>
      <c r="O231" s="14">
        <v>155.1</v>
      </c>
      <c r="P231" s="14">
        <v>145.6</v>
      </c>
      <c r="Q231" s="14">
        <v>166.7</v>
      </c>
      <c r="R231" s="14">
        <v>144.30000000000001</v>
      </c>
      <c r="S231" s="14">
        <v>131.69999999999999</v>
      </c>
      <c r="T231" s="14">
        <v>142.4</v>
      </c>
      <c r="U231" s="14">
        <v>149.4</v>
      </c>
      <c r="V231" s="14">
        <v>130.5</v>
      </c>
      <c r="W231" s="14">
        <v>137.4</v>
      </c>
      <c r="X231" s="14">
        <v>140.30000000000001</v>
      </c>
      <c r="Y231" s="14">
        <v>119.6</v>
      </c>
      <c r="Z231" s="14">
        <v>134.30000000000001</v>
      </c>
      <c r="AA231" s="14">
        <v>148.9</v>
      </c>
      <c r="AB231" s="14">
        <v>133.69999999999999</v>
      </c>
      <c r="AC231" s="14">
        <v>133.6</v>
      </c>
      <c r="AD231" s="15">
        <v>142.1</v>
      </c>
      <c r="AF231" s="13">
        <f>SUM('Working sheet'!$D231:$P231)</f>
        <v>1833.2999999999997</v>
      </c>
      <c r="AG231" s="14">
        <f>SUM('Working sheet'!$Q231)</f>
        <v>166.7</v>
      </c>
      <c r="AH231" s="14">
        <f>SUM('Working sheet'!$R231:$T231)</f>
        <v>418.4</v>
      </c>
      <c r="AI231" s="14">
        <f>SUM('Working sheet'!$U231)</f>
        <v>149.4</v>
      </c>
      <c r="AJ231" s="14">
        <f>SUM('Working sheet'!$V231)</f>
        <v>130.5</v>
      </c>
      <c r="AK231" s="15">
        <f>SUM('Working sheet'!$W231:$AC231)</f>
        <v>947.80000000000007</v>
      </c>
    </row>
    <row r="232" spans="1:37" x14ac:dyDescent="0.25">
      <c r="A232" s="16" t="s">
        <v>31</v>
      </c>
      <c r="B232" s="17">
        <v>2019</v>
      </c>
      <c r="C232" s="17" t="s">
        <v>36</v>
      </c>
      <c r="D232" s="17">
        <v>138.69999999999999</v>
      </c>
      <c r="E232" s="17">
        <v>162.1</v>
      </c>
      <c r="F232" s="17">
        <v>137.80000000000001</v>
      </c>
      <c r="G232" s="17">
        <v>143.30000000000001</v>
      </c>
      <c r="H232" s="17">
        <v>122.2</v>
      </c>
      <c r="I232" s="17">
        <v>146.80000000000001</v>
      </c>
      <c r="J232" s="17">
        <v>150.5</v>
      </c>
      <c r="K232" s="17">
        <v>128.30000000000001</v>
      </c>
      <c r="L232" s="17">
        <v>111</v>
      </c>
      <c r="M232" s="17">
        <v>140.6</v>
      </c>
      <c r="N232" s="17">
        <v>134.19999999999999</v>
      </c>
      <c r="O232" s="17">
        <v>155.9</v>
      </c>
      <c r="P232" s="17">
        <v>142.69999999999999</v>
      </c>
      <c r="Q232" s="17">
        <v>164.9</v>
      </c>
      <c r="R232" s="17">
        <v>148.6</v>
      </c>
      <c r="S232" s="17">
        <v>140.4</v>
      </c>
      <c r="T232" s="17">
        <v>147.4</v>
      </c>
      <c r="U232" s="17">
        <v>149.4</v>
      </c>
      <c r="V232" s="17">
        <v>141.19999999999999</v>
      </c>
      <c r="W232" s="17">
        <v>143.80000000000001</v>
      </c>
      <c r="X232" s="17">
        <v>147.4</v>
      </c>
      <c r="Y232" s="17">
        <v>124.6</v>
      </c>
      <c r="Z232" s="17">
        <v>139.6</v>
      </c>
      <c r="AA232" s="17">
        <v>152.5</v>
      </c>
      <c r="AB232" s="17">
        <v>134.30000000000001</v>
      </c>
      <c r="AC232" s="17">
        <v>138.6</v>
      </c>
      <c r="AD232" s="18">
        <v>142.9</v>
      </c>
      <c r="AF232" s="16">
        <f>SUM('Working sheet'!$D232:$P232)</f>
        <v>1814.1000000000001</v>
      </c>
      <c r="AG232" s="17">
        <f>SUM('Working sheet'!$Q232)</f>
        <v>164.9</v>
      </c>
      <c r="AH232" s="17">
        <f>SUM('Working sheet'!$R232:$T232)</f>
        <v>436.4</v>
      </c>
      <c r="AI232" s="17">
        <f>SUM('Working sheet'!$U232)</f>
        <v>149.4</v>
      </c>
      <c r="AJ232" s="17">
        <f>SUM('Working sheet'!$V232)</f>
        <v>141.19999999999999</v>
      </c>
      <c r="AK232" s="18">
        <f>SUM('Working sheet'!$W232:$AC232)</f>
        <v>980.80000000000007</v>
      </c>
    </row>
    <row r="233" spans="1:37" hidden="1" x14ac:dyDescent="0.25">
      <c r="A233" s="13" t="s">
        <v>28</v>
      </c>
      <c r="B233" s="14">
        <v>2019</v>
      </c>
      <c r="C233" s="14" t="s">
        <v>37</v>
      </c>
      <c r="D233" s="14">
        <v>138.4</v>
      </c>
      <c r="E233" s="14">
        <v>164</v>
      </c>
      <c r="F233" s="14">
        <v>138.4</v>
      </c>
      <c r="G233" s="14">
        <v>143.9</v>
      </c>
      <c r="H233" s="14">
        <v>124.4</v>
      </c>
      <c r="I233" s="14">
        <v>146.4</v>
      </c>
      <c r="J233" s="14">
        <v>150.1</v>
      </c>
      <c r="K233" s="14">
        <v>130.6</v>
      </c>
      <c r="L233" s="14">
        <v>110.8</v>
      </c>
      <c r="M233" s="14">
        <v>141.69999999999999</v>
      </c>
      <c r="N233" s="14">
        <v>138.5</v>
      </c>
      <c r="O233" s="14">
        <v>156.69999999999999</v>
      </c>
      <c r="P233" s="14">
        <v>143</v>
      </c>
      <c r="Q233" s="14">
        <v>164.5</v>
      </c>
      <c r="R233" s="14">
        <v>151.6</v>
      </c>
      <c r="S233" s="14">
        <v>146.6</v>
      </c>
      <c r="T233" s="14">
        <v>150.9</v>
      </c>
      <c r="U233" s="14">
        <v>151.1</v>
      </c>
      <c r="V233" s="14">
        <v>146.80000000000001</v>
      </c>
      <c r="W233" s="14">
        <v>150</v>
      </c>
      <c r="X233" s="14">
        <v>152.19999999999999</v>
      </c>
      <c r="Y233" s="14">
        <v>131.19999999999999</v>
      </c>
      <c r="Z233" s="14">
        <v>147.5</v>
      </c>
      <c r="AA233" s="14">
        <v>159.1</v>
      </c>
      <c r="AB233" s="14">
        <v>136.1</v>
      </c>
      <c r="AC233" s="14">
        <v>144.19999999999999</v>
      </c>
      <c r="AD233" s="15">
        <v>144.9</v>
      </c>
      <c r="AF233" s="13">
        <f>SUM('Working sheet'!$D233:$P233)</f>
        <v>1826.8999999999999</v>
      </c>
      <c r="AG233" s="14">
        <f>SUM('Working sheet'!$Q233)</f>
        <v>164.5</v>
      </c>
      <c r="AH233" s="14">
        <f>SUM('Working sheet'!$R233:$T233)</f>
        <v>449.1</v>
      </c>
      <c r="AI233" s="14">
        <f>SUM('Working sheet'!$U233)</f>
        <v>151.1</v>
      </c>
      <c r="AJ233" s="14">
        <f>SUM('Working sheet'!$V233)</f>
        <v>146.80000000000001</v>
      </c>
      <c r="AK233" s="15">
        <f>SUM('Working sheet'!$W233:$AC233)</f>
        <v>1020.3</v>
      </c>
    </row>
    <row r="234" spans="1:37" hidden="1" x14ac:dyDescent="0.25">
      <c r="A234" s="16" t="s">
        <v>30</v>
      </c>
      <c r="B234" s="17">
        <v>2019</v>
      </c>
      <c r="C234" s="17" t="s">
        <v>37</v>
      </c>
      <c r="D234" s="17">
        <v>141.4</v>
      </c>
      <c r="E234" s="17">
        <v>160.19999999999999</v>
      </c>
      <c r="F234" s="17">
        <v>142.5</v>
      </c>
      <c r="G234" s="17">
        <v>144.1</v>
      </c>
      <c r="H234" s="17">
        <v>119.3</v>
      </c>
      <c r="I234" s="17">
        <v>154.69999999999999</v>
      </c>
      <c r="J234" s="17">
        <v>180.1</v>
      </c>
      <c r="K234" s="17">
        <v>128.9</v>
      </c>
      <c r="L234" s="17">
        <v>111.8</v>
      </c>
      <c r="M234" s="17">
        <v>141.6</v>
      </c>
      <c r="N234" s="17">
        <v>129.5</v>
      </c>
      <c r="O234" s="17">
        <v>155.6</v>
      </c>
      <c r="P234" s="17">
        <v>147.69999999999999</v>
      </c>
      <c r="Q234" s="17">
        <v>167.2</v>
      </c>
      <c r="R234" s="17">
        <v>144.69999999999999</v>
      </c>
      <c r="S234" s="17">
        <v>131.9</v>
      </c>
      <c r="T234" s="17">
        <v>142.69999999999999</v>
      </c>
      <c r="U234" s="17">
        <v>150.6</v>
      </c>
      <c r="V234" s="17">
        <v>127</v>
      </c>
      <c r="W234" s="17">
        <v>137.69999999999999</v>
      </c>
      <c r="X234" s="17">
        <v>140.80000000000001</v>
      </c>
      <c r="Y234" s="17">
        <v>120.6</v>
      </c>
      <c r="Z234" s="17">
        <v>135</v>
      </c>
      <c r="AA234" s="17">
        <v>150.4</v>
      </c>
      <c r="AB234" s="17">
        <v>135.1</v>
      </c>
      <c r="AC234" s="17">
        <v>134.5</v>
      </c>
      <c r="AD234" s="18">
        <v>143.30000000000001</v>
      </c>
      <c r="AF234" s="16">
        <f>SUM('Working sheet'!$D234:$P234)</f>
        <v>1857.3999999999999</v>
      </c>
      <c r="AG234" s="17">
        <f>SUM('Working sheet'!$Q234)</f>
        <v>167.2</v>
      </c>
      <c r="AH234" s="17">
        <f>SUM('Working sheet'!$R234:$T234)</f>
        <v>419.3</v>
      </c>
      <c r="AI234" s="17">
        <f>SUM('Working sheet'!$U234)</f>
        <v>150.6</v>
      </c>
      <c r="AJ234" s="17">
        <f>SUM('Working sheet'!$V234)</f>
        <v>127</v>
      </c>
      <c r="AK234" s="18">
        <f>SUM('Working sheet'!$W234:$AC234)</f>
        <v>954.1</v>
      </c>
    </row>
    <row r="235" spans="1:37" x14ac:dyDescent="0.25">
      <c r="A235" s="13" t="s">
        <v>31</v>
      </c>
      <c r="B235" s="14">
        <v>2019</v>
      </c>
      <c r="C235" s="14" t="s">
        <v>37</v>
      </c>
      <c r="D235" s="14">
        <v>139.30000000000001</v>
      </c>
      <c r="E235" s="14">
        <v>162.69999999999999</v>
      </c>
      <c r="F235" s="14">
        <v>140</v>
      </c>
      <c r="G235" s="14">
        <v>144</v>
      </c>
      <c r="H235" s="14">
        <v>122.5</v>
      </c>
      <c r="I235" s="14">
        <v>150.30000000000001</v>
      </c>
      <c r="J235" s="14">
        <v>160.30000000000001</v>
      </c>
      <c r="K235" s="14">
        <v>130</v>
      </c>
      <c r="L235" s="14">
        <v>111.1</v>
      </c>
      <c r="M235" s="14">
        <v>141.69999999999999</v>
      </c>
      <c r="N235" s="14">
        <v>134.69999999999999</v>
      </c>
      <c r="O235" s="14">
        <v>156.19999999999999</v>
      </c>
      <c r="P235" s="14">
        <v>144.69999999999999</v>
      </c>
      <c r="Q235" s="14">
        <v>165.2</v>
      </c>
      <c r="R235" s="14">
        <v>148.9</v>
      </c>
      <c r="S235" s="14">
        <v>140.5</v>
      </c>
      <c r="T235" s="14">
        <v>147.6</v>
      </c>
      <c r="U235" s="14">
        <v>150.6</v>
      </c>
      <c r="V235" s="14">
        <v>139.30000000000001</v>
      </c>
      <c r="W235" s="14">
        <v>144.19999999999999</v>
      </c>
      <c r="X235" s="14">
        <v>147.9</v>
      </c>
      <c r="Y235" s="14">
        <v>125.6</v>
      </c>
      <c r="Z235" s="14">
        <v>140.5</v>
      </c>
      <c r="AA235" s="14">
        <v>154</v>
      </c>
      <c r="AB235" s="14">
        <v>135.69999999999999</v>
      </c>
      <c r="AC235" s="14">
        <v>139.5</v>
      </c>
      <c r="AD235" s="15">
        <v>144.19999999999999</v>
      </c>
      <c r="AF235" s="13">
        <f>SUM('Working sheet'!$D235:$P235)</f>
        <v>1837.5</v>
      </c>
      <c r="AG235" s="14">
        <f>SUM('Working sheet'!$Q235)</f>
        <v>165.2</v>
      </c>
      <c r="AH235" s="14">
        <f>SUM('Working sheet'!$R235:$T235)</f>
        <v>437</v>
      </c>
      <c r="AI235" s="14">
        <f>SUM('Working sheet'!$U235)</f>
        <v>150.6</v>
      </c>
      <c r="AJ235" s="14">
        <f>SUM('Working sheet'!$V235)</f>
        <v>139.30000000000001</v>
      </c>
      <c r="AK235" s="15">
        <f>SUM('Working sheet'!$W235:$AC235)</f>
        <v>987.40000000000009</v>
      </c>
    </row>
    <row r="236" spans="1:37" hidden="1" x14ac:dyDescent="0.25">
      <c r="A236" s="16" t="s">
        <v>28</v>
      </c>
      <c r="B236" s="17">
        <v>2019</v>
      </c>
      <c r="C236" s="17" t="s">
        <v>38</v>
      </c>
      <c r="D236" s="17">
        <v>139.19999999999999</v>
      </c>
      <c r="E236" s="17">
        <v>161.9</v>
      </c>
      <c r="F236" s="17">
        <v>137.1</v>
      </c>
      <c r="G236" s="17">
        <v>144.6</v>
      </c>
      <c r="H236" s="17">
        <v>124.7</v>
      </c>
      <c r="I236" s="17">
        <v>145.5</v>
      </c>
      <c r="J236" s="17">
        <v>156.19999999999999</v>
      </c>
      <c r="K236" s="17">
        <v>131.5</v>
      </c>
      <c r="L236" s="17">
        <v>111.7</v>
      </c>
      <c r="M236" s="17">
        <v>142.69999999999999</v>
      </c>
      <c r="N236" s="17">
        <v>138.5</v>
      </c>
      <c r="O236" s="17">
        <v>156.9</v>
      </c>
      <c r="P236" s="17">
        <v>144</v>
      </c>
      <c r="Q236" s="17">
        <v>165.1</v>
      </c>
      <c r="R236" s="17">
        <v>151.80000000000001</v>
      </c>
      <c r="S236" s="17">
        <v>146.6</v>
      </c>
      <c r="T236" s="17">
        <v>151.1</v>
      </c>
      <c r="U236" s="17">
        <v>151.9</v>
      </c>
      <c r="V236" s="17">
        <v>146.4</v>
      </c>
      <c r="W236" s="17">
        <v>150.19999999999999</v>
      </c>
      <c r="X236" s="17">
        <v>152.69999999999999</v>
      </c>
      <c r="Y236" s="17">
        <v>131.4</v>
      </c>
      <c r="Z236" s="17">
        <v>148</v>
      </c>
      <c r="AA236" s="17">
        <v>159.69999999999999</v>
      </c>
      <c r="AB236" s="17">
        <v>138.80000000000001</v>
      </c>
      <c r="AC236" s="17">
        <v>144.9</v>
      </c>
      <c r="AD236" s="18">
        <v>145.69999999999999</v>
      </c>
      <c r="AF236" s="16">
        <f>SUM('Working sheet'!$D236:$P236)</f>
        <v>1834.5000000000002</v>
      </c>
      <c r="AG236" s="17">
        <f>SUM('Working sheet'!$Q236)</f>
        <v>165.1</v>
      </c>
      <c r="AH236" s="17">
        <f>SUM('Working sheet'!$R236:$T236)</f>
        <v>449.5</v>
      </c>
      <c r="AI236" s="17">
        <f>SUM('Working sheet'!$U236)</f>
        <v>151.9</v>
      </c>
      <c r="AJ236" s="17">
        <f>SUM('Working sheet'!$V236)</f>
        <v>146.4</v>
      </c>
      <c r="AK236" s="18">
        <f>SUM('Working sheet'!$W236:$AC236)</f>
        <v>1025.7</v>
      </c>
    </row>
    <row r="237" spans="1:37" hidden="1" x14ac:dyDescent="0.25">
      <c r="A237" s="13" t="s">
        <v>30</v>
      </c>
      <c r="B237" s="14">
        <v>2019</v>
      </c>
      <c r="C237" s="14" t="s">
        <v>38</v>
      </c>
      <c r="D237" s="14">
        <v>142.1</v>
      </c>
      <c r="E237" s="14">
        <v>158.30000000000001</v>
      </c>
      <c r="F237" s="14">
        <v>140.80000000000001</v>
      </c>
      <c r="G237" s="14">
        <v>144.9</v>
      </c>
      <c r="H237" s="14">
        <v>119.9</v>
      </c>
      <c r="I237" s="14">
        <v>153.9</v>
      </c>
      <c r="J237" s="14">
        <v>189.1</v>
      </c>
      <c r="K237" s="14">
        <v>129.80000000000001</v>
      </c>
      <c r="L237" s="14">
        <v>112.7</v>
      </c>
      <c r="M237" s="14">
        <v>142.5</v>
      </c>
      <c r="N237" s="14">
        <v>129.80000000000001</v>
      </c>
      <c r="O237" s="14">
        <v>156.19999999999999</v>
      </c>
      <c r="P237" s="14">
        <v>149.1</v>
      </c>
      <c r="Q237" s="14">
        <v>167.9</v>
      </c>
      <c r="R237" s="14">
        <v>145</v>
      </c>
      <c r="S237" s="14">
        <v>132.19999999999999</v>
      </c>
      <c r="T237" s="14">
        <v>143</v>
      </c>
      <c r="U237" s="14">
        <v>151.6</v>
      </c>
      <c r="V237" s="14">
        <v>125.5</v>
      </c>
      <c r="W237" s="14">
        <v>138.1</v>
      </c>
      <c r="X237" s="14">
        <v>141.5</v>
      </c>
      <c r="Y237" s="14">
        <v>120.8</v>
      </c>
      <c r="Z237" s="14">
        <v>135.4</v>
      </c>
      <c r="AA237" s="14">
        <v>151.5</v>
      </c>
      <c r="AB237" s="14">
        <v>137.80000000000001</v>
      </c>
      <c r="AC237" s="14">
        <v>135.30000000000001</v>
      </c>
      <c r="AD237" s="15">
        <v>144.19999999999999</v>
      </c>
      <c r="AF237" s="13">
        <f>SUM('Working sheet'!$D237:$P237)</f>
        <v>1869.1</v>
      </c>
      <c r="AG237" s="14">
        <f>SUM('Working sheet'!$Q237)</f>
        <v>167.9</v>
      </c>
      <c r="AH237" s="14">
        <f>SUM('Working sheet'!$R237:$T237)</f>
        <v>420.2</v>
      </c>
      <c r="AI237" s="14">
        <f>SUM('Working sheet'!$U237)</f>
        <v>151.6</v>
      </c>
      <c r="AJ237" s="14">
        <f>SUM('Working sheet'!$V237)</f>
        <v>125.5</v>
      </c>
      <c r="AK237" s="15">
        <f>SUM('Working sheet'!$W237:$AC237)</f>
        <v>960.40000000000009</v>
      </c>
    </row>
    <row r="238" spans="1:37" x14ac:dyDescent="0.25">
      <c r="A238" s="16" t="s">
        <v>31</v>
      </c>
      <c r="B238" s="17">
        <v>2019</v>
      </c>
      <c r="C238" s="17" t="s">
        <v>38</v>
      </c>
      <c r="D238" s="17">
        <v>140.1</v>
      </c>
      <c r="E238" s="17">
        <v>160.6</v>
      </c>
      <c r="F238" s="17">
        <v>138.5</v>
      </c>
      <c r="G238" s="17">
        <v>144.69999999999999</v>
      </c>
      <c r="H238" s="17">
        <v>122.9</v>
      </c>
      <c r="I238" s="17">
        <v>149.4</v>
      </c>
      <c r="J238" s="17">
        <v>167.4</v>
      </c>
      <c r="K238" s="17">
        <v>130.9</v>
      </c>
      <c r="L238" s="17">
        <v>112</v>
      </c>
      <c r="M238" s="17">
        <v>142.6</v>
      </c>
      <c r="N238" s="17">
        <v>134.9</v>
      </c>
      <c r="O238" s="17">
        <v>156.6</v>
      </c>
      <c r="P238" s="17">
        <v>145.9</v>
      </c>
      <c r="Q238" s="17">
        <v>165.8</v>
      </c>
      <c r="R238" s="17">
        <v>149.1</v>
      </c>
      <c r="S238" s="17">
        <v>140.6</v>
      </c>
      <c r="T238" s="17">
        <v>147.9</v>
      </c>
      <c r="U238" s="17">
        <v>151.6</v>
      </c>
      <c r="V238" s="17">
        <v>138.5</v>
      </c>
      <c r="W238" s="17">
        <v>144.5</v>
      </c>
      <c r="X238" s="17">
        <v>148.5</v>
      </c>
      <c r="Y238" s="17">
        <v>125.8</v>
      </c>
      <c r="Z238" s="17">
        <v>140.9</v>
      </c>
      <c r="AA238" s="17">
        <v>154.9</v>
      </c>
      <c r="AB238" s="17">
        <v>138.4</v>
      </c>
      <c r="AC238" s="17">
        <v>140.19999999999999</v>
      </c>
      <c r="AD238" s="18">
        <v>145</v>
      </c>
      <c r="AF238" s="16">
        <f>SUM('Working sheet'!$D238:$P238)</f>
        <v>1846.5</v>
      </c>
      <c r="AG238" s="17">
        <f>SUM('Working sheet'!$Q238)</f>
        <v>165.8</v>
      </c>
      <c r="AH238" s="17">
        <f>SUM('Working sheet'!$R238:$T238)</f>
        <v>437.6</v>
      </c>
      <c r="AI238" s="17">
        <f>SUM('Working sheet'!$U238)</f>
        <v>151.6</v>
      </c>
      <c r="AJ238" s="17">
        <f>SUM('Working sheet'!$V238)</f>
        <v>138.5</v>
      </c>
      <c r="AK238" s="18">
        <f>SUM('Working sheet'!$W238:$AC238)</f>
        <v>993.2</v>
      </c>
    </row>
    <row r="239" spans="1:37" hidden="1" x14ac:dyDescent="0.25">
      <c r="A239" s="13" t="s">
        <v>28</v>
      </c>
      <c r="B239" s="14">
        <v>2019</v>
      </c>
      <c r="C239" s="14" t="s">
        <v>39</v>
      </c>
      <c r="D239" s="14">
        <v>140.1</v>
      </c>
      <c r="E239" s="14">
        <v>161.9</v>
      </c>
      <c r="F239" s="14">
        <v>138.30000000000001</v>
      </c>
      <c r="G239" s="14">
        <v>145.69999999999999</v>
      </c>
      <c r="H239" s="14">
        <v>125.1</v>
      </c>
      <c r="I239" s="14">
        <v>143.80000000000001</v>
      </c>
      <c r="J239" s="14">
        <v>163.4</v>
      </c>
      <c r="K239" s="14">
        <v>132.19999999999999</v>
      </c>
      <c r="L239" s="14">
        <v>112.8</v>
      </c>
      <c r="M239" s="14">
        <v>144.19999999999999</v>
      </c>
      <c r="N239" s="14">
        <v>138.5</v>
      </c>
      <c r="O239" s="14">
        <v>157.19999999999999</v>
      </c>
      <c r="P239" s="14">
        <v>145.5</v>
      </c>
      <c r="Q239" s="14">
        <v>165.7</v>
      </c>
      <c r="R239" s="14">
        <v>151.69999999999999</v>
      </c>
      <c r="S239" s="14">
        <v>146.6</v>
      </c>
      <c r="T239" s="14">
        <v>151</v>
      </c>
      <c r="U239" s="14">
        <v>152.6</v>
      </c>
      <c r="V239" s="14">
        <v>146.9</v>
      </c>
      <c r="W239" s="14">
        <v>150.30000000000001</v>
      </c>
      <c r="X239" s="14">
        <v>153.4</v>
      </c>
      <c r="Y239" s="14">
        <v>131.6</v>
      </c>
      <c r="Z239" s="14">
        <v>148.30000000000001</v>
      </c>
      <c r="AA239" s="14">
        <v>160.19999999999999</v>
      </c>
      <c r="AB239" s="14">
        <v>140.19999999999999</v>
      </c>
      <c r="AC239" s="14">
        <v>145.4</v>
      </c>
      <c r="AD239" s="15">
        <v>146.69999999999999</v>
      </c>
      <c r="AF239" s="13">
        <f>SUM('Working sheet'!$D239:$P239)</f>
        <v>1848.7</v>
      </c>
      <c r="AG239" s="14">
        <f>SUM('Working sheet'!$Q239)</f>
        <v>165.7</v>
      </c>
      <c r="AH239" s="14">
        <f>SUM('Working sheet'!$R239:$T239)</f>
        <v>449.29999999999995</v>
      </c>
      <c r="AI239" s="14">
        <f>SUM('Working sheet'!$U239)</f>
        <v>152.6</v>
      </c>
      <c r="AJ239" s="14">
        <f>SUM('Working sheet'!$V239)</f>
        <v>146.9</v>
      </c>
      <c r="AK239" s="15">
        <f>SUM('Working sheet'!$W239:$AC239)</f>
        <v>1029.4000000000003</v>
      </c>
    </row>
    <row r="240" spans="1:37" hidden="1" x14ac:dyDescent="0.25">
      <c r="A240" s="16" t="s">
        <v>30</v>
      </c>
      <c r="B240" s="17">
        <v>2019</v>
      </c>
      <c r="C240" s="17" t="s">
        <v>39</v>
      </c>
      <c r="D240" s="17">
        <v>142.69999999999999</v>
      </c>
      <c r="E240" s="17">
        <v>158.69999999999999</v>
      </c>
      <c r="F240" s="17">
        <v>141.6</v>
      </c>
      <c r="G240" s="17">
        <v>144.9</v>
      </c>
      <c r="H240" s="17">
        <v>120.8</v>
      </c>
      <c r="I240" s="17">
        <v>149.80000000000001</v>
      </c>
      <c r="J240" s="17">
        <v>192.4</v>
      </c>
      <c r="K240" s="17">
        <v>130.30000000000001</v>
      </c>
      <c r="L240" s="17">
        <v>114</v>
      </c>
      <c r="M240" s="17">
        <v>143.80000000000001</v>
      </c>
      <c r="N240" s="17">
        <v>130</v>
      </c>
      <c r="O240" s="17">
        <v>156.4</v>
      </c>
      <c r="P240" s="17">
        <v>149.5</v>
      </c>
      <c r="Q240" s="17">
        <v>168.6</v>
      </c>
      <c r="R240" s="17">
        <v>145.30000000000001</v>
      </c>
      <c r="S240" s="17">
        <v>132.19999999999999</v>
      </c>
      <c r="T240" s="17">
        <v>143.30000000000001</v>
      </c>
      <c r="U240" s="17">
        <v>152.19999999999999</v>
      </c>
      <c r="V240" s="17">
        <v>126.6</v>
      </c>
      <c r="W240" s="17">
        <v>138.30000000000001</v>
      </c>
      <c r="X240" s="17">
        <v>141.9</v>
      </c>
      <c r="Y240" s="17">
        <v>121.2</v>
      </c>
      <c r="Z240" s="17">
        <v>135.9</v>
      </c>
      <c r="AA240" s="17">
        <v>151.6</v>
      </c>
      <c r="AB240" s="17">
        <v>139</v>
      </c>
      <c r="AC240" s="17">
        <v>135.69999999999999</v>
      </c>
      <c r="AD240" s="18">
        <v>144.69999999999999</v>
      </c>
      <c r="AF240" s="16">
        <f>SUM('Working sheet'!$D240:$P240)</f>
        <v>1874.9</v>
      </c>
      <c r="AG240" s="17">
        <f>SUM('Working sheet'!$Q240)</f>
        <v>168.6</v>
      </c>
      <c r="AH240" s="17">
        <f>SUM('Working sheet'!$R240:$T240)</f>
        <v>420.8</v>
      </c>
      <c r="AI240" s="17">
        <f>SUM('Working sheet'!$U240)</f>
        <v>152.19999999999999</v>
      </c>
      <c r="AJ240" s="17">
        <f>SUM('Working sheet'!$V240)</f>
        <v>126.6</v>
      </c>
      <c r="AK240" s="18">
        <f>SUM('Working sheet'!$W240:$AC240)</f>
        <v>963.60000000000014</v>
      </c>
    </row>
    <row r="241" spans="1:37" x14ac:dyDescent="0.25">
      <c r="A241" s="13" t="s">
        <v>31</v>
      </c>
      <c r="B241" s="14">
        <v>2019</v>
      </c>
      <c r="C241" s="14" t="s">
        <v>39</v>
      </c>
      <c r="D241" s="14">
        <v>140.9</v>
      </c>
      <c r="E241" s="14">
        <v>160.80000000000001</v>
      </c>
      <c r="F241" s="14">
        <v>139.6</v>
      </c>
      <c r="G241" s="14">
        <v>145.4</v>
      </c>
      <c r="H241" s="14">
        <v>123.5</v>
      </c>
      <c r="I241" s="14">
        <v>146.6</v>
      </c>
      <c r="J241" s="14">
        <v>173.2</v>
      </c>
      <c r="K241" s="14">
        <v>131.6</v>
      </c>
      <c r="L241" s="14">
        <v>113.2</v>
      </c>
      <c r="M241" s="14">
        <v>144.1</v>
      </c>
      <c r="N241" s="14">
        <v>135</v>
      </c>
      <c r="O241" s="14">
        <v>156.80000000000001</v>
      </c>
      <c r="P241" s="14">
        <v>147</v>
      </c>
      <c r="Q241" s="14">
        <v>166.5</v>
      </c>
      <c r="R241" s="14">
        <v>149.19999999999999</v>
      </c>
      <c r="S241" s="14">
        <v>140.6</v>
      </c>
      <c r="T241" s="14">
        <v>147.9</v>
      </c>
      <c r="U241" s="14">
        <v>152.19999999999999</v>
      </c>
      <c r="V241" s="14">
        <v>139.19999999999999</v>
      </c>
      <c r="W241" s="14">
        <v>144.6</v>
      </c>
      <c r="X241" s="14">
        <v>149</v>
      </c>
      <c r="Y241" s="14">
        <v>126.1</v>
      </c>
      <c r="Z241" s="14">
        <v>141.30000000000001</v>
      </c>
      <c r="AA241" s="14">
        <v>155.19999999999999</v>
      </c>
      <c r="AB241" s="14">
        <v>139.69999999999999</v>
      </c>
      <c r="AC241" s="14">
        <v>140.69999999999999</v>
      </c>
      <c r="AD241" s="15">
        <v>145.80000000000001</v>
      </c>
      <c r="AF241" s="13">
        <f>SUM('Working sheet'!$D241:$P241)</f>
        <v>1857.6999999999998</v>
      </c>
      <c r="AG241" s="14">
        <f>SUM('Working sheet'!$Q241)</f>
        <v>166.5</v>
      </c>
      <c r="AH241" s="14">
        <f>SUM('Working sheet'!$R241:$T241)</f>
        <v>437.69999999999993</v>
      </c>
      <c r="AI241" s="14">
        <f>SUM('Working sheet'!$U241)</f>
        <v>152.19999999999999</v>
      </c>
      <c r="AJ241" s="14">
        <f>SUM('Working sheet'!$V241)</f>
        <v>139.19999999999999</v>
      </c>
      <c r="AK241" s="15">
        <f>SUM('Working sheet'!$W241:$AC241)</f>
        <v>996.60000000000014</v>
      </c>
    </row>
    <row r="242" spans="1:37" hidden="1" x14ac:dyDescent="0.25">
      <c r="A242" s="16" t="s">
        <v>28</v>
      </c>
      <c r="B242" s="17">
        <v>2019</v>
      </c>
      <c r="C242" s="17" t="s">
        <v>40</v>
      </c>
      <c r="D242" s="17">
        <v>141</v>
      </c>
      <c r="E242" s="17">
        <v>161.6</v>
      </c>
      <c r="F242" s="17">
        <v>141.19999999999999</v>
      </c>
      <c r="G242" s="17">
        <v>146.5</v>
      </c>
      <c r="H242" s="17">
        <v>125.6</v>
      </c>
      <c r="I242" s="17">
        <v>145.69999999999999</v>
      </c>
      <c r="J242" s="17">
        <v>178.8</v>
      </c>
      <c r="K242" s="17">
        <v>133.1</v>
      </c>
      <c r="L242" s="17">
        <v>113.6</v>
      </c>
      <c r="M242" s="17">
        <v>145.5</v>
      </c>
      <c r="N242" s="17">
        <v>138.6</v>
      </c>
      <c r="O242" s="17">
        <v>157.4</v>
      </c>
      <c r="P242" s="17">
        <v>148.30000000000001</v>
      </c>
      <c r="Q242" s="17">
        <v>166.3</v>
      </c>
      <c r="R242" s="17">
        <v>151.69999999999999</v>
      </c>
      <c r="S242" s="17">
        <v>146.69999999999999</v>
      </c>
      <c r="T242" s="17">
        <v>151</v>
      </c>
      <c r="U242" s="17">
        <v>153.30000000000001</v>
      </c>
      <c r="V242" s="17">
        <v>147.69999999999999</v>
      </c>
      <c r="W242" s="17">
        <v>150.6</v>
      </c>
      <c r="X242" s="17">
        <v>153.69999999999999</v>
      </c>
      <c r="Y242" s="17">
        <v>131.69999999999999</v>
      </c>
      <c r="Z242" s="17">
        <v>148.69999999999999</v>
      </c>
      <c r="AA242" s="17">
        <v>160.69999999999999</v>
      </c>
      <c r="AB242" s="17">
        <v>140.30000000000001</v>
      </c>
      <c r="AC242" s="17">
        <v>145.69999999999999</v>
      </c>
      <c r="AD242" s="18">
        <v>148.30000000000001</v>
      </c>
      <c r="AF242" s="16">
        <f>SUM('Working sheet'!$D242:$P242)</f>
        <v>1876.8999999999996</v>
      </c>
      <c r="AG242" s="17">
        <f>SUM('Working sheet'!$Q242)</f>
        <v>166.3</v>
      </c>
      <c r="AH242" s="17">
        <f>SUM('Working sheet'!$R242:$T242)</f>
        <v>449.4</v>
      </c>
      <c r="AI242" s="17">
        <f>SUM('Working sheet'!$U242)</f>
        <v>153.30000000000001</v>
      </c>
      <c r="AJ242" s="17">
        <f>SUM('Working sheet'!$V242)</f>
        <v>147.69999999999999</v>
      </c>
      <c r="AK242" s="18">
        <f>SUM('Working sheet'!$W242:$AC242)</f>
        <v>1031.3999999999999</v>
      </c>
    </row>
    <row r="243" spans="1:37" hidden="1" x14ac:dyDescent="0.25">
      <c r="A243" s="13" t="s">
        <v>30</v>
      </c>
      <c r="B243" s="14">
        <v>2019</v>
      </c>
      <c r="C243" s="14" t="s">
        <v>40</v>
      </c>
      <c r="D243" s="14">
        <v>143.5</v>
      </c>
      <c r="E243" s="14">
        <v>159.80000000000001</v>
      </c>
      <c r="F243" s="14">
        <v>144.69999999999999</v>
      </c>
      <c r="G243" s="14">
        <v>145.6</v>
      </c>
      <c r="H243" s="14">
        <v>121.1</v>
      </c>
      <c r="I243" s="14">
        <v>150.6</v>
      </c>
      <c r="J243" s="14">
        <v>207.2</v>
      </c>
      <c r="K243" s="14">
        <v>131.19999999999999</v>
      </c>
      <c r="L243" s="14">
        <v>114.8</v>
      </c>
      <c r="M243" s="14">
        <v>145.19999999999999</v>
      </c>
      <c r="N243" s="14">
        <v>130.19999999999999</v>
      </c>
      <c r="O243" s="14">
        <v>156.80000000000001</v>
      </c>
      <c r="P243" s="14">
        <v>151.9</v>
      </c>
      <c r="Q243" s="14">
        <v>169.3</v>
      </c>
      <c r="R243" s="14">
        <v>145.9</v>
      </c>
      <c r="S243" s="14">
        <v>132.4</v>
      </c>
      <c r="T243" s="14">
        <v>143.9</v>
      </c>
      <c r="U243" s="14">
        <v>153</v>
      </c>
      <c r="V243" s="14">
        <v>128.9</v>
      </c>
      <c r="W243" s="14">
        <v>138.69999999999999</v>
      </c>
      <c r="X243" s="14">
        <v>142.4</v>
      </c>
      <c r="Y243" s="14">
        <v>121.5</v>
      </c>
      <c r="Z243" s="14">
        <v>136.19999999999999</v>
      </c>
      <c r="AA243" s="14">
        <v>151.69999999999999</v>
      </c>
      <c r="AB243" s="14">
        <v>139.5</v>
      </c>
      <c r="AC243" s="14">
        <v>136</v>
      </c>
      <c r="AD243" s="15">
        <v>146</v>
      </c>
      <c r="AF243" s="13">
        <f>SUM('Working sheet'!$D243:$P243)</f>
        <v>1902.6000000000001</v>
      </c>
      <c r="AG243" s="14">
        <f>SUM('Working sheet'!$Q243)</f>
        <v>169.3</v>
      </c>
      <c r="AH243" s="14">
        <f>SUM('Working sheet'!$R243:$T243)</f>
        <v>422.20000000000005</v>
      </c>
      <c r="AI243" s="14">
        <f>SUM('Working sheet'!$U243)</f>
        <v>153</v>
      </c>
      <c r="AJ243" s="14">
        <f>SUM('Working sheet'!$V243)</f>
        <v>128.9</v>
      </c>
      <c r="AK243" s="15">
        <f>SUM('Working sheet'!$W243:$AC243)</f>
        <v>966</v>
      </c>
    </row>
    <row r="244" spans="1:37" x14ac:dyDescent="0.25">
      <c r="A244" s="16" t="s">
        <v>31</v>
      </c>
      <c r="B244" s="17">
        <v>2019</v>
      </c>
      <c r="C244" s="17" t="s">
        <v>40</v>
      </c>
      <c r="D244" s="17">
        <v>141.80000000000001</v>
      </c>
      <c r="E244" s="17">
        <v>161</v>
      </c>
      <c r="F244" s="17">
        <v>142.6</v>
      </c>
      <c r="G244" s="17">
        <v>146.19999999999999</v>
      </c>
      <c r="H244" s="17">
        <v>123.9</v>
      </c>
      <c r="I244" s="17">
        <v>148</v>
      </c>
      <c r="J244" s="17">
        <v>188.4</v>
      </c>
      <c r="K244" s="17">
        <v>132.5</v>
      </c>
      <c r="L244" s="17">
        <v>114</v>
      </c>
      <c r="M244" s="17">
        <v>145.4</v>
      </c>
      <c r="N244" s="17">
        <v>135.1</v>
      </c>
      <c r="O244" s="17">
        <v>157.1</v>
      </c>
      <c r="P244" s="17">
        <v>149.6</v>
      </c>
      <c r="Q244" s="17">
        <v>167.1</v>
      </c>
      <c r="R244" s="17">
        <v>149.4</v>
      </c>
      <c r="S244" s="17">
        <v>140.80000000000001</v>
      </c>
      <c r="T244" s="17">
        <v>148.19999999999999</v>
      </c>
      <c r="U244" s="17">
        <v>153</v>
      </c>
      <c r="V244" s="17">
        <v>140.6</v>
      </c>
      <c r="W244" s="17">
        <v>145</v>
      </c>
      <c r="X244" s="17">
        <v>149.4</v>
      </c>
      <c r="Y244" s="17">
        <v>126.3</v>
      </c>
      <c r="Z244" s="17">
        <v>141.69999999999999</v>
      </c>
      <c r="AA244" s="17">
        <v>155.4</v>
      </c>
      <c r="AB244" s="17">
        <v>140</v>
      </c>
      <c r="AC244" s="17">
        <v>141</v>
      </c>
      <c r="AD244" s="18">
        <v>147.19999999999999</v>
      </c>
      <c r="AF244" s="16">
        <f>SUM('Working sheet'!$D244:$P244)</f>
        <v>1885.5999999999997</v>
      </c>
      <c r="AG244" s="17">
        <f>SUM('Working sheet'!$Q244)</f>
        <v>167.1</v>
      </c>
      <c r="AH244" s="17">
        <f>SUM('Working sheet'!$R244:$T244)</f>
        <v>438.40000000000003</v>
      </c>
      <c r="AI244" s="17">
        <f>SUM('Working sheet'!$U244)</f>
        <v>153</v>
      </c>
      <c r="AJ244" s="17">
        <f>SUM('Working sheet'!$V244)</f>
        <v>140.6</v>
      </c>
      <c r="AK244" s="18">
        <f>SUM('Working sheet'!$W244:$AC244)</f>
        <v>998.8</v>
      </c>
    </row>
    <row r="245" spans="1:37" hidden="1" x14ac:dyDescent="0.25">
      <c r="A245" s="13" t="s">
        <v>28</v>
      </c>
      <c r="B245" s="14">
        <v>2019</v>
      </c>
      <c r="C245" s="14" t="s">
        <v>42</v>
      </c>
      <c r="D245" s="14">
        <v>141.80000000000001</v>
      </c>
      <c r="E245" s="14">
        <v>163.69999999999999</v>
      </c>
      <c r="F245" s="14">
        <v>143.80000000000001</v>
      </c>
      <c r="G245" s="14">
        <v>147.1</v>
      </c>
      <c r="H245" s="14">
        <v>126</v>
      </c>
      <c r="I245" s="14">
        <v>146.19999999999999</v>
      </c>
      <c r="J245" s="14">
        <v>191.4</v>
      </c>
      <c r="K245" s="14">
        <v>136.19999999999999</v>
      </c>
      <c r="L245" s="14">
        <v>113.8</v>
      </c>
      <c r="M245" s="14">
        <v>147.30000000000001</v>
      </c>
      <c r="N245" s="14">
        <v>138.69999999999999</v>
      </c>
      <c r="O245" s="14">
        <v>157.69999999999999</v>
      </c>
      <c r="P245" s="14">
        <v>150.9</v>
      </c>
      <c r="Q245" s="14">
        <v>167.2</v>
      </c>
      <c r="R245" s="14">
        <v>152.30000000000001</v>
      </c>
      <c r="S245" s="14">
        <v>147</v>
      </c>
      <c r="T245" s="14">
        <v>151.5</v>
      </c>
      <c r="U245" s="14">
        <v>153.19999999999999</v>
      </c>
      <c r="V245" s="14">
        <v>148.4</v>
      </c>
      <c r="W245" s="14">
        <v>150.9</v>
      </c>
      <c r="X245" s="14">
        <v>154.30000000000001</v>
      </c>
      <c r="Y245" s="14">
        <v>132.1</v>
      </c>
      <c r="Z245" s="14">
        <v>149.1</v>
      </c>
      <c r="AA245" s="14">
        <v>160.80000000000001</v>
      </c>
      <c r="AB245" s="14">
        <v>140.6</v>
      </c>
      <c r="AC245" s="14">
        <v>146.1</v>
      </c>
      <c r="AD245" s="15">
        <v>149.9</v>
      </c>
      <c r="AF245" s="13">
        <f>SUM('Working sheet'!$D245:$P245)</f>
        <v>1904.6000000000001</v>
      </c>
      <c r="AG245" s="14">
        <f>SUM('Working sheet'!$Q245)</f>
        <v>167.2</v>
      </c>
      <c r="AH245" s="14">
        <f>SUM('Working sheet'!$R245:$T245)</f>
        <v>450.8</v>
      </c>
      <c r="AI245" s="14">
        <f>SUM('Working sheet'!$U245)</f>
        <v>153.19999999999999</v>
      </c>
      <c r="AJ245" s="14">
        <f>SUM('Working sheet'!$V245)</f>
        <v>148.4</v>
      </c>
      <c r="AK245" s="15">
        <f>SUM('Working sheet'!$W245:$AC245)</f>
        <v>1033.9000000000001</v>
      </c>
    </row>
    <row r="246" spans="1:37" hidden="1" x14ac:dyDescent="0.25">
      <c r="A246" s="16" t="s">
        <v>30</v>
      </c>
      <c r="B246" s="17">
        <v>2019</v>
      </c>
      <c r="C246" s="17" t="s">
        <v>42</v>
      </c>
      <c r="D246" s="17">
        <v>144.1</v>
      </c>
      <c r="E246" s="17">
        <v>162.4</v>
      </c>
      <c r="F246" s="17">
        <v>148.4</v>
      </c>
      <c r="G246" s="17">
        <v>145.9</v>
      </c>
      <c r="H246" s="17">
        <v>121.5</v>
      </c>
      <c r="I246" s="17">
        <v>148.80000000000001</v>
      </c>
      <c r="J246" s="17">
        <v>215.7</v>
      </c>
      <c r="K246" s="17">
        <v>134.6</v>
      </c>
      <c r="L246" s="17">
        <v>115</v>
      </c>
      <c r="M246" s="17">
        <v>146.30000000000001</v>
      </c>
      <c r="N246" s="17">
        <v>130.5</v>
      </c>
      <c r="O246" s="17">
        <v>157.19999999999999</v>
      </c>
      <c r="P246" s="17">
        <v>153.6</v>
      </c>
      <c r="Q246" s="17">
        <v>169.9</v>
      </c>
      <c r="R246" s="17">
        <v>146.30000000000001</v>
      </c>
      <c r="S246" s="17">
        <v>132.6</v>
      </c>
      <c r="T246" s="17">
        <v>144.19999999999999</v>
      </c>
      <c r="U246" s="17">
        <v>153.5</v>
      </c>
      <c r="V246" s="17">
        <v>132.19999999999999</v>
      </c>
      <c r="W246" s="17">
        <v>139.1</v>
      </c>
      <c r="X246" s="17">
        <v>142.80000000000001</v>
      </c>
      <c r="Y246" s="17">
        <v>121.7</v>
      </c>
      <c r="Z246" s="17">
        <v>136.69999999999999</v>
      </c>
      <c r="AA246" s="17">
        <v>151.80000000000001</v>
      </c>
      <c r="AB246" s="17">
        <v>139.80000000000001</v>
      </c>
      <c r="AC246" s="17">
        <v>136.30000000000001</v>
      </c>
      <c r="AD246" s="18">
        <v>147</v>
      </c>
      <c r="AF246" s="16">
        <f>SUM('Working sheet'!$D246:$P246)</f>
        <v>1923.9999999999998</v>
      </c>
      <c r="AG246" s="17">
        <f>SUM('Working sheet'!$Q246)</f>
        <v>169.9</v>
      </c>
      <c r="AH246" s="17">
        <f>SUM('Working sheet'!$R246:$T246)</f>
        <v>423.09999999999997</v>
      </c>
      <c r="AI246" s="17">
        <f>SUM('Working sheet'!$U246)</f>
        <v>153.5</v>
      </c>
      <c r="AJ246" s="17">
        <f>SUM('Working sheet'!$V246)</f>
        <v>132.19999999999999</v>
      </c>
      <c r="AK246" s="18">
        <f>SUM('Working sheet'!$W246:$AC246)</f>
        <v>968.19999999999982</v>
      </c>
    </row>
    <row r="247" spans="1:37" x14ac:dyDescent="0.25">
      <c r="A247" s="13" t="s">
        <v>31</v>
      </c>
      <c r="B247" s="14">
        <v>2019</v>
      </c>
      <c r="C247" s="14" t="s">
        <v>42</v>
      </c>
      <c r="D247" s="14">
        <v>142.5</v>
      </c>
      <c r="E247" s="14">
        <v>163.19999999999999</v>
      </c>
      <c r="F247" s="14">
        <v>145.6</v>
      </c>
      <c r="G247" s="14">
        <v>146.69999999999999</v>
      </c>
      <c r="H247" s="14">
        <v>124.3</v>
      </c>
      <c r="I247" s="14">
        <v>147.4</v>
      </c>
      <c r="J247" s="14">
        <v>199.6</v>
      </c>
      <c r="K247" s="14">
        <v>135.69999999999999</v>
      </c>
      <c r="L247" s="14">
        <v>114.2</v>
      </c>
      <c r="M247" s="14">
        <v>147</v>
      </c>
      <c r="N247" s="14">
        <v>135.30000000000001</v>
      </c>
      <c r="O247" s="14">
        <v>157.5</v>
      </c>
      <c r="P247" s="14">
        <v>151.9</v>
      </c>
      <c r="Q247" s="14">
        <v>167.9</v>
      </c>
      <c r="R247" s="14">
        <v>149.9</v>
      </c>
      <c r="S247" s="14">
        <v>141</v>
      </c>
      <c r="T247" s="14">
        <v>148.6</v>
      </c>
      <c r="U247" s="14">
        <v>153.5</v>
      </c>
      <c r="V247" s="14">
        <v>142.30000000000001</v>
      </c>
      <c r="W247" s="14">
        <v>145.30000000000001</v>
      </c>
      <c r="X247" s="14">
        <v>149.9</v>
      </c>
      <c r="Y247" s="14">
        <v>126.6</v>
      </c>
      <c r="Z247" s="14">
        <v>142.1</v>
      </c>
      <c r="AA247" s="14">
        <v>155.5</v>
      </c>
      <c r="AB247" s="14">
        <v>140.30000000000001</v>
      </c>
      <c r="AC247" s="14">
        <v>141.30000000000001</v>
      </c>
      <c r="AD247" s="15">
        <v>148.6</v>
      </c>
      <c r="AF247" s="13">
        <f>SUM('Working sheet'!$D247:$P247)</f>
        <v>1910.9</v>
      </c>
      <c r="AG247" s="14">
        <f>SUM('Working sheet'!$Q247)</f>
        <v>167.9</v>
      </c>
      <c r="AH247" s="14">
        <f>SUM('Working sheet'!$R247:$T247)</f>
        <v>439.5</v>
      </c>
      <c r="AI247" s="14">
        <f>SUM('Working sheet'!$U247)</f>
        <v>153.5</v>
      </c>
      <c r="AJ247" s="14">
        <f>SUM('Working sheet'!$V247)</f>
        <v>142.30000000000001</v>
      </c>
      <c r="AK247" s="15">
        <f>SUM('Working sheet'!$W247:$AC247)</f>
        <v>1001</v>
      </c>
    </row>
    <row r="248" spans="1:37" hidden="1" x14ac:dyDescent="0.25">
      <c r="A248" s="16" t="s">
        <v>28</v>
      </c>
      <c r="B248" s="17">
        <v>2019</v>
      </c>
      <c r="C248" s="17" t="s">
        <v>43</v>
      </c>
      <c r="D248" s="17">
        <v>142.80000000000001</v>
      </c>
      <c r="E248" s="17">
        <v>165.3</v>
      </c>
      <c r="F248" s="17">
        <v>149.5</v>
      </c>
      <c r="G248" s="17">
        <v>148.69999999999999</v>
      </c>
      <c r="H248" s="17">
        <v>127.5</v>
      </c>
      <c r="I248" s="17">
        <v>144.30000000000001</v>
      </c>
      <c r="J248" s="17">
        <v>209.5</v>
      </c>
      <c r="K248" s="17">
        <v>138.80000000000001</v>
      </c>
      <c r="L248" s="17">
        <v>113.6</v>
      </c>
      <c r="M248" s="17">
        <v>149.1</v>
      </c>
      <c r="N248" s="17">
        <v>139.30000000000001</v>
      </c>
      <c r="O248" s="17">
        <v>158.30000000000001</v>
      </c>
      <c r="P248" s="17">
        <v>154.30000000000001</v>
      </c>
      <c r="Q248" s="17">
        <v>167.8</v>
      </c>
      <c r="R248" s="17">
        <v>152.6</v>
      </c>
      <c r="S248" s="17">
        <v>147.30000000000001</v>
      </c>
      <c r="T248" s="17">
        <v>151.9</v>
      </c>
      <c r="U248" s="17">
        <v>153.4</v>
      </c>
      <c r="V248" s="17">
        <v>149.9</v>
      </c>
      <c r="W248" s="17">
        <v>151.19999999999999</v>
      </c>
      <c r="X248" s="17">
        <v>154.80000000000001</v>
      </c>
      <c r="Y248" s="17">
        <v>135</v>
      </c>
      <c r="Z248" s="17">
        <v>149.5</v>
      </c>
      <c r="AA248" s="17">
        <v>161.1</v>
      </c>
      <c r="AB248" s="17">
        <v>140.6</v>
      </c>
      <c r="AC248" s="17">
        <v>147.1</v>
      </c>
      <c r="AD248" s="18">
        <v>152.30000000000001</v>
      </c>
      <c r="AF248" s="16">
        <f>SUM('Working sheet'!$D248:$P248)</f>
        <v>1940.9999999999995</v>
      </c>
      <c r="AG248" s="17">
        <f>SUM('Working sheet'!$Q248)</f>
        <v>167.8</v>
      </c>
      <c r="AH248" s="17">
        <f>SUM('Working sheet'!$R248:$T248)</f>
        <v>451.79999999999995</v>
      </c>
      <c r="AI248" s="17">
        <f>SUM('Working sheet'!$U248)</f>
        <v>153.4</v>
      </c>
      <c r="AJ248" s="17">
        <f>SUM('Working sheet'!$V248)</f>
        <v>149.9</v>
      </c>
      <c r="AK248" s="18">
        <f>SUM('Working sheet'!$W248:$AC248)</f>
        <v>1039.3</v>
      </c>
    </row>
    <row r="249" spans="1:37" hidden="1" x14ac:dyDescent="0.25">
      <c r="A249" s="13" t="s">
        <v>30</v>
      </c>
      <c r="B249" s="14">
        <v>2019</v>
      </c>
      <c r="C249" s="14" t="s">
        <v>43</v>
      </c>
      <c r="D249" s="14">
        <v>144.9</v>
      </c>
      <c r="E249" s="14">
        <v>164.5</v>
      </c>
      <c r="F249" s="14">
        <v>153.69999999999999</v>
      </c>
      <c r="G249" s="14">
        <v>147.5</v>
      </c>
      <c r="H249" s="14">
        <v>122.7</v>
      </c>
      <c r="I249" s="14">
        <v>147.19999999999999</v>
      </c>
      <c r="J249" s="14">
        <v>231.5</v>
      </c>
      <c r="K249" s="14">
        <v>137.19999999999999</v>
      </c>
      <c r="L249" s="14">
        <v>114.7</v>
      </c>
      <c r="M249" s="14">
        <v>148</v>
      </c>
      <c r="N249" s="14">
        <v>130.80000000000001</v>
      </c>
      <c r="O249" s="14">
        <v>157.69999999999999</v>
      </c>
      <c r="P249" s="14">
        <v>156.30000000000001</v>
      </c>
      <c r="Q249" s="14">
        <v>170.4</v>
      </c>
      <c r="R249" s="14">
        <v>146.80000000000001</v>
      </c>
      <c r="S249" s="14">
        <v>132.80000000000001</v>
      </c>
      <c r="T249" s="14">
        <v>144.6</v>
      </c>
      <c r="U249" s="14">
        <v>152.80000000000001</v>
      </c>
      <c r="V249" s="14">
        <v>133.6</v>
      </c>
      <c r="W249" s="14">
        <v>139.80000000000001</v>
      </c>
      <c r="X249" s="14">
        <v>143.19999999999999</v>
      </c>
      <c r="Y249" s="14">
        <v>125.2</v>
      </c>
      <c r="Z249" s="14">
        <v>136.80000000000001</v>
      </c>
      <c r="AA249" s="14">
        <v>151.9</v>
      </c>
      <c r="AB249" s="14">
        <v>140.19999999999999</v>
      </c>
      <c r="AC249" s="14">
        <v>137.69999999999999</v>
      </c>
      <c r="AD249" s="15">
        <v>148.30000000000001</v>
      </c>
      <c r="AF249" s="13">
        <f>SUM('Working sheet'!$D249:$P249)</f>
        <v>1956.7</v>
      </c>
      <c r="AG249" s="14">
        <f>SUM('Working sheet'!$Q249)</f>
        <v>170.4</v>
      </c>
      <c r="AH249" s="14">
        <f>SUM('Working sheet'!$R249:$T249)</f>
        <v>424.20000000000005</v>
      </c>
      <c r="AI249" s="14">
        <f>SUM('Working sheet'!$U249)</f>
        <v>152.80000000000001</v>
      </c>
      <c r="AJ249" s="14">
        <f>SUM('Working sheet'!$V249)</f>
        <v>133.6</v>
      </c>
      <c r="AK249" s="15">
        <f>SUM('Working sheet'!$W249:$AC249)</f>
        <v>974.8</v>
      </c>
    </row>
    <row r="250" spans="1:37" x14ac:dyDescent="0.25">
      <c r="A250" s="16" t="s">
        <v>31</v>
      </c>
      <c r="B250" s="17">
        <v>2019</v>
      </c>
      <c r="C250" s="17" t="s">
        <v>43</v>
      </c>
      <c r="D250" s="17">
        <v>143.5</v>
      </c>
      <c r="E250" s="17">
        <v>165</v>
      </c>
      <c r="F250" s="17">
        <v>151.1</v>
      </c>
      <c r="G250" s="17">
        <v>148.30000000000001</v>
      </c>
      <c r="H250" s="17">
        <v>125.7</v>
      </c>
      <c r="I250" s="17">
        <v>145.69999999999999</v>
      </c>
      <c r="J250" s="17">
        <v>217</v>
      </c>
      <c r="K250" s="17">
        <v>138.30000000000001</v>
      </c>
      <c r="L250" s="17">
        <v>114</v>
      </c>
      <c r="M250" s="17">
        <v>148.69999999999999</v>
      </c>
      <c r="N250" s="17">
        <v>135.80000000000001</v>
      </c>
      <c r="O250" s="17">
        <v>158</v>
      </c>
      <c r="P250" s="17">
        <v>155</v>
      </c>
      <c r="Q250" s="17">
        <v>168.5</v>
      </c>
      <c r="R250" s="17">
        <v>150.30000000000001</v>
      </c>
      <c r="S250" s="17">
        <v>141.30000000000001</v>
      </c>
      <c r="T250" s="17">
        <v>149</v>
      </c>
      <c r="U250" s="17">
        <v>152.80000000000001</v>
      </c>
      <c r="V250" s="17">
        <v>143.69999999999999</v>
      </c>
      <c r="W250" s="17">
        <v>145.80000000000001</v>
      </c>
      <c r="X250" s="17">
        <v>150.4</v>
      </c>
      <c r="Y250" s="17">
        <v>129.80000000000001</v>
      </c>
      <c r="Z250" s="17">
        <v>142.30000000000001</v>
      </c>
      <c r="AA250" s="17">
        <v>155.69999999999999</v>
      </c>
      <c r="AB250" s="17">
        <v>140.4</v>
      </c>
      <c r="AC250" s="17">
        <v>142.5</v>
      </c>
      <c r="AD250" s="18">
        <v>150.4</v>
      </c>
      <c r="AF250" s="16">
        <f>SUM('Working sheet'!$D250:$P250)</f>
        <v>1946.1000000000001</v>
      </c>
      <c r="AG250" s="17">
        <f>SUM('Working sheet'!$Q250)</f>
        <v>168.5</v>
      </c>
      <c r="AH250" s="17">
        <f>SUM('Working sheet'!$R250:$T250)</f>
        <v>440.6</v>
      </c>
      <c r="AI250" s="17">
        <f>SUM('Working sheet'!$U250)</f>
        <v>152.80000000000001</v>
      </c>
      <c r="AJ250" s="17">
        <f>SUM('Working sheet'!$V250)</f>
        <v>143.69999999999999</v>
      </c>
      <c r="AK250" s="18">
        <f>SUM('Working sheet'!$W250:$AC250)</f>
        <v>1006.9</v>
      </c>
    </row>
    <row r="251" spans="1:37" hidden="1" x14ac:dyDescent="0.25">
      <c r="A251" s="13" t="s">
        <v>28</v>
      </c>
      <c r="B251" s="14">
        <v>2020</v>
      </c>
      <c r="C251" s="14" t="s">
        <v>29</v>
      </c>
      <c r="D251" s="14">
        <v>143.69999999999999</v>
      </c>
      <c r="E251" s="14">
        <v>167.3</v>
      </c>
      <c r="F251" s="14">
        <v>153.5</v>
      </c>
      <c r="G251" s="14">
        <v>150.5</v>
      </c>
      <c r="H251" s="14">
        <v>132</v>
      </c>
      <c r="I251" s="14">
        <v>142.19999999999999</v>
      </c>
      <c r="J251" s="14">
        <v>191.5</v>
      </c>
      <c r="K251" s="14">
        <v>141.1</v>
      </c>
      <c r="L251" s="14">
        <v>113.8</v>
      </c>
      <c r="M251" s="14">
        <v>151.6</v>
      </c>
      <c r="N251" s="14">
        <v>139.69999999999999</v>
      </c>
      <c r="O251" s="14">
        <v>158.69999999999999</v>
      </c>
      <c r="P251" s="14">
        <v>153</v>
      </c>
      <c r="Q251" s="14">
        <v>168.6</v>
      </c>
      <c r="R251" s="14">
        <v>152.80000000000001</v>
      </c>
      <c r="S251" s="14">
        <v>147.4</v>
      </c>
      <c r="T251" s="14">
        <v>152.1</v>
      </c>
      <c r="U251" s="14">
        <v>154.4</v>
      </c>
      <c r="V251" s="14">
        <v>150.4</v>
      </c>
      <c r="W251" s="14">
        <v>151.69999999999999</v>
      </c>
      <c r="X251" s="14">
        <v>155.69999999999999</v>
      </c>
      <c r="Y251" s="14">
        <v>136.30000000000001</v>
      </c>
      <c r="Z251" s="14">
        <v>150.1</v>
      </c>
      <c r="AA251" s="14">
        <v>161.69999999999999</v>
      </c>
      <c r="AB251" s="14">
        <v>142.5</v>
      </c>
      <c r="AC251" s="14">
        <v>148.1</v>
      </c>
      <c r="AD251" s="15">
        <v>151.9</v>
      </c>
      <c r="AF251" s="13">
        <f>SUM('Working sheet'!$D251:$P251)</f>
        <v>1938.6</v>
      </c>
      <c r="AG251" s="14">
        <f>SUM('Working sheet'!$Q251)</f>
        <v>168.6</v>
      </c>
      <c r="AH251" s="14">
        <f>SUM('Working sheet'!$R251:$T251)</f>
        <v>452.30000000000007</v>
      </c>
      <c r="AI251" s="14">
        <f>SUM('Working sheet'!$U251)</f>
        <v>154.4</v>
      </c>
      <c r="AJ251" s="14">
        <f>SUM('Working sheet'!$V251)</f>
        <v>150.4</v>
      </c>
      <c r="AK251" s="15">
        <f>SUM('Working sheet'!$W251:$AC251)</f>
        <v>1046.0999999999999</v>
      </c>
    </row>
    <row r="252" spans="1:37" hidden="1" x14ac:dyDescent="0.25">
      <c r="A252" s="16" t="s">
        <v>30</v>
      </c>
      <c r="B252" s="17">
        <v>2020</v>
      </c>
      <c r="C252" s="17" t="s">
        <v>29</v>
      </c>
      <c r="D252" s="17">
        <v>145.6</v>
      </c>
      <c r="E252" s="17">
        <v>167.6</v>
      </c>
      <c r="F252" s="17">
        <v>157</v>
      </c>
      <c r="G252" s="17">
        <v>149.30000000000001</v>
      </c>
      <c r="H252" s="17">
        <v>126.3</v>
      </c>
      <c r="I252" s="17">
        <v>144.4</v>
      </c>
      <c r="J252" s="17">
        <v>207.8</v>
      </c>
      <c r="K252" s="17">
        <v>139.1</v>
      </c>
      <c r="L252" s="17">
        <v>114.8</v>
      </c>
      <c r="M252" s="17">
        <v>149.5</v>
      </c>
      <c r="N252" s="17">
        <v>131.1</v>
      </c>
      <c r="O252" s="17">
        <v>158.5</v>
      </c>
      <c r="P252" s="17">
        <v>154.4</v>
      </c>
      <c r="Q252" s="17">
        <v>170.8</v>
      </c>
      <c r="R252" s="17">
        <v>147</v>
      </c>
      <c r="S252" s="17">
        <v>133.19999999999999</v>
      </c>
      <c r="T252" s="17">
        <v>144.9</v>
      </c>
      <c r="U252" s="17">
        <v>153.9</v>
      </c>
      <c r="V252" s="17">
        <v>135.1</v>
      </c>
      <c r="W252" s="17">
        <v>140.1</v>
      </c>
      <c r="X252" s="17">
        <v>143.80000000000001</v>
      </c>
      <c r="Y252" s="17">
        <v>126.1</v>
      </c>
      <c r="Z252" s="17">
        <v>137.19999999999999</v>
      </c>
      <c r="AA252" s="17">
        <v>152.1</v>
      </c>
      <c r="AB252" s="17">
        <v>142.1</v>
      </c>
      <c r="AC252" s="17">
        <v>138.4</v>
      </c>
      <c r="AD252" s="18">
        <v>148.19999999999999</v>
      </c>
      <c r="AF252" s="16">
        <f>SUM('Working sheet'!$D252:$P252)</f>
        <v>1945.3999999999999</v>
      </c>
      <c r="AG252" s="17">
        <f>SUM('Working sheet'!$Q252)</f>
        <v>170.8</v>
      </c>
      <c r="AH252" s="17">
        <f>SUM('Working sheet'!$R252:$T252)</f>
        <v>425.1</v>
      </c>
      <c r="AI252" s="17">
        <f>SUM('Working sheet'!$U252)</f>
        <v>153.9</v>
      </c>
      <c r="AJ252" s="17">
        <f>SUM('Working sheet'!$V252)</f>
        <v>135.1</v>
      </c>
      <c r="AK252" s="18">
        <f>SUM('Working sheet'!$W252:$AC252)</f>
        <v>979.80000000000007</v>
      </c>
    </row>
    <row r="253" spans="1:37" x14ac:dyDescent="0.25">
      <c r="A253" s="13" t="s">
        <v>31</v>
      </c>
      <c r="B253" s="14">
        <v>2020</v>
      </c>
      <c r="C253" s="14" t="s">
        <v>29</v>
      </c>
      <c r="D253" s="14">
        <v>144.30000000000001</v>
      </c>
      <c r="E253" s="14">
        <v>167.4</v>
      </c>
      <c r="F253" s="14">
        <v>154.9</v>
      </c>
      <c r="G253" s="14">
        <v>150.1</v>
      </c>
      <c r="H253" s="14">
        <v>129.9</v>
      </c>
      <c r="I253" s="14">
        <v>143.19999999999999</v>
      </c>
      <c r="J253" s="14">
        <v>197</v>
      </c>
      <c r="K253" s="14">
        <v>140.4</v>
      </c>
      <c r="L253" s="14">
        <v>114.1</v>
      </c>
      <c r="M253" s="14">
        <v>150.9</v>
      </c>
      <c r="N253" s="14">
        <v>136.1</v>
      </c>
      <c r="O253" s="14">
        <v>158.6</v>
      </c>
      <c r="P253" s="14">
        <v>153.5</v>
      </c>
      <c r="Q253" s="14">
        <v>169.2</v>
      </c>
      <c r="R253" s="14">
        <v>150.5</v>
      </c>
      <c r="S253" s="14">
        <v>141.5</v>
      </c>
      <c r="T253" s="14">
        <v>149.19999999999999</v>
      </c>
      <c r="U253" s="14">
        <v>153.9</v>
      </c>
      <c r="V253" s="14">
        <v>144.6</v>
      </c>
      <c r="W253" s="14">
        <v>146.19999999999999</v>
      </c>
      <c r="X253" s="14">
        <v>151.19999999999999</v>
      </c>
      <c r="Y253" s="14">
        <v>130.9</v>
      </c>
      <c r="Z253" s="14">
        <v>142.80000000000001</v>
      </c>
      <c r="AA253" s="14">
        <v>156.1</v>
      </c>
      <c r="AB253" s="14">
        <v>142.30000000000001</v>
      </c>
      <c r="AC253" s="14">
        <v>143.4</v>
      </c>
      <c r="AD253" s="15">
        <v>150.19999999999999</v>
      </c>
      <c r="AF253" s="13">
        <f>SUM('Working sheet'!$D253:$P253)</f>
        <v>1940.3999999999999</v>
      </c>
      <c r="AG253" s="14">
        <f>SUM('Working sheet'!$Q253)</f>
        <v>169.2</v>
      </c>
      <c r="AH253" s="14">
        <f>SUM('Working sheet'!$R253:$T253)</f>
        <v>441.2</v>
      </c>
      <c r="AI253" s="14">
        <f>SUM('Working sheet'!$U253)</f>
        <v>153.9</v>
      </c>
      <c r="AJ253" s="14">
        <f>SUM('Working sheet'!$V253)</f>
        <v>144.6</v>
      </c>
      <c r="AK253" s="15">
        <f>SUM('Working sheet'!$W253:$AC253)</f>
        <v>1012.9</v>
      </c>
    </row>
    <row r="254" spans="1:37" hidden="1" x14ac:dyDescent="0.25">
      <c r="A254" s="16" t="s">
        <v>28</v>
      </c>
      <c r="B254" s="17">
        <v>2020</v>
      </c>
      <c r="C254" s="17" t="s">
        <v>32</v>
      </c>
      <c r="D254" s="17">
        <v>144.19999999999999</v>
      </c>
      <c r="E254" s="17">
        <v>167.5</v>
      </c>
      <c r="F254" s="17">
        <v>150.9</v>
      </c>
      <c r="G254" s="17">
        <v>150.9</v>
      </c>
      <c r="H254" s="17">
        <v>133.69999999999999</v>
      </c>
      <c r="I254" s="17">
        <v>140.69999999999999</v>
      </c>
      <c r="J254" s="17">
        <v>165.1</v>
      </c>
      <c r="K254" s="17">
        <v>141.80000000000001</v>
      </c>
      <c r="L254" s="17">
        <v>113.1</v>
      </c>
      <c r="M254" s="17">
        <v>152.80000000000001</v>
      </c>
      <c r="N254" s="17">
        <v>140.1</v>
      </c>
      <c r="O254" s="17">
        <v>159.19999999999999</v>
      </c>
      <c r="P254" s="17">
        <v>149.80000000000001</v>
      </c>
      <c r="Q254" s="17">
        <v>169.4</v>
      </c>
      <c r="R254" s="17">
        <v>153</v>
      </c>
      <c r="S254" s="17">
        <v>147.5</v>
      </c>
      <c r="T254" s="17">
        <v>152.30000000000001</v>
      </c>
      <c r="U254" s="17">
        <v>154.69999999999999</v>
      </c>
      <c r="V254" s="17">
        <v>152.30000000000001</v>
      </c>
      <c r="W254" s="17">
        <v>151.80000000000001</v>
      </c>
      <c r="X254" s="17">
        <v>156.19999999999999</v>
      </c>
      <c r="Y254" s="17">
        <v>136</v>
      </c>
      <c r="Z254" s="17">
        <v>150.4</v>
      </c>
      <c r="AA254" s="17">
        <v>161.9</v>
      </c>
      <c r="AB254" s="17">
        <v>143.4</v>
      </c>
      <c r="AC254" s="17">
        <v>148.4</v>
      </c>
      <c r="AD254" s="18">
        <v>150.4</v>
      </c>
      <c r="AF254" s="16">
        <f>SUM('Working sheet'!$D254:$P254)</f>
        <v>1909.7999999999997</v>
      </c>
      <c r="AG254" s="17">
        <f>SUM('Working sheet'!$Q254)</f>
        <v>169.4</v>
      </c>
      <c r="AH254" s="17">
        <f>SUM('Working sheet'!$R254:$T254)</f>
        <v>452.8</v>
      </c>
      <c r="AI254" s="17">
        <f>SUM('Working sheet'!$U254)</f>
        <v>154.69999999999999</v>
      </c>
      <c r="AJ254" s="17">
        <f>SUM('Working sheet'!$V254)</f>
        <v>152.30000000000001</v>
      </c>
      <c r="AK254" s="18">
        <f>SUM('Working sheet'!$W254:$AC254)</f>
        <v>1048.0999999999999</v>
      </c>
    </row>
    <row r="255" spans="1:37" hidden="1" x14ac:dyDescent="0.25">
      <c r="A255" s="13" t="s">
        <v>30</v>
      </c>
      <c r="B255" s="14">
        <v>2020</v>
      </c>
      <c r="C255" s="14" t="s">
        <v>32</v>
      </c>
      <c r="D255" s="14">
        <v>146.19999999999999</v>
      </c>
      <c r="E255" s="14">
        <v>167.6</v>
      </c>
      <c r="F255" s="14">
        <v>153.1</v>
      </c>
      <c r="G255" s="14">
        <v>150.69999999999999</v>
      </c>
      <c r="H255" s="14">
        <v>127.4</v>
      </c>
      <c r="I255" s="14">
        <v>143.1</v>
      </c>
      <c r="J255" s="14">
        <v>181.7</v>
      </c>
      <c r="K255" s="14">
        <v>139.6</v>
      </c>
      <c r="L255" s="14">
        <v>114.6</v>
      </c>
      <c r="M255" s="14">
        <v>150.4</v>
      </c>
      <c r="N255" s="14">
        <v>131.5</v>
      </c>
      <c r="O255" s="14">
        <v>159</v>
      </c>
      <c r="P255" s="14">
        <v>151.69999999999999</v>
      </c>
      <c r="Q255" s="14">
        <v>172</v>
      </c>
      <c r="R255" s="14">
        <v>147.30000000000001</v>
      </c>
      <c r="S255" s="14">
        <v>133.5</v>
      </c>
      <c r="T255" s="14">
        <v>145.19999999999999</v>
      </c>
      <c r="U255" s="14">
        <v>154.80000000000001</v>
      </c>
      <c r="V255" s="14">
        <v>138.9</v>
      </c>
      <c r="W255" s="14">
        <v>140.4</v>
      </c>
      <c r="X255" s="14">
        <v>144.4</v>
      </c>
      <c r="Y255" s="14">
        <v>125.2</v>
      </c>
      <c r="Z255" s="14">
        <v>137.69999999999999</v>
      </c>
      <c r="AA255" s="14">
        <v>152.19999999999999</v>
      </c>
      <c r="AB255" s="14">
        <v>143.5</v>
      </c>
      <c r="AC255" s="14">
        <v>138.4</v>
      </c>
      <c r="AD255" s="15">
        <v>147.69999999999999</v>
      </c>
      <c r="AF255" s="13">
        <f>SUM('Working sheet'!$D255:$P255)</f>
        <v>1916.6</v>
      </c>
      <c r="AG255" s="14">
        <f>SUM('Working sheet'!$Q255)</f>
        <v>172</v>
      </c>
      <c r="AH255" s="14">
        <f>SUM('Working sheet'!$R255:$T255)</f>
        <v>426</v>
      </c>
      <c r="AI255" s="14">
        <f>SUM('Working sheet'!$U255)</f>
        <v>154.80000000000001</v>
      </c>
      <c r="AJ255" s="14">
        <f>SUM('Working sheet'!$V255)</f>
        <v>138.9</v>
      </c>
      <c r="AK255" s="15">
        <f>SUM('Working sheet'!$W255:$AC255)</f>
        <v>981.80000000000007</v>
      </c>
    </row>
    <row r="256" spans="1:37" x14ac:dyDescent="0.25">
      <c r="A256" s="16" t="s">
        <v>31</v>
      </c>
      <c r="B256" s="17">
        <v>2020</v>
      </c>
      <c r="C256" s="17" t="s">
        <v>32</v>
      </c>
      <c r="D256" s="17">
        <v>144.80000000000001</v>
      </c>
      <c r="E256" s="17">
        <v>167.5</v>
      </c>
      <c r="F256" s="17">
        <v>151.80000000000001</v>
      </c>
      <c r="G256" s="17">
        <v>150.80000000000001</v>
      </c>
      <c r="H256" s="17">
        <v>131.4</v>
      </c>
      <c r="I256" s="17">
        <v>141.80000000000001</v>
      </c>
      <c r="J256" s="17">
        <v>170.7</v>
      </c>
      <c r="K256" s="17">
        <v>141.1</v>
      </c>
      <c r="L256" s="17">
        <v>113.6</v>
      </c>
      <c r="M256" s="17">
        <v>152</v>
      </c>
      <c r="N256" s="17">
        <v>136.5</v>
      </c>
      <c r="O256" s="17">
        <v>159.1</v>
      </c>
      <c r="P256" s="17">
        <v>150.5</v>
      </c>
      <c r="Q256" s="17">
        <v>170.1</v>
      </c>
      <c r="R256" s="17">
        <v>150.80000000000001</v>
      </c>
      <c r="S256" s="17">
        <v>141.69999999999999</v>
      </c>
      <c r="T256" s="17">
        <v>149.5</v>
      </c>
      <c r="U256" s="17">
        <v>154.80000000000001</v>
      </c>
      <c r="V256" s="17">
        <v>147.19999999999999</v>
      </c>
      <c r="W256" s="17">
        <v>146.4</v>
      </c>
      <c r="X256" s="17">
        <v>151.69999999999999</v>
      </c>
      <c r="Y256" s="17">
        <v>130.30000000000001</v>
      </c>
      <c r="Z256" s="17">
        <v>143.19999999999999</v>
      </c>
      <c r="AA256" s="17">
        <v>156.19999999999999</v>
      </c>
      <c r="AB256" s="17">
        <v>143.4</v>
      </c>
      <c r="AC256" s="17">
        <v>143.6</v>
      </c>
      <c r="AD256" s="18">
        <v>149.1</v>
      </c>
      <c r="AF256" s="16">
        <f>SUM('Working sheet'!$D256:$P256)</f>
        <v>1911.6</v>
      </c>
      <c r="AG256" s="17">
        <f>SUM('Working sheet'!$Q256)</f>
        <v>170.1</v>
      </c>
      <c r="AH256" s="17">
        <f>SUM('Working sheet'!$R256:$T256)</f>
        <v>442</v>
      </c>
      <c r="AI256" s="17">
        <f>SUM('Working sheet'!$U256)</f>
        <v>154.80000000000001</v>
      </c>
      <c r="AJ256" s="17">
        <f>SUM('Working sheet'!$V256)</f>
        <v>147.19999999999999</v>
      </c>
      <c r="AK256" s="18">
        <f>SUM('Working sheet'!$W256:$AC256)</f>
        <v>1014.8</v>
      </c>
    </row>
    <row r="257" spans="1:37" hidden="1" x14ac:dyDescent="0.25">
      <c r="A257" s="13" t="s">
        <v>28</v>
      </c>
      <c r="B257" s="14">
        <v>2020</v>
      </c>
      <c r="C257" s="14" t="s">
        <v>33</v>
      </c>
      <c r="D257" s="14">
        <v>144.4</v>
      </c>
      <c r="E257" s="14">
        <v>166.8</v>
      </c>
      <c r="F257" s="14">
        <v>147.6</v>
      </c>
      <c r="G257" s="14">
        <v>151.69999999999999</v>
      </c>
      <c r="H257" s="14">
        <v>133.30000000000001</v>
      </c>
      <c r="I257" s="14">
        <v>141.80000000000001</v>
      </c>
      <c r="J257" s="14">
        <v>152.30000000000001</v>
      </c>
      <c r="K257" s="14">
        <v>141.80000000000001</v>
      </c>
      <c r="L257" s="14">
        <v>112.6</v>
      </c>
      <c r="M257" s="14">
        <v>154</v>
      </c>
      <c r="N257" s="14">
        <v>140.1</v>
      </c>
      <c r="O257" s="14">
        <v>160</v>
      </c>
      <c r="P257" s="14">
        <v>148.19999999999999</v>
      </c>
      <c r="Q257" s="14">
        <v>170.5</v>
      </c>
      <c r="R257" s="14">
        <v>153.4</v>
      </c>
      <c r="S257" s="14">
        <v>147.6</v>
      </c>
      <c r="T257" s="14">
        <v>152.5</v>
      </c>
      <c r="U257" s="14">
        <v>155.1</v>
      </c>
      <c r="V257" s="14">
        <v>153.4</v>
      </c>
      <c r="W257" s="14">
        <v>151.5</v>
      </c>
      <c r="X257" s="14">
        <v>156.69999999999999</v>
      </c>
      <c r="Y257" s="14">
        <v>135.80000000000001</v>
      </c>
      <c r="Z257" s="14">
        <v>151.19999999999999</v>
      </c>
      <c r="AA257" s="14">
        <v>161.19999999999999</v>
      </c>
      <c r="AB257" s="14">
        <v>145.1</v>
      </c>
      <c r="AC257" s="14">
        <v>148.6</v>
      </c>
      <c r="AD257" s="15">
        <v>149.80000000000001</v>
      </c>
      <c r="AF257" s="13">
        <f>SUM('Working sheet'!$D257:$P257)</f>
        <v>1894.5999999999997</v>
      </c>
      <c r="AG257" s="14">
        <f>SUM('Working sheet'!$Q257)</f>
        <v>170.5</v>
      </c>
      <c r="AH257" s="14">
        <f>SUM('Working sheet'!$R257:$T257)</f>
        <v>453.5</v>
      </c>
      <c r="AI257" s="14">
        <f>SUM('Working sheet'!$U257)</f>
        <v>155.1</v>
      </c>
      <c r="AJ257" s="14">
        <f>SUM('Working sheet'!$V257)</f>
        <v>153.4</v>
      </c>
      <c r="AK257" s="15">
        <f>SUM('Working sheet'!$W257:$AC257)</f>
        <v>1050.1000000000001</v>
      </c>
    </row>
    <row r="258" spans="1:37" hidden="1" x14ac:dyDescent="0.25">
      <c r="A258" s="16" t="s">
        <v>30</v>
      </c>
      <c r="B258" s="17">
        <v>2020</v>
      </c>
      <c r="C258" s="17" t="s">
        <v>33</v>
      </c>
      <c r="D258" s="17">
        <v>146.5</v>
      </c>
      <c r="E258" s="17">
        <v>167.5</v>
      </c>
      <c r="F258" s="17">
        <v>148.9</v>
      </c>
      <c r="G258" s="17">
        <v>151.1</v>
      </c>
      <c r="H258" s="17">
        <v>127.5</v>
      </c>
      <c r="I258" s="17">
        <v>143.30000000000001</v>
      </c>
      <c r="J258" s="17">
        <v>167</v>
      </c>
      <c r="K258" s="17">
        <v>139.69999999999999</v>
      </c>
      <c r="L258" s="17">
        <v>114.4</v>
      </c>
      <c r="M258" s="17">
        <v>151.5</v>
      </c>
      <c r="N258" s="17">
        <v>131.9</v>
      </c>
      <c r="O258" s="17">
        <v>159.1</v>
      </c>
      <c r="P258" s="17">
        <v>150.1</v>
      </c>
      <c r="Q258" s="17">
        <v>173.3</v>
      </c>
      <c r="R258" s="17">
        <v>147.69999999999999</v>
      </c>
      <c r="S258" s="17">
        <v>133.80000000000001</v>
      </c>
      <c r="T258" s="17">
        <v>145.6</v>
      </c>
      <c r="U258" s="17">
        <v>154.5</v>
      </c>
      <c r="V258" s="17">
        <v>141.4</v>
      </c>
      <c r="W258" s="17">
        <v>140.80000000000001</v>
      </c>
      <c r="X258" s="17">
        <v>145</v>
      </c>
      <c r="Y258" s="17">
        <v>124.6</v>
      </c>
      <c r="Z258" s="17">
        <v>137.9</v>
      </c>
      <c r="AA258" s="17">
        <v>152.5</v>
      </c>
      <c r="AB258" s="17">
        <v>145.30000000000001</v>
      </c>
      <c r="AC258" s="17">
        <v>138.69999999999999</v>
      </c>
      <c r="AD258" s="18">
        <v>147.30000000000001</v>
      </c>
      <c r="AF258" s="16">
        <f>SUM('Working sheet'!$D258:$P258)</f>
        <v>1898.5</v>
      </c>
      <c r="AG258" s="17">
        <f>SUM('Working sheet'!$Q258)</f>
        <v>173.3</v>
      </c>
      <c r="AH258" s="17">
        <f>SUM('Working sheet'!$R258:$T258)</f>
        <v>427.1</v>
      </c>
      <c r="AI258" s="17">
        <f>SUM('Working sheet'!$U258)</f>
        <v>154.5</v>
      </c>
      <c r="AJ258" s="17">
        <f>SUM('Working sheet'!$V258)</f>
        <v>141.4</v>
      </c>
      <c r="AK258" s="18">
        <f>SUM('Working sheet'!$W258:$AC258)</f>
        <v>984.8</v>
      </c>
    </row>
    <row r="259" spans="1:37" x14ac:dyDescent="0.25">
      <c r="A259" s="13" t="s">
        <v>31</v>
      </c>
      <c r="B259" s="14">
        <v>2020</v>
      </c>
      <c r="C259" s="14" t="s">
        <v>33</v>
      </c>
      <c r="D259" s="14">
        <v>145.1</v>
      </c>
      <c r="E259" s="14">
        <v>167</v>
      </c>
      <c r="F259" s="14">
        <v>148.1</v>
      </c>
      <c r="G259" s="14">
        <v>151.5</v>
      </c>
      <c r="H259" s="14">
        <v>131.19999999999999</v>
      </c>
      <c r="I259" s="14">
        <v>142.5</v>
      </c>
      <c r="J259" s="14">
        <v>157.30000000000001</v>
      </c>
      <c r="K259" s="14">
        <v>141.1</v>
      </c>
      <c r="L259" s="14">
        <v>113.2</v>
      </c>
      <c r="M259" s="14">
        <v>153.19999999999999</v>
      </c>
      <c r="N259" s="14">
        <v>136.69999999999999</v>
      </c>
      <c r="O259" s="14">
        <v>159.6</v>
      </c>
      <c r="P259" s="14">
        <v>148.9</v>
      </c>
      <c r="Q259" s="14">
        <v>171.2</v>
      </c>
      <c r="R259" s="14">
        <v>151.19999999999999</v>
      </c>
      <c r="S259" s="14">
        <v>141.9</v>
      </c>
      <c r="T259" s="14">
        <v>149.80000000000001</v>
      </c>
      <c r="U259" s="14">
        <v>154.5</v>
      </c>
      <c r="V259" s="14">
        <v>148.9</v>
      </c>
      <c r="W259" s="14">
        <v>146.4</v>
      </c>
      <c r="X259" s="14">
        <v>152.30000000000001</v>
      </c>
      <c r="Y259" s="14">
        <v>129.9</v>
      </c>
      <c r="Z259" s="14">
        <v>143.69999999999999</v>
      </c>
      <c r="AA259" s="14">
        <v>156.1</v>
      </c>
      <c r="AB259" s="14">
        <v>145.19999999999999</v>
      </c>
      <c r="AC259" s="14">
        <v>143.80000000000001</v>
      </c>
      <c r="AD259" s="15">
        <v>148.6</v>
      </c>
      <c r="AF259" s="13">
        <f>SUM('Working sheet'!$D259:$P259)</f>
        <v>1895.4</v>
      </c>
      <c r="AG259" s="14">
        <f>SUM('Working sheet'!$Q259)</f>
        <v>171.2</v>
      </c>
      <c r="AH259" s="14">
        <f>SUM('Working sheet'!$R259:$T259)</f>
        <v>442.90000000000003</v>
      </c>
      <c r="AI259" s="14">
        <f>SUM('Working sheet'!$U259)</f>
        <v>154.5</v>
      </c>
      <c r="AJ259" s="14">
        <f>SUM('Working sheet'!$V259)</f>
        <v>148.9</v>
      </c>
      <c r="AK259" s="15">
        <f>SUM('Working sheet'!$W259:$AC259)</f>
        <v>1017.3999999999999</v>
      </c>
    </row>
    <row r="260" spans="1:37" hidden="1" x14ac:dyDescent="0.25">
      <c r="A260" s="16" t="s">
        <v>28</v>
      </c>
      <c r="B260" s="17">
        <v>2020</v>
      </c>
      <c r="C260" s="17" t="s">
        <v>34</v>
      </c>
      <c r="D260" s="17">
        <v>147.19999999999999</v>
      </c>
      <c r="E260" s="17">
        <v>190.3</v>
      </c>
      <c r="F260" s="17">
        <v>146.9</v>
      </c>
      <c r="G260" s="17">
        <v>155.6</v>
      </c>
      <c r="H260" s="17">
        <v>137.1</v>
      </c>
      <c r="I260" s="17">
        <v>147.30000000000001</v>
      </c>
      <c r="J260" s="17">
        <v>162.69999999999999</v>
      </c>
      <c r="K260" s="17">
        <v>150.19999999999999</v>
      </c>
      <c r="L260" s="17">
        <v>119.8</v>
      </c>
      <c r="M260" s="17">
        <v>158.69999999999999</v>
      </c>
      <c r="N260" s="17">
        <v>139.19999999999999</v>
      </c>
      <c r="O260" s="17">
        <v>161.80000000000001</v>
      </c>
      <c r="P260" s="17">
        <v>150.1</v>
      </c>
      <c r="Q260" s="17">
        <v>182.4</v>
      </c>
      <c r="R260" s="17">
        <v>154.69999999999999</v>
      </c>
      <c r="S260" s="17">
        <v>150</v>
      </c>
      <c r="T260" s="17">
        <v>154.1</v>
      </c>
      <c r="U260" s="17">
        <v>155.6</v>
      </c>
      <c r="V260" s="17">
        <v>148.4</v>
      </c>
      <c r="W260" s="17">
        <v>151.69999999999999</v>
      </c>
      <c r="X260" s="17">
        <v>154.30000000000001</v>
      </c>
      <c r="Y260" s="17">
        <v>141.4</v>
      </c>
      <c r="Z260" s="17">
        <v>153.19999999999999</v>
      </c>
      <c r="AA260" s="17">
        <v>161.80000000000001</v>
      </c>
      <c r="AB260" s="17">
        <v>151.19999999999999</v>
      </c>
      <c r="AC260" s="17">
        <v>151.69999999999999</v>
      </c>
      <c r="AD260" s="18">
        <v>152.69999999999999</v>
      </c>
      <c r="AF260" s="16">
        <f>SUM('Working sheet'!$D260:$P260)</f>
        <v>1966.9</v>
      </c>
      <c r="AG260" s="17">
        <f>SUM('Working sheet'!$Q260)</f>
        <v>182.4</v>
      </c>
      <c r="AH260" s="17">
        <f>SUM('Working sheet'!$R260:$T260)</f>
        <v>458.79999999999995</v>
      </c>
      <c r="AI260" s="17">
        <f>SUM('Working sheet'!$U260)</f>
        <v>155.6</v>
      </c>
      <c r="AJ260" s="17">
        <f>SUM('Working sheet'!$V260)</f>
        <v>148.4</v>
      </c>
      <c r="AK260" s="18">
        <f>SUM('Working sheet'!$W260:$AC260)</f>
        <v>1065.3</v>
      </c>
    </row>
    <row r="261" spans="1:37" hidden="1" x14ac:dyDescent="0.25">
      <c r="A261" s="13" t="s">
        <v>30</v>
      </c>
      <c r="B261" s="14">
        <v>2020</v>
      </c>
      <c r="C261" s="14" t="s">
        <v>34</v>
      </c>
      <c r="D261" s="14">
        <v>151.80000000000001</v>
      </c>
      <c r="E261" s="14">
        <v>193.7</v>
      </c>
      <c r="F261" s="14">
        <v>151.9</v>
      </c>
      <c r="G261" s="14">
        <v>155.5</v>
      </c>
      <c r="H261" s="14">
        <v>131.6</v>
      </c>
      <c r="I261" s="14">
        <v>152.9</v>
      </c>
      <c r="J261" s="14">
        <v>180</v>
      </c>
      <c r="K261" s="14">
        <v>150.80000000000001</v>
      </c>
      <c r="L261" s="14">
        <v>121.2</v>
      </c>
      <c r="M261" s="14">
        <v>154</v>
      </c>
      <c r="N261" s="14">
        <v>133.5</v>
      </c>
      <c r="O261" s="14">
        <v>161.80000000000001</v>
      </c>
      <c r="P261" s="14">
        <v>153.5</v>
      </c>
      <c r="Q261" s="14">
        <v>184.6</v>
      </c>
      <c r="R261" s="14">
        <v>151.9</v>
      </c>
      <c r="S261" s="14">
        <v>143.30000000000001</v>
      </c>
      <c r="T261" s="14">
        <v>150.69999999999999</v>
      </c>
      <c r="U261" s="14">
        <v>155.6</v>
      </c>
      <c r="V261" s="14">
        <v>137.1</v>
      </c>
      <c r="W261" s="14">
        <v>146.1</v>
      </c>
      <c r="X261" s="14">
        <v>144.80000000000001</v>
      </c>
      <c r="Y261" s="14">
        <v>135.4</v>
      </c>
      <c r="Z261" s="14">
        <v>148.9</v>
      </c>
      <c r="AA261" s="14">
        <v>157.19999999999999</v>
      </c>
      <c r="AB261" s="14">
        <v>151.69999999999999</v>
      </c>
      <c r="AC261" s="14">
        <v>146.9</v>
      </c>
      <c r="AD261" s="15">
        <v>151.80000000000001</v>
      </c>
      <c r="AF261" s="13">
        <f>SUM('Working sheet'!$D261:$P261)</f>
        <v>1992.2</v>
      </c>
      <c r="AG261" s="14">
        <f>SUM('Working sheet'!$Q261)</f>
        <v>184.6</v>
      </c>
      <c r="AH261" s="14">
        <f>SUM('Working sheet'!$R261:$T261)</f>
        <v>445.90000000000003</v>
      </c>
      <c r="AI261" s="14">
        <f>SUM('Working sheet'!$U261)</f>
        <v>155.6</v>
      </c>
      <c r="AJ261" s="14">
        <f>SUM('Working sheet'!$V261)</f>
        <v>137.1</v>
      </c>
      <c r="AK261" s="15">
        <f>SUM('Working sheet'!$W261:$AC261)</f>
        <v>1031</v>
      </c>
    </row>
    <row r="262" spans="1:37" x14ac:dyDescent="0.25">
      <c r="A262" s="16" t="s">
        <v>31</v>
      </c>
      <c r="B262" s="17">
        <v>2020</v>
      </c>
      <c r="C262" s="17" t="s">
        <v>34</v>
      </c>
      <c r="D262" s="17">
        <v>148.69999999999999</v>
      </c>
      <c r="E262" s="17">
        <v>193.3</v>
      </c>
      <c r="F262" s="17">
        <v>148.80000000000001</v>
      </c>
      <c r="G262" s="17">
        <v>155.6</v>
      </c>
      <c r="H262" s="17">
        <v>135.1</v>
      </c>
      <c r="I262" s="17">
        <v>149.9</v>
      </c>
      <c r="J262" s="17">
        <v>168.6</v>
      </c>
      <c r="K262" s="17">
        <v>150.4</v>
      </c>
      <c r="L262" s="17">
        <v>120.3</v>
      </c>
      <c r="M262" s="17">
        <v>157.1</v>
      </c>
      <c r="N262" s="17">
        <v>136.80000000000001</v>
      </c>
      <c r="O262" s="17">
        <v>161.80000000000001</v>
      </c>
      <c r="P262" s="17">
        <v>151.4</v>
      </c>
      <c r="Q262" s="17">
        <v>184.2</v>
      </c>
      <c r="R262" s="17">
        <v>152.1</v>
      </c>
      <c r="S262" s="17">
        <v>143.69999999999999</v>
      </c>
      <c r="T262" s="17">
        <v>150.9</v>
      </c>
      <c r="U262" s="17">
        <v>155.6</v>
      </c>
      <c r="V262" s="17">
        <v>144.1</v>
      </c>
      <c r="W262" s="17">
        <v>146.19999999999999</v>
      </c>
      <c r="X262" s="17">
        <v>150.69999999999999</v>
      </c>
      <c r="Y262" s="17">
        <v>135.19999999999999</v>
      </c>
      <c r="Z262" s="17">
        <v>148.69999999999999</v>
      </c>
      <c r="AA262" s="17">
        <v>156.9</v>
      </c>
      <c r="AB262" s="17">
        <v>151.69999999999999</v>
      </c>
      <c r="AC262" s="17">
        <v>146.9</v>
      </c>
      <c r="AD262" s="18">
        <v>151.80000000000001</v>
      </c>
      <c r="AF262" s="16">
        <f>SUM('Working sheet'!$D262:$P262)</f>
        <v>1977.8</v>
      </c>
      <c r="AG262" s="17">
        <f>SUM('Working sheet'!$Q262)</f>
        <v>184.2</v>
      </c>
      <c r="AH262" s="17">
        <f>SUM('Working sheet'!$R262:$T262)</f>
        <v>446.69999999999993</v>
      </c>
      <c r="AI262" s="17">
        <f>SUM('Working sheet'!$U262)</f>
        <v>155.6</v>
      </c>
      <c r="AJ262" s="17">
        <f>SUM('Working sheet'!$V262)</f>
        <v>144.1</v>
      </c>
      <c r="AK262" s="18">
        <f>SUM('Working sheet'!$W262:$AC262)</f>
        <v>1036.3</v>
      </c>
    </row>
    <row r="263" spans="1:37" hidden="1" x14ac:dyDescent="0.25">
      <c r="A263" s="13" t="s">
        <v>28</v>
      </c>
      <c r="B263" s="14">
        <v>2020</v>
      </c>
      <c r="C263" s="14" t="s">
        <v>35</v>
      </c>
      <c r="D263" s="14">
        <v>149.69999999999999</v>
      </c>
      <c r="E263" s="14">
        <v>192.6</v>
      </c>
      <c r="F263" s="14">
        <v>151.19999999999999</v>
      </c>
      <c r="G263" s="14">
        <v>153.30000000000001</v>
      </c>
      <c r="H263" s="14">
        <v>136.4</v>
      </c>
      <c r="I263" s="14">
        <v>146.4</v>
      </c>
      <c r="J263" s="14">
        <v>156.4</v>
      </c>
      <c r="K263" s="14">
        <v>150.9</v>
      </c>
      <c r="L263" s="14">
        <v>114.2</v>
      </c>
      <c r="M263" s="14">
        <v>159.5</v>
      </c>
      <c r="N263" s="14">
        <v>139.80000000000001</v>
      </c>
      <c r="O263" s="14">
        <v>161.80000000000001</v>
      </c>
      <c r="P263" s="14">
        <v>153.9</v>
      </c>
      <c r="Q263" s="14">
        <v>183.8</v>
      </c>
      <c r="R263" s="14">
        <v>152.80000000000001</v>
      </c>
      <c r="S263" s="14">
        <v>145.30000000000001</v>
      </c>
      <c r="T263" s="14">
        <v>151.69999999999999</v>
      </c>
      <c r="U263" s="14">
        <v>154.69999999999999</v>
      </c>
      <c r="V263" s="14">
        <v>142.19999999999999</v>
      </c>
      <c r="W263" s="14">
        <v>147.6</v>
      </c>
      <c r="X263" s="14">
        <v>154.69999999999999</v>
      </c>
      <c r="Y263" s="14">
        <v>136.80000000000001</v>
      </c>
      <c r="Z263" s="14">
        <v>149.80000000000001</v>
      </c>
      <c r="AA263" s="14">
        <v>158.1</v>
      </c>
      <c r="AB263" s="14">
        <v>151.6</v>
      </c>
      <c r="AC263" s="14">
        <v>148.1</v>
      </c>
      <c r="AD263" s="15">
        <v>152</v>
      </c>
      <c r="AF263" s="13">
        <f>SUM('Working sheet'!$D263:$P263)</f>
        <v>1966.1000000000001</v>
      </c>
      <c r="AG263" s="14">
        <f>SUM('Working sheet'!$Q263)</f>
        <v>183.8</v>
      </c>
      <c r="AH263" s="14">
        <f>SUM('Working sheet'!$R263:$T263)</f>
        <v>449.8</v>
      </c>
      <c r="AI263" s="14">
        <f>SUM('Working sheet'!$U263)</f>
        <v>154.69999999999999</v>
      </c>
      <c r="AJ263" s="14">
        <f>SUM('Working sheet'!$V263)</f>
        <v>142.19999999999999</v>
      </c>
      <c r="AK263" s="15">
        <f>SUM('Working sheet'!$W263:$AC263)</f>
        <v>1046.7</v>
      </c>
    </row>
    <row r="264" spans="1:37" hidden="1" x14ac:dyDescent="0.25">
      <c r="A264" s="16" t="s">
        <v>30</v>
      </c>
      <c r="B264" s="17">
        <v>2020</v>
      </c>
      <c r="C264" s="17" t="s">
        <v>35</v>
      </c>
      <c r="D264" s="17">
        <v>150.30000000000001</v>
      </c>
      <c r="E264" s="17">
        <v>193.5</v>
      </c>
      <c r="F264" s="17">
        <v>151.9</v>
      </c>
      <c r="G264" s="17">
        <v>153.30000000000001</v>
      </c>
      <c r="H264" s="17">
        <v>135.69999999999999</v>
      </c>
      <c r="I264" s="17">
        <v>147.4</v>
      </c>
      <c r="J264" s="17">
        <v>159.30000000000001</v>
      </c>
      <c r="K264" s="17">
        <v>151.1</v>
      </c>
      <c r="L264" s="17">
        <v>114.6</v>
      </c>
      <c r="M264" s="17">
        <v>159.30000000000001</v>
      </c>
      <c r="N264" s="17">
        <v>139</v>
      </c>
      <c r="O264" s="17">
        <v>161.80000000000001</v>
      </c>
      <c r="P264" s="17">
        <v>154.5</v>
      </c>
      <c r="Q264" s="17">
        <v>184.3</v>
      </c>
      <c r="R264" s="17">
        <v>152</v>
      </c>
      <c r="S264" s="17">
        <v>143.5</v>
      </c>
      <c r="T264" s="17">
        <v>150.80000000000001</v>
      </c>
      <c r="U264" s="17">
        <v>154.69999999999999</v>
      </c>
      <c r="V264" s="17">
        <v>141.19999999999999</v>
      </c>
      <c r="W264" s="17">
        <v>146.1</v>
      </c>
      <c r="X264" s="17">
        <v>153.4</v>
      </c>
      <c r="Y264" s="17">
        <v>135.30000000000001</v>
      </c>
      <c r="Z264" s="17">
        <v>148.69999999999999</v>
      </c>
      <c r="AA264" s="17">
        <v>157</v>
      </c>
      <c r="AB264" s="17">
        <v>151.69999999999999</v>
      </c>
      <c r="AC264" s="17">
        <v>146.9</v>
      </c>
      <c r="AD264" s="18">
        <v>151.80000000000001</v>
      </c>
      <c r="AF264" s="16">
        <f>SUM('Working sheet'!$D264:$P264)</f>
        <v>1971.6999999999998</v>
      </c>
      <c r="AG264" s="17">
        <f>SUM('Working sheet'!$Q264)</f>
        <v>184.3</v>
      </c>
      <c r="AH264" s="17">
        <f>SUM('Working sheet'!$R264:$T264)</f>
        <v>446.3</v>
      </c>
      <c r="AI264" s="17">
        <f>SUM('Working sheet'!$U264)</f>
        <v>154.69999999999999</v>
      </c>
      <c r="AJ264" s="17">
        <f>SUM('Working sheet'!$V264)</f>
        <v>141.19999999999999</v>
      </c>
      <c r="AK264" s="18">
        <f>SUM('Working sheet'!$W264:$AC264)</f>
        <v>1039.1000000000001</v>
      </c>
    </row>
    <row r="265" spans="1:37" x14ac:dyDescent="0.25">
      <c r="A265" s="13" t="s">
        <v>31</v>
      </c>
      <c r="B265" s="14">
        <v>2020</v>
      </c>
      <c r="C265" s="14" t="s">
        <v>35</v>
      </c>
      <c r="D265" s="14">
        <v>150.19999999999999</v>
      </c>
      <c r="E265" s="14">
        <v>193.3</v>
      </c>
      <c r="F265" s="14">
        <v>151.80000000000001</v>
      </c>
      <c r="G265" s="14">
        <v>153.30000000000001</v>
      </c>
      <c r="H265" s="14">
        <v>135.80000000000001</v>
      </c>
      <c r="I265" s="14">
        <v>147.4</v>
      </c>
      <c r="J265" s="14">
        <v>158.9</v>
      </c>
      <c r="K265" s="14">
        <v>151.1</v>
      </c>
      <c r="L265" s="14">
        <v>114.6</v>
      </c>
      <c r="M265" s="14">
        <v>159.4</v>
      </c>
      <c r="N265" s="14">
        <v>139</v>
      </c>
      <c r="O265" s="14">
        <v>161.80000000000001</v>
      </c>
      <c r="P265" s="14">
        <v>154.4</v>
      </c>
      <c r="Q265" s="14">
        <v>184.2</v>
      </c>
      <c r="R265" s="14">
        <v>152.1</v>
      </c>
      <c r="S265" s="14">
        <v>143.69999999999999</v>
      </c>
      <c r="T265" s="14">
        <v>150.9</v>
      </c>
      <c r="U265" s="14">
        <v>154.69999999999999</v>
      </c>
      <c r="V265" s="14">
        <v>141.30000000000001</v>
      </c>
      <c r="W265" s="14">
        <v>146.19999999999999</v>
      </c>
      <c r="X265" s="14">
        <v>153.6</v>
      </c>
      <c r="Y265" s="14">
        <v>135.19999999999999</v>
      </c>
      <c r="Z265" s="14">
        <v>148.69999999999999</v>
      </c>
      <c r="AA265" s="14">
        <v>156.9</v>
      </c>
      <c r="AB265" s="14">
        <v>151.69999999999999</v>
      </c>
      <c r="AC265" s="14">
        <v>146.9</v>
      </c>
      <c r="AD265" s="15">
        <v>151.80000000000001</v>
      </c>
      <c r="AF265" s="13">
        <f>SUM('Working sheet'!$D265:$P265)</f>
        <v>1971</v>
      </c>
      <c r="AG265" s="14">
        <f>SUM('Working sheet'!$Q265)</f>
        <v>184.2</v>
      </c>
      <c r="AH265" s="14">
        <f>SUM('Working sheet'!$R265:$T265)</f>
        <v>446.69999999999993</v>
      </c>
      <c r="AI265" s="14">
        <f>SUM('Working sheet'!$U265)</f>
        <v>154.69999999999999</v>
      </c>
      <c r="AJ265" s="14">
        <f>SUM('Working sheet'!$V265)</f>
        <v>141.30000000000001</v>
      </c>
      <c r="AK265" s="15">
        <f>SUM('Working sheet'!$W265:$AC265)</f>
        <v>1039.2</v>
      </c>
    </row>
    <row r="266" spans="1:37" hidden="1" x14ac:dyDescent="0.25">
      <c r="A266" s="16" t="s">
        <v>28</v>
      </c>
      <c r="B266" s="17">
        <v>2020</v>
      </c>
      <c r="C266" s="17" t="s">
        <v>36</v>
      </c>
      <c r="D266" s="17">
        <v>148.19999999999999</v>
      </c>
      <c r="E266" s="17">
        <v>190.3</v>
      </c>
      <c r="F266" s="17">
        <v>149.4</v>
      </c>
      <c r="G266" s="17">
        <v>153.30000000000001</v>
      </c>
      <c r="H266" s="17">
        <v>138.19999999999999</v>
      </c>
      <c r="I266" s="17">
        <v>143.19999999999999</v>
      </c>
      <c r="J266" s="17">
        <v>148.9</v>
      </c>
      <c r="K266" s="17">
        <v>150.30000000000001</v>
      </c>
      <c r="L266" s="17">
        <v>113.2</v>
      </c>
      <c r="M266" s="17">
        <v>159.80000000000001</v>
      </c>
      <c r="N266" s="17">
        <v>142.1</v>
      </c>
      <c r="O266" s="17">
        <v>161.80000000000001</v>
      </c>
      <c r="P266" s="17">
        <v>152.30000000000001</v>
      </c>
      <c r="Q266" s="17">
        <v>182.4</v>
      </c>
      <c r="R266" s="17">
        <v>154.69999999999999</v>
      </c>
      <c r="S266" s="17">
        <v>150</v>
      </c>
      <c r="T266" s="17">
        <v>154.1</v>
      </c>
      <c r="U266" s="17">
        <v>154.69999999999999</v>
      </c>
      <c r="V266" s="17">
        <v>144.9</v>
      </c>
      <c r="W266" s="17">
        <v>151.69999999999999</v>
      </c>
      <c r="X266" s="17">
        <v>158.19999999999999</v>
      </c>
      <c r="Y266" s="17">
        <v>141.4</v>
      </c>
      <c r="Z266" s="17">
        <v>153.19999999999999</v>
      </c>
      <c r="AA266" s="17">
        <v>161.80000000000001</v>
      </c>
      <c r="AB266" s="17">
        <v>151.19999999999999</v>
      </c>
      <c r="AC266" s="17">
        <v>151.69999999999999</v>
      </c>
      <c r="AD266" s="18">
        <v>152.69999999999999</v>
      </c>
      <c r="AF266" s="16">
        <f>SUM('Working sheet'!$D266:$P266)</f>
        <v>1951</v>
      </c>
      <c r="AG266" s="17">
        <f>SUM('Working sheet'!$Q266)</f>
        <v>182.4</v>
      </c>
      <c r="AH266" s="17">
        <f>SUM('Working sheet'!$R266:$T266)</f>
        <v>458.79999999999995</v>
      </c>
      <c r="AI266" s="17">
        <f>SUM('Working sheet'!$U266)</f>
        <v>154.69999999999999</v>
      </c>
      <c r="AJ266" s="17">
        <f>SUM('Working sheet'!$V266)</f>
        <v>144.9</v>
      </c>
      <c r="AK266" s="18">
        <f>SUM('Working sheet'!$W266:$AC266)</f>
        <v>1069.2</v>
      </c>
    </row>
    <row r="267" spans="1:37" hidden="1" x14ac:dyDescent="0.25">
      <c r="A267" s="13" t="s">
        <v>30</v>
      </c>
      <c r="B267" s="14">
        <v>2020</v>
      </c>
      <c r="C267" s="14" t="s">
        <v>36</v>
      </c>
      <c r="D267" s="14">
        <v>152.69999999999999</v>
      </c>
      <c r="E267" s="14">
        <v>197</v>
      </c>
      <c r="F267" s="14">
        <v>154.6</v>
      </c>
      <c r="G267" s="14">
        <v>153.4</v>
      </c>
      <c r="H267" s="14">
        <v>132.9</v>
      </c>
      <c r="I267" s="14">
        <v>151.80000000000001</v>
      </c>
      <c r="J267" s="14">
        <v>171.2</v>
      </c>
      <c r="K267" s="14">
        <v>152</v>
      </c>
      <c r="L267" s="14">
        <v>116.3</v>
      </c>
      <c r="M267" s="14">
        <v>158.80000000000001</v>
      </c>
      <c r="N267" s="14">
        <v>135.6</v>
      </c>
      <c r="O267" s="14">
        <v>161.69999999999999</v>
      </c>
      <c r="P267" s="14">
        <v>157</v>
      </c>
      <c r="Q267" s="14">
        <v>186.7</v>
      </c>
      <c r="R267" s="14">
        <v>149.1</v>
      </c>
      <c r="S267" s="14">
        <v>136.6</v>
      </c>
      <c r="T267" s="14">
        <v>147.19999999999999</v>
      </c>
      <c r="U267" s="14">
        <v>154.69999999999999</v>
      </c>
      <c r="V267" s="14">
        <v>137.1</v>
      </c>
      <c r="W267" s="14">
        <v>140.4</v>
      </c>
      <c r="X267" s="14">
        <v>148.1</v>
      </c>
      <c r="Y267" s="14">
        <v>129.30000000000001</v>
      </c>
      <c r="Z267" s="14">
        <v>144.5</v>
      </c>
      <c r="AA267" s="14">
        <v>152.5</v>
      </c>
      <c r="AB267" s="14">
        <v>152.19999999999999</v>
      </c>
      <c r="AC267" s="14">
        <v>142</v>
      </c>
      <c r="AD267" s="15">
        <v>150.80000000000001</v>
      </c>
      <c r="AF267" s="13">
        <f>SUM('Working sheet'!$D267:$P267)</f>
        <v>1994.9999999999998</v>
      </c>
      <c r="AG267" s="14">
        <f>SUM('Working sheet'!$Q267)</f>
        <v>186.7</v>
      </c>
      <c r="AH267" s="14">
        <f>SUM('Working sheet'!$R267:$T267)</f>
        <v>432.9</v>
      </c>
      <c r="AI267" s="14">
        <f>SUM('Working sheet'!$U267)</f>
        <v>154.69999999999999</v>
      </c>
      <c r="AJ267" s="14">
        <f>SUM('Working sheet'!$V267)</f>
        <v>137.1</v>
      </c>
      <c r="AK267" s="15">
        <f>SUM('Working sheet'!$W267:$AC267)</f>
        <v>1009</v>
      </c>
    </row>
    <row r="268" spans="1:37" x14ac:dyDescent="0.25">
      <c r="A268" s="16" t="s">
        <v>31</v>
      </c>
      <c r="B268" s="17">
        <v>2020</v>
      </c>
      <c r="C268" s="17" t="s">
        <v>36</v>
      </c>
      <c r="D268" s="17">
        <v>149.6</v>
      </c>
      <c r="E268" s="17">
        <v>192.7</v>
      </c>
      <c r="F268" s="17">
        <v>151.4</v>
      </c>
      <c r="G268" s="17">
        <v>153.30000000000001</v>
      </c>
      <c r="H268" s="17">
        <v>136.30000000000001</v>
      </c>
      <c r="I268" s="17">
        <v>147.19999999999999</v>
      </c>
      <c r="J268" s="17">
        <v>156.5</v>
      </c>
      <c r="K268" s="17">
        <v>150.9</v>
      </c>
      <c r="L268" s="17">
        <v>114.2</v>
      </c>
      <c r="M268" s="17">
        <v>159.5</v>
      </c>
      <c r="N268" s="17">
        <v>139.4</v>
      </c>
      <c r="O268" s="17">
        <v>161.80000000000001</v>
      </c>
      <c r="P268" s="17">
        <v>154</v>
      </c>
      <c r="Q268" s="17">
        <v>183.5</v>
      </c>
      <c r="R268" s="17">
        <v>152.5</v>
      </c>
      <c r="S268" s="17">
        <v>144.4</v>
      </c>
      <c r="T268" s="17">
        <v>151.4</v>
      </c>
      <c r="U268" s="17">
        <v>154.69999999999999</v>
      </c>
      <c r="V268" s="17">
        <v>141.9</v>
      </c>
      <c r="W268" s="17">
        <v>146.4</v>
      </c>
      <c r="X268" s="17">
        <v>154.4</v>
      </c>
      <c r="Y268" s="17">
        <v>135</v>
      </c>
      <c r="Z268" s="17">
        <v>148.30000000000001</v>
      </c>
      <c r="AA268" s="17">
        <v>156.4</v>
      </c>
      <c r="AB268" s="17">
        <v>151.6</v>
      </c>
      <c r="AC268" s="17">
        <v>147</v>
      </c>
      <c r="AD268" s="18">
        <v>151.80000000000001</v>
      </c>
      <c r="AF268" s="16">
        <f>SUM('Working sheet'!$D268:$P268)</f>
        <v>1966.8000000000002</v>
      </c>
      <c r="AG268" s="17">
        <f>SUM('Working sheet'!$Q268)</f>
        <v>183.5</v>
      </c>
      <c r="AH268" s="17">
        <f>SUM('Working sheet'!$R268:$T268)</f>
        <v>448.29999999999995</v>
      </c>
      <c r="AI268" s="17">
        <f>SUM('Working sheet'!$U268)</f>
        <v>154.69999999999999</v>
      </c>
      <c r="AJ268" s="17">
        <f>SUM('Working sheet'!$V268)</f>
        <v>141.9</v>
      </c>
      <c r="AK268" s="18">
        <f>SUM('Working sheet'!$W268:$AC268)</f>
        <v>1039.0999999999999</v>
      </c>
    </row>
    <row r="269" spans="1:37" hidden="1" x14ac:dyDescent="0.25">
      <c r="A269" s="13" t="s">
        <v>28</v>
      </c>
      <c r="B269" s="14">
        <v>2020</v>
      </c>
      <c r="C269" s="14" t="s">
        <v>37</v>
      </c>
      <c r="D269" s="14">
        <v>148.19999999999999</v>
      </c>
      <c r="E269" s="14">
        <v>190.3</v>
      </c>
      <c r="F269" s="14">
        <v>149.4</v>
      </c>
      <c r="G269" s="14">
        <v>153.30000000000001</v>
      </c>
      <c r="H269" s="14">
        <v>138.19999999999999</v>
      </c>
      <c r="I269" s="14">
        <v>143.19999999999999</v>
      </c>
      <c r="J269" s="14">
        <v>148.9</v>
      </c>
      <c r="K269" s="14">
        <v>150.30000000000001</v>
      </c>
      <c r="L269" s="14">
        <v>113.2</v>
      </c>
      <c r="M269" s="14">
        <v>159.80000000000001</v>
      </c>
      <c r="N269" s="14">
        <v>142.1</v>
      </c>
      <c r="O269" s="14">
        <v>161.80000000000001</v>
      </c>
      <c r="P269" s="14">
        <v>152.30000000000001</v>
      </c>
      <c r="Q269" s="14">
        <v>182.4</v>
      </c>
      <c r="R269" s="14">
        <v>154.69999999999999</v>
      </c>
      <c r="S269" s="14">
        <v>150</v>
      </c>
      <c r="T269" s="14">
        <v>154.1</v>
      </c>
      <c r="U269" s="14">
        <v>155.1</v>
      </c>
      <c r="V269" s="14">
        <v>144.9</v>
      </c>
      <c r="W269" s="14">
        <v>151.69999999999999</v>
      </c>
      <c r="X269" s="14">
        <v>158.19999999999999</v>
      </c>
      <c r="Y269" s="14">
        <v>141.4</v>
      </c>
      <c r="Z269" s="14">
        <v>153.19999999999999</v>
      </c>
      <c r="AA269" s="14">
        <v>161.80000000000001</v>
      </c>
      <c r="AB269" s="14">
        <v>151.19999999999999</v>
      </c>
      <c r="AC269" s="14">
        <v>151.69999999999999</v>
      </c>
      <c r="AD269" s="15">
        <v>152.69999999999999</v>
      </c>
      <c r="AF269" s="13">
        <f>SUM('Working sheet'!$D269:$P269)</f>
        <v>1951</v>
      </c>
      <c r="AG269" s="14">
        <f>SUM('Working sheet'!$Q269)</f>
        <v>182.4</v>
      </c>
      <c r="AH269" s="14">
        <f>SUM('Working sheet'!$R269:$T269)</f>
        <v>458.79999999999995</v>
      </c>
      <c r="AI269" s="14">
        <f>SUM('Working sheet'!$U269)</f>
        <v>155.1</v>
      </c>
      <c r="AJ269" s="14">
        <f>SUM('Working sheet'!$V269)</f>
        <v>144.9</v>
      </c>
      <c r="AK269" s="15">
        <f>SUM('Working sheet'!$W269:$AC269)</f>
        <v>1069.2</v>
      </c>
    </row>
    <row r="270" spans="1:37" hidden="1" x14ac:dyDescent="0.25">
      <c r="A270" s="16" t="s">
        <v>30</v>
      </c>
      <c r="B270" s="17">
        <v>2020</v>
      </c>
      <c r="C270" s="17" t="s">
        <v>37</v>
      </c>
      <c r="D270" s="17">
        <v>152.69999999999999</v>
      </c>
      <c r="E270" s="17">
        <v>197</v>
      </c>
      <c r="F270" s="17">
        <v>154.6</v>
      </c>
      <c r="G270" s="17">
        <v>153.4</v>
      </c>
      <c r="H270" s="17">
        <v>132.9</v>
      </c>
      <c r="I270" s="17">
        <v>151.80000000000001</v>
      </c>
      <c r="J270" s="17">
        <v>171.2</v>
      </c>
      <c r="K270" s="17">
        <v>152</v>
      </c>
      <c r="L270" s="17">
        <v>116.3</v>
      </c>
      <c r="M270" s="17">
        <v>158.80000000000001</v>
      </c>
      <c r="N270" s="17">
        <v>135.6</v>
      </c>
      <c r="O270" s="17">
        <v>161.69999999999999</v>
      </c>
      <c r="P270" s="17">
        <v>157</v>
      </c>
      <c r="Q270" s="17">
        <v>186.7</v>
      </c>
      <c r="R270" s="17">
        <v>149.1</v>
      </c>
      <c r="S270" s="17">
        <v>136.6</v>
      </c>
      <c r="T270" s="17">
        <v>147.19999999999999</v>
      </c>
      <c r="U270" s="17">
        <v>154.69999999999999</v>
      </c>
      <c r="V270" s="17">
        <v>137.1</v>
      </c>
      <c r="W270" s="17">
        <v>140.4</v>
      </c>
      <c r="X270" s="17">
        <v>148.1</v>
      </c>
      <c r="Y270" s="17">
        <v>129.30000000000001</v>
      </c>
      <c r="Z270" s="17">
        <v>144.5</v>
      </c>
      <c r="AA270" s="17">
        <v>152.5</v>
      </c>
      <c r="AB270" s="17">
        <v>152.19999999999999</v>
      </c>
      <c r="AC270" s="17">
        <v>142</v>
      </c>
      <c r="AD270" s="18">
        <v>150.80000000000001</v>
      </c>
      <c r="AF270" s="16">
        <f>SUM('Working sheet'!$D270:$P270)</f>
        <v>1994.9999999999998</v>
      </c>
      <c r="AG270" s="17">
        <f>SUM('Working sheet'!$Q270)</f>
        <v>186.7</v>
      </c>
      <c r="AH270" s="17">
        <f>SUM('Working sheet'!$R270:$T270)</f>
        <v>432.9</v>
      </c>
      <c r="AI270" s="17">
        <f>SUM('Working sheet'!$U270)</f>
        <v>154.69999999999999</v>
      </c>
      <c r="AJ270" s="17">
        <f>SUM('Working sheet'!$V270)</f>
        <v>137.1</v>
      </c>
      <c r="AK270" s="18">
        <f>SUM('Working sheet'!$W270:$AC270)</f>
        <v>1009</v>
      </c>
    </row>
    <row r="271" spans="1:37" x14ac:dyDescent="0.25">
      <c r="A271" s="13" t="s">
        <v>31</v>
      </c>
      <c r="B271" s="14">
        <v>2020</v>
      </c>
      <c r="C271" s="14" t="s">
        <v>37</v>
      </c>
      <c r="D271" s="14">
        <v>149.6</v>
      </c>
      <c r="E271" s="14">
        <v>192.7</v>
      </c>
      <c r="F271" s="14">
        <v>151.4</v>
      </c>
      <c r="G271" s="14">
        <v>153.30000000000001</v>
      </c>
      <c r="H271" s="14">
        <v>136.30000000000001</v>
      </c>
      <c r="I271" s="14">
        <v>147.19999999999999</v>
      </c>
      <c r="J271" s="14">
        <v>156.5</v>
      </c>
      <c r="K271" s="14">
        <v>150.9</v>
      </c>
      <c r="L271" s="14">
        <v>114.2</v>
      </c>
      <c r="M271" s="14">
        <v>159.5</v>
      </c>
      <c r="N271" s="14">
        <v>139.4</v>
      </c>
      <c r="O271" s="14">
        <v>161.80000000000001</v>
      </c>
      <c r="P271" s="14">
        <v>154</v>
      </c>
      <c r="Q271" s="14">
        <v>183.5</v>
      </c>
      <c r="R271" s="14">
        <v>152.5</v>
      </c>
      <c r="S271" s="14">
        <v>144.4</v>
      </c>
      <c r="T271" s="14">
        <v>151.4</v>
      </c>
      <c r="U271" s="14">
        <v>154.69999999999999</v>
      </c>
      <c r="V271" s="14">
        <v>141.9</v>
      </c>
      <c r="W271" s="14">
        <v>146.4</v>
      </c>
      <c r="X271" s="14">
        <v>154.4</v>
      </c>
      <c r="Y271" s="14">
        <v>135</v>
      </c>
      <c r="Z271" s="14">
        <v>148.30000000000001</v>
      </c>
      <c r="AA271" s="14">
        <v>156.4</v>
      </c>
      <c r="AB271" s="14">
        <v>151.6</v>
      </c>
      <c r="AC271" s="14">
        <v>147</v>
      </c>
      <c r="AD271" s="15">
        <v>151.80000000000001</v>
      </c>
      <c r="AF271" s="13">
        <f>SUM('Working sheet'!$D271:$P271)</f>
        <v>1966.8000000000002</v>
      </c>
      <c r="AG271" s="14">
        <f>SUM('Working sheet'!$Q271)</f>
        <v>183.5</v>
      </c>
      <c r="AH271" s="14">
        <f>SUM('Working sheet'!$R271:$T271)</f>
        <v>448.29999999999995</v>
      </c>
      <c r="AI271" s="14">
        <f>SUM('Working sheet'!$U271)</f>
        <v>154.69999999999999</v>
      </c>
      <c r="AJ271" s="14">
        <f>SUM('Working sheet'!$V271)</f>
        <v>141.9</v>
      </c>
      <c r="AK271" s="15">
        <f>SUM('Working sheet'!$W271:$AC271)</f>
        <v>1039.0999999999999</v>
      </c>
    </row>
    <row r="272" spans="1:37" hidden="1" x14ac:dyDescent="0.25">
      <c r="A272" s="16" t="s">
        <v>28</v>
      </c>
      <c r="B272" s="17">
        <v>2020</v>
      </c>
      <c r="C272" s="17" t="s">
        <v>38</v>
      </c>
      <c r="D272" s="17">
        <v>147.6</v>
      </c>
      <c r="E272" s="17">
        <v>187.2</v>
      </c>
      <c r="F272" s="17">
        <v>148.4</v>
      </c>
      <c r="G272" s="17">
        <v>153.30000000000001</v>
      </c>
      <c r="H272" s="17">
        <v>139.80000000000001</v>
      </c>
      <c r="I272" s="17">
        <v>146.9</v>
      </c>
      <c r="J272" s="17">
        <v>171</v>
      </c>
      <c r="K272" s="17">
        <v>149.9</v>
      </c>
      <c r="L272" s="17">
        <v>114.2</v>
      </c>
      <c r="M272" s="17">
        <v>160</v>
      </c>
      <c r="N272" s="17">
        <v>143.5</v>
      </c>
      <c r="O272" s="17">
        <v>161.5</v>
      </c>
      <c r="P272" s="17">
        <v>155.30000000000001</v>
      </c>
      <c r="Q272" s="17">
        <v>180.9</v>
      </c>
      <c r="R272" s="17">
        <v>155.1</v>
      </c>
      <c r="S272" s="17">
        <v>149.30000000000001</v>
      </c>
      <c r="T272" s="17">
        <v>154.30000000000001</v>
      </c>
      <c r="U272" s="17">
        <v>155.9</v>
      </c>
      <c r="V272" s="17">
        <v>145.80000000000001</v>
      </c>
      <c r="W272" s="17">
        <v>151.9</v>
      </c>
      <c r="X272" s="17">
        <v>158.80000000000001</v>
      </c>
      <c r="Y272" s="17">
        <v>143.6</v>
      </c>
      <c r="Z272" s="17">
        <v>152.19999999999999</v>
      </c>
      <c r="AA272" s="17">
        <v>162.69999999999999</v>
      </c>
      <c r="AB272" s="17">
        <v>153.6</v>
      </c>
      <c r="AC272" s="17">
        <v>153</v>
      </c>
      <c r="AD272" s="18">
        <v>154.69999999999999</v>
      </c>
      <c r="AF272" s="16">
        <f>SUM('Working sheet'!$D272:$P272)</f>
        <v>1978.6</v>
      </c>
      <c r="AG272" s="17">
        <f>SUM('Working sheet'!$Q272)</f>
        <v>180.9</v>
      </c>
      <c r="AH272" s="17">
        <f>SUM('Working sheet'!$R272:$T272)</f>
        <v>458.7</v>
      </c>
      <c r="AI272" s="17">
        <f>SUM('Working sheet'!$U272)</f>
        <v>155.9</v>
      </c>
      <c r="AJ272" s="17">
        <f>SUM('Working sheet'!$V272)</f>
        <v>145.80000000000001</v>
      </c>
      <c r="AK272" s="18">
        <f>SUM('Working sheet'!$W272:$AC272)</f>
        <v>1075.8000000000002</v>
      </c>
    </row>
    <row r="273" spans="1:37" hidden="1" x14ac:dyDescent="0.25">
      <c r="A273" s="13" t="s">
        <v>30</v>
      </c>
      <c r="B273" s="14">
        <v>2020</v>
      </c>
      <c r="C273" s="14" t="s">
        <v>38</v>
      </c>
      <c r="D273" s="14">
        <v>151.6</v>
      </c>
      <c r="E273" s="14">
        <v>197.8</v>
      </c>
      <c r="F273" s="14">
        <v>154.5</v>
      </c>
      <c r="G273" s="14">
        <v>153.4</v>
      </c>
      <c r="H273" s="14">
        <v>133.4</v>
      </c>
      <c r="I273" s="14">
        <v>154.5</v>
      </c>
      <c r="J273" s="14">
        <v>191.9</v>
      </c>
      <c r="K273" s="14">
        <v>151.30000000000001</v>
      </c>
      <c r="L273" s="14">
        <v>116.8</v>
      </c>
      <c r="M273" s="14">
        <v>160</v>
      </c>
      <c r="N273" s="14">
        <v>136.5</v>
      </c>
      <c r="O273" s="14">
        <v>163.30000000000001</v>
      </c>
      <c r="P273" s="14">
        <v>159.9</v>
      </c>
      <c r="Q273" s="14">
        <v>187.2</v>
      </c>
      <c r="R273" s="14">
        <v>150</v>
      </c>
      <c r="S273" s="14">
        <v>135.19999999999999</v>
      </c>
      <c r="T273" s="14">
        <v>147.80000000000001</v>
      </c>
      <c r="U273" s="14">
        <v>155.5</v>
      </c>
      <c r="V273" s="14">
        <v>138.30000000000001</v>
      </c>
      <c r="W273" s="14">
        <v>144.5</v>
      </c>
      <c r="X273" s="14">
        <v>148.69999999999999</v>
      </c>
      <c r="Y273" s="14">
        <v>133.9</v>
      </c>
      <c r="Z273" s="14">
        <v>141.19999999999999</v>
      </c>
      <c r="AA273" s="14">
        <v>155.5</v>
      </c>
      <c r="AB273" s="14">
        <v>155.19999999999999</v>
      </c>
      <c r="AC273" s="14">
        <v>144.80000000000001</v>
      </c>
      <c r="AD273" s="15">
        <v>152.9</v>
      </c>
      <c r="AF273" s="13">
        <f>SUM('Working sheet'!$D273:$P273)</f>
        <v>2024.8999999999999</v>
      </c>
      <c r="AG273" s="14">
        <f>SUM('Working sheet'!$Q273)</f>
        <v>187.2</v>
      </c>
      <c r="AH273" s="14">
        <f>SUM('Working sheet'!$R273:$T273)</f>
        <v>433</v>
      </c>
      <c r="AI273" s="14">
        <f>SUM('Working sheet'!$U273)</f>
        <v>155.5</v>
      </c>
      <c r="AJ273" s="14">
        <f>SUM('Working sheet'!$V273)</f>
        <v>138.30000000000001</v>
      </c>
      <c r="AK273" s="15">
        <f>SUM('Working sheet'!$W273:$AC273)</f>
        <v>1023.8</v>
      </c>
    </row>
    <row r="274" spans="1:37" x14ac:dyDescent="0.25">
      <c r="A274" s="16" t="s">
        <v>31</v>
      </c>
      <c r="B274" s="17">
        <v>2020</v>
      </c>
      <c r="C274" s="17" t="s">
        <v>38</v>
      </c>
      <c r="D274" s="17">
        <v>148.9</v>
      </c>
      <c r="E274" s="17">
        <v>190.9</v>
      </c>
      <c r="F274" s="17">
        <v>150.80000000000001</v>
      </c>
      <c r="G274" s="17">
        <v>153.30000000000001</v>
      </c>
      <c r="H274" s="17">
        <v>137.4</v>
      </c>
      <c r="I274" s="17">
        <v>150.4</v>
      </c>
      <c r="J274" s="17">
        <v>178.1</v>
      </c>
      <c r="K274" s="17">
        <v>150.4</v>
      </c>
      <c r="L274" s="17">
        <v>115.1</v>
      </c>
      <c r="M274" s="17">
        <v>160</v>
      </c>
      <c r="N274" s="17">
        <v>140.6</v>
      </c>
      <c r="O274" s="17">
        <v>162.30000000000001</v>
      </c>
      <c r="P274" s="17">
        <v>157</v>
      </c>
      <c r="Q274" s="17">
        <v>182.6</v>
      </c>
      <c r="R274" s="17">
        <v>153.1</v>
      </c>
      <c r="S274" s="17">
        <v>143.4</v>
      </c>
      <c r="T274" s="17">
        <v>151.69999999999999</v>
      </c>
      <c r="U274" s="17">
        <v>155.5</v>
      </c>
      <c r="V274" s="17">
        <v>143</v>
      </c>
      <c r="W274" s="17">
        <v>148.4</v>
      </c>
      <c r="X274" s="17">
        <v>155</v>
      </c>
      <c r="Y274" s="17">
        <v>138.5</v>
      </c>
      <c r="Z274" s="17">
        <v>146</v>
      </c>
      <c r="AA274" s="17">
        <v>158.5</v>
      </c>
      <c r="AB274" s="17">
        <v>154.30000000000001</v>
      </c>
      <c r="AC274" s="17">
        <v>149</v>
      </c>
      <c r="AD274" s="18">
        <v>153.9</v>
      </c>
      <c r="AF274" s="16">
        <f>SUM('Working sheet'!$D274:$P274)</f>
        <v>1995.1999999999998</v>
      </c>
      <c r="AG274" s="17">
        <f>SUM('Working sheet'!$Q274)</f>
        <v>182.6</v>
      </c>
      <c r="AH274" s="17">
        <f>SUM('Working sheet'!$R274:$T274)</f>
        <v>448.2</v>
      </c>
      <c r="AI274" s="17">
        <f>SUM('Working sheet'!$U274)</f>
        <v>155.5</v>
      </c>
      <c r="AJ274" s="17">
        <f>SUM('Working sheet'!$V274)</f>
        <v>143</v>
      </c>
      <c r="AK274" s="18">
        <f>SUM('Working sheet'!$W274:$AC274)</f>
        <v>1049.7</v>
      </c>
    </row>
    <row r="275" spans="1:37" hidden="1" x14ac:dyDescent="0.25">
      <c r="A275" s="13" t="s">
        <v>28</v>
      </c>
      <c r="B275" s="14">
        <v>2020</v>
      </c>
      <c r="C275" s="14" t="s">
        <v>39</v>
      </c>
      <c r="D275" s="14">
        <v>146.9</v>
      </c>
      <c r="E275" s="14">
        <v>183.9</v>
      </c>
      <c r="F275" s="14">
        <v>149.5</v>
      </c>
      <c r="G275" s="14">
        <v>153.4</v>
      </c>
      <c r="H275" s="14">
        <v>140.4</v>
      </c>
      <c r="I275" s="14">
        <v>147</v>
      </c>
      <c r="J275" s="14">
        <v>178.8</v>
      </c>
      <c r="K275" s="14">
        <v>149.30000000000001</v>
      </c>
      <c r="L275" s="14">
        <v>115.1</v>
      </c>
      <c r="M275" s="14">
        <v>160</v>
      </c>
      <c r="N275" s="14">
        <v>145.4</v>
      </c>
      <c r="O275" s="14">
        <v>161.6</v>
      </c>
      <c r="P275" s="14">
        <v>156.1</v>
      </c>
      <c r="Q275" s="14">
        <v>182.9</v>
      </c>
      <c r="R275" s="14">
        <v>155.4</v>
      </c>
      <c r="S275" s="14">
        <v>149.9</v>
      </c>
      <c r="T275" s="14">
        <v>154.6</v>
      </c>
      <c r="U275" s="14">
        <v>156.4</v>
      </c>
      <c r="V275" s="14">
        <v>146.4</v>
      </c>
      <c r="W275" s="14">
        <v>151.6</v>
      </c>
      <c r="X275" s="14">
        <v>159.1</v>
      </c>
      <c r="Y275" s="14">
        <v>144.6</v>
      </c>
      <c r="Z275" s="14">
        <v>152.80000000000001</v>
      </c>
      <c r="AA275" s="14">
        <v>161.1</v>
      </c>
      <c r="AB275" s="14">
        <v>157.4</v>
      </c>
      <c r="AC275" s="14">
        <v>153.69999999999999</v>
      </c>
      <c r="AD275" s="15">
        <v>155.4</v>
      </c>
      <c r="AF275" s="13">
        <f>SUM('Working sheet'!$D275:$P275)</f>
        <v>1987.3999999999999</v>
      </c>
      <c r="AG275" s="14">
        <f>SUM('Working sheet'!$Q275)</f>
        <v>182.9</v>
      </c>
      <c r="AH275" s="14">
        <f>SUM('Working sheet'!$R275:$T275)</f>
        <v>459.9</v>
      </c>
      <c r="AI275" s="14">
        <f>SUM('Working sheet'!$U275)</f>
        <v>156.4</v>
      </c>
      <c r="AJ275" s="14">
        <f>SUM('Working sheet'!$V275)</f>
        <v>146.4</v>
      </c>
      <c r="AK275" s="15">
        <f>SUM('Working sheet'!$W275:$AC275)</f>
        <v>1080.3</v>
      </c>
    </row>
    <row r="276" spans="1:37" hidden="1" x14ac:dyDescent="0.25">
      <c r="A276" s="16" t="s">
        <v>30</v>
      </c>
      <c r="B276" s="17">
        <v>2020</v>
      </c>
      <c r="C276" s="17" t="s">
        <v>39</v>
      </c>
      <c r="D276" s="17">
        <v>151.5</v>
      </c>
      <c r="E276" s="17">
        <v>193.1</v>
      </c>
      <c r="F276" s="17">
        <v>157.30000000000001</v>
      </c>
      <c r="G276" s="17">
        <v>153.9</v>
      </c>
      <c r="H276" s="17">
        <v>134.4</v>
      </c>
      <c r="I276" s="17">
        <v>155.4</v>
      </c>
      <c r="J276" s="17">
        <v>202</v>
      </c>
      <c r="K276" s="17">
        <v>150.80000000000001</v>
      </c>
      <c r="L276" s="17">
        <v>118.9</v>
      </c>
      <c r="M276" s="17">
        <v>160.9</v>
      </c>
      <c r="N276" s="17">
        <v>137.69999999999999</v>
      </c>
      <c r="O276" s="17">
        <v>164.4</v>
      </c>
      <c r="P276" s="17">
        <v>161.30000000000001</v>
      </c>
      <c r="Q276" s="17">
        <v>188.7</v>
      </c>
      <c r="R276" s="17">
        <v>150.19999999999999</v>
      </c>
      <c r="S276" s="17">
        <v>136.30000000000001</v>
      </c>
      <c r="T276" s="17">
        <v>148.1</v>
      </c>
      <c r="U276" s="17">
        <v>156.30000000000001</v>
      </c>
      <c r="V276" s="17">
        <v>137.19999999999999</v>
      </c>
      <c r="W276" s="17">
        <v>145.4</v>
      </c>
      <c r="X276" s="17">
        <v>150</v>
      </c>
      <c r="Y276" s="17">
        <v>135.1</v>
      </c>
      <c r="Z276" s="17">
        <v>141.80000000000001</v>
      </c>
      <c r="AA276" s="17">
        <v>154.9</v>
      </c>
      <c r="AB276" s="17">
        <v>159.80000000000001</v>
      </c>
      <c r="AC276" s="17">
        <v>146</v>
      </c>
      <c r="AD276" s="18">
        <v>154</v>
      </c>
      <c r="AF276" s="16">
        <f>SUM('Working sheet'!$D276:$P276)</f>
        <v>2041.6000000000001</v>
      </c>
      <c r="AG276" s="17">
        <f>SUM('Working sheet'!$Q276)</f>
        <v>188.7</v>
      </c>
      <c r="AH276" s="17">
        <f>SUM('Working sheet'!$R276:$T276)</f>
        <v>434.6</v>
      </c>
      <c r="AI276" s="17">
        <f>SUM('Working sheet'!$U276)</f>
        <v>156.30000000000001</v>
      </c>
      <c r="AJ276" s="17">
        <f>SUM('Working sheet'!$V276)</f>
        <v>137.19999999999999</v>
      </c>
      <c r="AK276" s="18">
        <f>SUM('Working sheet'!$W276:$AC276)</f>
        <v>1033</v>
      </c>
    </row>
    <row r="277" spans="1:37" x14ac:dyDescent="0.25">
      <c r="A277" s="13" t="s">
        <v>31</v>
      </c>
      <c r="B277" s="14">
        <v>2020</v>
      </c>
      <c r="C277" s="14" t="s">
        <v>39</v>
      </c>
      <c r="D277" s="14">
        <v>148.4</v>
      </c>
      <c r="E277" s="14">
        <v>187.1</v>
      </c>
      <c r="F277" s="14">
        <v>152.5</v>
      </c>
      <c r="G277" s="14">
        <v>153.6</v>
      </c>
      <c r="H277" s="14">
        <v>138.19999999999999</v>
      </c>
      <c r="I277" s="14">
        <v>150.9</v>
      </c>
      <c r="J277" s="14">
        <v>186.7</v>
      </c>
      <c r="K277" s="14">
        <v>149.80000000000001</v>
      </c>
      <c r="L277" s="14">
        <v>116.4</v>
      </c>
      <c r="M277" s="14">
        <v>160.30000000000001</v>
      </c>
      <c r="N277" s="14">
        <v>142.19999999999999</v>
      </c>
      <c r="O277" s="14">
        <v>162.9</v>
      </c>
      <c r="P277" s="14">
        <v>158</v>
      </c>
      <c r="Q277" s="14">
        <v>184.4</v>
      </c>
      <c r="R277" s="14">
        <v>153.4</v>
      </c>
      <c r="S277" s="14">
        <v>144.30000000000001</v>
      </c>
      <c r="T277" s="14">
        <v>152</v>
      </c>
      <c r="U277" s="14">
        <v>156.30000000000001</v>
      </c>
      <c r="V277" s="14">
        <v>142.9</v>
      </c>
      <c r="W277" s="14">
        <v>148.69999999999999</v>
      </c>
      <c r="X277" s="14">
        <v>155.6</v>
      </c>
      <c r="Y277" s="14">
        <v>139.6</v>
      </c>
      <c r="Z277" s="14">
        <v>146.6</v>
      </c>
      <c r="AA277" s="14">
        <v>157.5</v>
      </c>
      <c r="AB277" s="14">
        <v>158.4</v>
      </c>
      <c r="AC277" s="14">
        <v>150</v>
      </c>
      <c r="AD277" s="15">
        <v>154.69999999999999</v>
      </c>
      <c r="AF277" s="13">
        <f>SUM('Working sheet'!$D277:$P277)</f>
        <v>2007</v>
      </c>
      <c r="AG277" s="14">
        <f>SUM('Working sheet'!$Q277)</f>
        <v>184.4</v>
      </c>
      <c r="AH277" s="14">
        <f>SUM('Working sheet'!$R277:$T277)</f>
        <v>449.70000000000005</v>
      </c>
      <c r="AI277" s="14">
        <f>SUM('Working sheet'!$U277)</f>
        <v>156.30000000000001</v>
      </c>
      <c r="AJ277" s="14">
        <f>SUM('Working sheet'!$V277)</f>
        <v>142.9</v>
      </c>
      <c r="AK277" s="15">
        <f>SUM('Working sheet'!$W277:$AC277)</f>
        <v>1056.4000000000001</v>
      </c>
    </row>
    <row r="278" spans="1:37" hidden="1" x14ac:dyDescent="0.25">
      <c r="A278" s="16" t="s">
        <v>28</v>
      </c>
      <c r="B278" s="17">
        <v>2020</v>
      </c>
      <c r="C278" s="17" t="s">
        <v>40</v>
      </c>
      <c r="D278" s="17">
        <v>146</v>
      </c>
      <c r="E278" s="17">
        <v>186.3</v>
      </c>
      <c r="F278" s="17">
        <v>159.19999999999999</v>
      </c>
      <c r="G278" s="17">
        <v>153.6</v>
      </c>
      <c r="H278" s="17">
        <v>142.6</v>
      </c>
      <c r="I278" s="17">
        <v>147.19999999999999</v>
      </c>
      <c r="J278" s="17">
        <v>200.6</v>
      </c>
      <c r="K278" s="17">
        <v>150.30000000000001</v>
      </c>
      <c r="L278" s="17">
        <v>115.3</v>
      </c>
      <c r="M278" s="17">
        <v>160.9</v>
      </c>
      <c r="N278" s="17">
        <v>147.4</v>
      </c>
      <c r="O278" s="17">
        <v>161.9</v>
      </c>
      <c r="P278" s="17">
        <v>159.6</v>
      </c>
      <c r="Q278" s="17">
        <v>182.7</v>
      </c>
      <c r="R278" s="17">
        <v>155.69999999999999</v>
      </c>
      <c r="S278" s="17">
        <v>150.6</v>
      </c>
      <c r="T278" s="17">
        <v>155</v>
      </c>
      <c r="U278" s="17">
        <v>157.30000000000001</v>
      </c>
      <c r="V278" s="17">
        <v>146.80000000000001</v>
      </c>
      <c r="W278" s="17">
        <v>152</v>
      </c>
      <c r="X278" s="17">
        <v>159.5</v>
      </c>
      <c r="Y278" s="17">
        <v>146.4</v>
      </c>
      <c r="Z278" s="17">
        <v>152.4</v>
      </c>
      <c r="AA278" s="17">
        <v>162.5</v>
      </c>
      <c r="AB278" s="17">
        <v>156.19999999999999</v>
      </c>
      <c r="AC278" s="17">
        <v>154.30000000000001</v>
      </c>
      <c r="AD278" s="18">
        <v>157.5</v>
      </c>
      <c r="AF278" s="16">
        <f>SUM('Working sheet'!$D278:$P278)</f>
        <v>2030.9</v>
      </c>
      <c r="AG278" s="17">
        <f>SUM('Working sheet'!$Q278)</f>
        <v>182.7</v>
      </c>
      <c r="AH278" s="17">
        <f>SUM('Working sheet'!$R278:$T278)</f>
        <v>461.29999999999995</v>
      </c>
      <c r="AI278" s="17">
        <f>SUM('Working sheet'!$U278)</f>
        <v>157.30000000000001</v>
      </c>
      <c r="AJ278" s="17">
        <f>SUM('Working sheet'!$V278)</f>
        <v>146.80000000000001</v>
      </c>
      <c r="AK278" s="18">
        <f>SUM('Working sheet'!$W278:$AC278)</f>
        <v>1083.3</v>
      </c>
    </row>
    <row r="279" spans="1:37" hidden="1" x14ac:dyDescent="0.25">
      <c r="A279" s="13" t="s">
        <v>30</v>
      </c>
      <c r="B279" s="14">
        <v>2020</v>
      </c>
      <c r="C279" s="14" t="s">
        <v>40</v>
      </c>
      <c r="D279" s="14">
        <v>150.6</v>
      </c>
      <c r="E279" s="14">
        <v>193.7</v>
      </c>
      <c r="F279" s="14">
        <v>164.8</v>
      </c>
      <c r="G279" s="14">
        <v>153.69999999999999</v>
      </c>
      <c r="H279" s="14">
        <v>135.69999999999999</v>
      </c>
      <c r="I279" s="14">
        <v>155.69999999999999</v>
      </c>
      <c r="J279" s="14">
        <v>226</v>
      </c>
      <c r="K279" s="14">
        <v>152.19999999999999</v>
      </c>
      <c r="L279" s="14">
        <v>118.1</v>
      </c>
      <c r="M279" s="14">
        <v>161.30000000000001</v>
      </c>
      <c r="N279" s="14">
        <v>139.19999999999999</v>
      </c>
      <c r="O279" s="14">
        <v>164.8</v>
      </c>
      <c r="P279" s="14">
        <v>164.4</v>
      </c>
      <c r="Q279" s="14">
        <v>188.7</v>
      </c>
      <c r="R279" s="14">
        <v>150.5</v>
      </c>
      <c r="S279" s="14">
        <v>136.1</v>
      </c>
      <c r="T279" s="14">
        <v>148.30000000000001</v>
      </c>
      <c r="U279" s="14">
        <v>156.5</v>
      </c>
      <c r="V279" s="14">
        <v>137.1</v>
      </c>
      <c r="W279" s="14">
        <v>145.1</v>
      </c>
      <c r="X279" s="14">
        <v>151</v>
      </c>
      <c r="Y279" s="14">
        <v>135.4</v>
      </c>
      <c r="Z279" s="14">
        <v>142</v>
      </c>
      <c r="AA279" s="14">
        <v>155.69999999999999</v>
      </c>
      <c r="AB279" s="14">
        <v>158.1</v>
      </c>
      <c r="AC279" s="14">
        <v>146.19999999999999</v>
      </c>
      <c r="AD279" s="15">
        <v>155.19999999999999</v>
      </c>
      <c r="AF279" s="13">
        <f>SUM('Working sheet'!$D279:$P279)</f>
        <v>2080.1999999999998</v>
      </c>
      <c r="AG279" s="14">
        <f>SUM('Working sheet'!$Q279)</f>
        <v>188.7</v>
      </c>
      <c r="AH279" s="14">
        <f>SUM('Working sheet'!$R279:$T279)</f>
        <v>434.90000000000003</v>
      </c>
      <c r="AI279" s="14">
        <f>SUM('Working sheet'!$U279)</f>
        <v>156.5</v>
      </c>
      <c r="AJ279" s="14">
        <f>SUM('Working sheet'!$V279)</f>
        <v>137.1</v>
      </c>
      <c r="AK279" s="15">
        <f>SUM('Working sheet'!$W279:$AC279)</f>
        <v>1033.5</v>
      </c>
    </row>
    <row r="280" spans="1:37" x14ac:dyDescent="0.25">
      <c r="A280" s="16" t="s">
        <v>31</v>
      </c>
      <c r="B280" s="17">
        <v>2020</v>
      </c>
      <c r="C280" s="17" t="s">
        <v>40</v>
      </c>
      <c r="D280" s="17">
        <v>147.5</v>
      </c>
      <c r="E280" s="17">
        <v>188.9</v>
      </c>
      <c r="F280" s="17">
        <v>161.4</v>
      </c>
      <c r="G280" s="17">
        <v>153.6</v>
      </c>
      <c r="H280" s="17">
        <v>140.1</v>
      </c>
      <c r="I280" s="17">
        <v>151.19999999999999</v>
      </c>
      <c r="J280" s="17">
        <v>209.2</v>
      </c>
      <c r="K280" s="17">
        <v>150.9</v>
      </c>
      <c r="L280" s="17">
        <v>116.2</v>
      </c>
      <c r="M280" s="17">
        <v>161</v>
      </c>
      <c r="N280" s="17">
        <v>144</v>
      </c>
      <c r="O280" s="17">
        <v>163.19999999999999</v>
      </c>
      <c r="P280" s="17">
        <v>161.4</v>
      </c>
      <c r="Q280" s="17">
        <v>184.3</v>
      </c>
      <c r="R280" s="17">
        <v>153.69999999999999</v>
      </c>
      <c r="S280" s="17">
        <v>144.6</v>
      </c>
      <c r="T280" s="17">
        <v>152.30000000000001</v>
      </c>
      <c r="U280" s="17">
        <v>156.5</v>
      </c>
      <c r="V280" s="17">
        <v>143.1</v>
      </c>
      <c r="W280" s="17">
        <v>148.69999999999999</v>
      </c>
      <c r="X280" s="17">
        <v>156.30000000000001</v>
      </c>
      <c r="Y280" s="17">
        <v>140.6</v>
      </c>
      <c r="Z280" s="17">
        <v>146.5</v>
      </c>
      <c r="AA280" s="17">
        <v>158.5</v>
      </c>
      <c r="AB280" s="17">
        <v>157</v>
      </c>
      <c r="AC280" s="17">
        <v>150.4</v>
      </c>
      <c r="AD280" s="18">
        <v>156.4</v>
      </c>
      <c r="AF280" s="16">
        <f>SUM('Working sheet'!$D280:$P280)</f>
        <v>2048.6000000000004</v>
      </c>
      <c r="AG280" s="17">
        <f>SUM('Working sheet'!$Q280)</f>
        <v>184.3</v>
      </c>
      <c r="AH280" s="17">
        <f>SUM('Working sheet'!$R280:$T280)</f>
        <v>450.59999999999997</v>
      </c>
      <c r="AI280" s="17">
        <f>SUM('Working sheet'!$U280)</f>
        <v>156.5</v>
      </c>
      <c r="AJ280" s="17">
        <f>SUM('Working sheet'!$V280)</f>
        <v>143.1</v>
      </c>
      <c r="AK280" s="18">
        <f>SUM('Working sheet'!$W280:$AC280)</f>
        <v>1058</v>
      </c>
    </row>
    <row r="281" spans="1:37" hidden="1" x14ac:dyDescent="0.25">
      <c r="A281" s="13" t="s">
        <v>28</v>
      </c>
      <c r="B281" s="14">
        <v>2020</v>
      </c>
      <c r="C281" s="14" t="s">
        <v>42</v>
      </c>
      <c r="D281" s="14">
        <v>145.4</v>
      </c>
      <c r="E281" s="14">
        <v>188.6</v>
      </c>
      <c r="F281" s="14">
        <v>171.6</v>
      </c>
      <c r="G281" s="14">
        <v>153.80000000000001</v>
      </c>
      <c r="H281" s="14">
        <v>145.4</v>
      </c>
      <c r="I281" s="14">
        <v>146.5</v>
      </c>
      <c r="J281" s="14">
        <v>222.2</v>
      </c>
      <c r="K281" s="14">
        <v>155.9</v>
      </c>
      <c r="L281" s="14">
        <v>114.9</v>
      </c>
      <c r="M281" s="14">
        <v>162</v>
      </c>
      <c r="N281" s="14">
        <v>150</v>
      </c>
      <c r="O281" s="14">
        <v>162.69999999999999</v>
      </c>
      <c r="P281" s="14">
        <v>163.4</v>
      </c>
      <c r="Q281" s="14">
        <v>183.4</v>
      </c>
      <c r="R281" s="14">
        <v>156.30000000000001</v>
      </c>
      <c r="S281" s="14">
        <v>151</v>
      </c>
      <c r="T281" s="14">
        <v>155.5</v>
      </c>
      <c r="U281" s="14">
        <v>158.19999999999999</v>
      </c>
      <c r="V281" s="14">
        <v>147.5</v>
      </c>
      <c r="W281" s="14">
        <v>152.80000000000001</v>
      </c>
      <c r="X281" s="14">
        <v>160.4</v>
      </c>
      <c r="Y281" s="14">
        <v>146.1</v>
      </c>
      <c r="Z281" s="14">
        <v>153.6</v>
      </c>
      <c r="AA281" s="14">
        <v>161.6</v>
      </c>
      <c r="AB281" s="14">
        <v>156.19999999999999</v>
      </c>
      <c r="AC281" s="14">
        <v>154.5</v>
      </c>
      <c r="AD281" s="15">
        <v>159.80000000000001</v>
      </c>
      <c r="AF281" s="13">
        <f>SUM('Working sheet'!$D281:$P281)</f>
        <v>2082.4</v>
      </c>
      <c r="AG281" s="14">
        <f>SUM('Working sheet'!$Q281)</f>
        <v>183.4</v>
      </c>
      <c r="AH281" s="14">
        <f>SUM('Working sheet'!$R281:$T281)</f>
        <v>462.8</v>
      </c>
      <c r="AI281" s="14">
        <f>SUM('Working sheet'!$U281)</f>
        <v>158.19999999999999</v>
      </c>
      <c r="AJ281" s="14">
        <f>SUM('Working sheet'!$V281)</f>
        <v>147.5</v>
      </c>
      <c r="AK281" s="15">
        <f>SUM('Working sheet'!$W281:$AC281)</f>
        <v>1085.2</v>
      </c>
    </row>
    <row r="282" spans="1:37" hidden="1" x14ac:dyDescent="0.25">
      <c r="A282" s="16" t="s">
        <v>30</v>
      </c>
      <c r="B282" s="17">
        <v>2020</v>
      </c>
      <c r="C282" s="17" t="s">
        <v>42</v>
      </c>
      <c r="D282" s="17">
        <v>149.69999999999999</v>
      </c>
      <c r="E282" s="17">
        <v>195.5</v>
      </c>
      <c r="F282" s="17">
        <v>176.9</v>
      </c>
      <c r="G282" s="17">
        <v>153.9</v>
      </c>
      <c r="H282" s="17">
        <v>138</v>
      </c>
      <c r="I282" s="17">
        <v>150.5</v>
      </c>
      <c r="J282" s="17">
        <v>245.3</v>
      </c>
      <c r="K282" s="17">
        <v>158.69999999999999</v>
      </c>
      <c r="L282" s="17">
        <v>117.2</v>
      </c>
      <c r="M282" s="17">
        <v>161.4</v>
      </c>
      <c r="N282" s="17">
        <v>141.5</v>
      </c>
      <c r="O282" s="17">
        <v>165.1</v>
      </c>
      <c r="P282" s="17">
        <v>167</v>
      </c>
      <c r="Q282" s="17">
        <v>188.8</v>
      </c>
      <c r="R282" s="17">
        <v>151.1</v>
      </c>
      <c r="S282" s="17">
        <v>136.4</v>
      </c>
      <c r="T282" s="17">
        <v>148.80000000000001</v>
      </c>
      <c r="U282" s="17">
        <v>158</v>
      </c>
      <c r="V282" s="17">
        <v>137.30000000000001</v>
      </c>
      <c r="W282" s="17">
        <v>145.1</v>
      </c>
      <c r="X282" s="17">
        <v>152</v>
      </c>
      <c r="Y282" s="17">
        <v>135.19999999999999</v>
      </c>
      <c r="Z282" s="17">
        <v>144.4</v>
      </c>
      <c r="AA282" s="17">
        <v>156.4</v>
      </c>
      <c r="AB282" s="17">
        <v>157.9</v>
      </c>
      <c r="AC282" s="17">
        <v>146.6</v>
      </c>
      <c r="AD282" s="18">
        <v>156.69999999999999</v>
      </c>
      <c r="AF282" s="16">
        <f>SUM('Working sheet'!$D282:$P282)</f>
        <v>2120.6999999999998</v>
      </c>
      <c r="AG282" s="17">
        <f>SUM('Working sheet'!$Q282)</f>
        <v>188.8</v>
      </c>
      <c r="AH282" s="17">
        <f>SUM('Working sheet'!$R282:$T282)</f>
        <v>436.3</v>
      </c>
      <c r="AI282" s="17">
        <f>SUM('Working sheet'!$U282)</f>
        <v>158</v>
      </c>
      <c r="AJ282" s="17">
        <f>SUM('Working sheet'!$V282)</f>
        <v>137.30000000000001</v>
      </c>
      <c r="AK282" s="18">
        <f>SUM('Working sheet'!$W282:$AC282)</f>
        <v>1037.5999999999999</v>
      </c>
    </row>
    <row r="283" spans="1:37" x14ac:dyDescent="0.25">
      <c r="A283" s="13" t="s">
        <v>31</v>
      </c>
      <c r="B283" s="14">
        <v>2020</v>
      </c>
      <c r="C283" s="14" t="s">
        <v>42</v>
      </c>
      <c r="D283" s="14">
        <v>146.80000000000001</v>
      </c>
      <c r="E283" s="14">
        <v>191</v>
      </c>
      <c r="F283" s="14">
        <v>173.6</v>
      </c>
      <c r="G283" s="14">
        <v>153.80000000000001</v>
      </c>
      <c r="H283" s="14">
        <v>142.69999999999999</v>
      </c>
      <c r="I283" s="14">
        <v>148.4</v>
      </c>
      <c r="J283" s="14">
        <v>230</v>
      </c>
      <c r="K283" s="14">
        <v>156.80000000000001</v>
      </c>
      <c r="L283" s="14">
        <v>115.7</v>
      </c>
      <c r="M283" s="14">
        <v>161.80000000000001</v>
      </c>
      <c r="N283" s="14">
        <v>146.5</v>
      </c>
      <c r="O283" s="14">
        <v>163.80000000000001</v>
      </c>
      <c r="P283" s="14">
        <v>164.7</v>
      </c>
      <c r="Q283" s="14">
        <v>184.8</v>
      </c>
      <c r="R283" s="14">
        <v>154.30000000000001</v>
      </c>
      <c r="S283" s="14">
        <v>144.9</v>
      </c>
      <c r="T283" s="14">
        <v>152.80000000000001</v>
      </c>
      <c r="U283" s="14">
        <v>158</v>
      </c>
      <c r="V283" s="14">
        <v>143.6</v>
      </c>
      <c r="W283" s="14">
        <v>149.19999999999999</v>
      </c>
      <c r="X283" s="14">
        <v>157.19999999999999</v>
      </c>
      <c r="Y283" s="14">
        <v>140.4</v>
      </c>
      <c r="Z283" s="14">
        <v>148.4</v>
      </c>
      <c r="AA283" s="14">
        <v>158.6</v>
      </c>
      <c r="AB283" s="14">
        <v>156.9</v>
      </c>
      <c r="AC283" s="14">
        <v>150.69999999999999</v>
      </c>
      <c r="AD283" s="15">
        <v>158.4</v>
      </c>
      <c r="AF283" s="13">
        <f>SUM('Working sheet'!$D283:$P283)</f>
        <v>2095.6</v>
      </c>
      <c r="AG283" s="14">
        <f>SUM('Working sheet'!$Q283)</f>
        <v>184.8</v>
      </c>
      <c r="AH283" s="14">
        <f>SUM('Working sheet'!$R283:$T283)</f>
        <v>452.00000000000006</v>
      </c>
      <c r="AI283" s="14">
        <f>SUM('Working sheet'!$U283)</f>
        <v>158</v>
      </c>
      <c r="AJ283" s="14">
        <f>SUM('Working sheet'!$V283)</f>
        <v>143.6</v>
      </c>
      <c r="AK283" s="15">
        <f>SUM('Working sheet'!$W283:$AC283)</f>
        <v>1061.3999999999999</v>
      </c>
    </row>
    <row r="284" spans="1:37" hidden="1" x14ac:dyDescent="0.25">
      <c r="A284" s="16" t="s">
        <v>28</v>
      </c>
      <c r="B284" s="17">
        <v>2020</v>
      </c>
      <c r="C284" s="17" t="s">
        <v>43</v>
      </c>
      <c r="D284" s="17">
        <v>144.6</v>
      </c>
      <c r="E284" s="17">
        <v>188.5</v>
      </c>
      <c r="F284" s="17">
        <v>173.4</v>
      </c>
      <c r="G284" s="17">
        <v>154</v>
      </c>
      <c r="H284" s="17">
        <v>150</v>
      </c>
      <c r="I284" s="17">
        <v>145.9</v>
      </c>
      <c r="J284" s="17">
        <v>225.2</v>
      </c>
      <c r="K284" s="17">
        <v>159.5</v>
      </c>
      <c r="L284" s="17">
        <v>114.4</v>
      </c>
      <c r="M284" s="17">
        <v>163.5</v>
      </c>
      <c r="N284" s="17">
        <v>153.4</v>
      </c>
      <c r="O284" s="17">
        <v>163.6</v>
      </c>
      <c r="P284" s="17">
        <v>164.5</v>
      </c>
      <c r="Q284" s="17">
        <v>183.6</v>
      </c>
      <c r="R284" s="17">
        <v>157</v>
      </c>
      <c r="S284" s="17">
        <v>151.6</v>
      </c>
      <c r="T284" s="17">
        <v>156.30000000000001</v>
      </c>
      <c r="U284" s="17">
        <v>158.1</v>
      </c>
      <c r="V284" s="17">
        <v>148.69999999999999</v>
      </c>
      <c r="W284" s="17">
        <v>153.4</v>
      </c>
      <c r="X284" s="17">
        <v>161.6</v>
      </c>
      <c r="Y284" s="17">
        <v>146.4</v>
      </c>
      <c r="Z284" s="17">
        <v>153.9</v>
      </c>
      <c r="AA284" s="17">
        <v>162.9</v>
      </c>
      <c r="AB284" s="17">
        <v>156.6</v>
      </c>
      <c r="AC284" s="17">
        <v>155.19999999999999</v>
      </c>
      <c r="AD284" s="18">
        <v>160.69999999999999</v>
      </c>
      <c r="AF284" s="16">
        <f>SUM('Working sheet'!$D284:$P284)</f>
        <v>2100.5</v>
      </c>
      <c r="AG284" s="17">
        <f>SUM('Working sheet'!$Q284)</f>
        <v>183.6</v>
      </c>
      <c r="AH284" s="17">
        <f>SUM('Working sheet'!$R284:$T284)</f>
        <v>464.90000000000003</v>
      </c>
      <c r="AI284" s="17">
        <f>SUM('Working sheet'!$U284)</f>
        <v>158.1</v>
      </c>
      <c r="AJ284" s="17">
        <f>SUM('Working sheet'!$V284)</f>
        <v>148.69999999999999</v>
      </c>
      <c r="AK284" s="18">
        <f>SUM('Working sheet'!$W284:$AC284)</f>
        <v>1090</v>
      </c>
    </row>
    <row r="285" spans="1:37" hidden="1" x14ac:dyDescent="0.25">
      <c r="A285" s="13" t="s">
        <v>30</v>
      </c>
      <c r="B285" s="14">
        <v>2020</v>
      </c>
      <c r="C285" s="14" t="s">
        <v>43</v>
      </c>
      <c r="D285" s="14">
        <v>149</v>
      </c>
      <c r="E285" s="14">
        <v>195.7</v>
      </c>
      <c r="F285" s="14">
        <v>178.3</v>
      </c>
      <c r="G285" s="14">
        <v>154.19999999999999</v>
      </c>
      <c r="H285" s="14">
        <v>140.69999999999999</v>
      </c>
      <c r="I285" s="14">
        <v>149.69999999999999</v>
      </c>
      <c r="J285" s="14">
        <v>240.9</v>
      </c>
      <c r="K285" s="14">
        <v>161.5</v>
      </c>
      <c r="L285" s="14">
        <v>117.1</v>
      </c>
      <c r="M285" s="14">
        <v>161.9</v>
      </c>
      <c r="N285" s="14">
        <v>143.30000000000001</v>
      </c>
      <c r="O285" s="14">
        <v>166.1</v>
      </c>
      <c r="P285" s="14">
        <v>167</v>
      </c>
      <c r="Q285" s="14">
        <v>190.2</v>
      </c>
      <c r="R285" s="14">
        <v>151.9</v>
      </c>
      <c r="S285" s="14">
        <v>136.69999999999999</v>
      </c>
      <c r="T285" s="14">
        <v>149.6</v>
      </c>
      <c r="U285" s="14">
        <v>158.4</v>
      </c>
      <c r="V285" s="14">
        <v>137.9</v>
      </c>
      <c r="W285" s="14">
        <v>145.5</v>
      </c>
      <c r="X285" s="14">
        <v>152.9</v>
      </c>
      <c r="Y285" s="14">
        <v>135.5</v>
      </c>
      <c r="Z285" s="14">
        <v>144.30000000000001</v>
      </c>
      <c r="AA285" s="14">
        <v>156.9</v>
      </c>
      <c r="AB285" s="14">
        <v>157.9</v>
      </c>
      <c r="AC285" s="14">
        <v>146.9</v>
      </c>
      <c r="AD285" s="15">
        <v>156.9</v>
      </c>
      <c r="AF285" s="13">
        <f>SUM('Working sheet'!$D285:$P285)</f>
        <v>2125.4</v>
      </c>
      <c r="AG285" s="14">
        <f>SUM('Working sheet'!$Q285)</f>
        <v>190.2</v>
      </c>
      <c r="AH285" s="14">
        <f>SUM('Working sheet'!$R285:$T285)</f>
        <v>438.20000000000005</v>
      </c>
      <c r="AI285" s="14">
        <f>SUM('Working sheet'!$U285)</f>
        <v>158.4</v>
      </c>
      <c r="AJ285" s="14">
        <f>SUM('Working sheet'!$V285)</f>
        <v>137.9</v>
      </c>
      <c r="AK285" s="15">
        <f>SUM('Working sheet'!$W285:$AC285)</f>
        <v>1039.9000000000001</v>
      </c>
    </row>
    <row r="286" spans="1:37" x14ac:dyDescent="0.25">
      <c r="A286" s="16" t="s">
        <v>31</v>
      </c>
      <c r="B286" s="17">
        <v>2020</v>
      </c>
      <c r="C286" s="17" t="s">
        <v>43</v>
      </c>
      <c r="D286" s="17">
        <v>146</v>
      </c>
      <c r="E286" s="17">
        <v>191</v>
      </c>
      <c r="F286" s="17">
        <v>175.3</v>
      </c>
      <c r="G286" s="17">
        <v>154.1</v>
      </c>
      <c r="H286" s="17">
        <v>146.6</v>
      </c>
      <c r="I286" s="17">
        <v>147.69999999999999</v>
      </c>
      <c r="J286" s="17">
        <v>230.5</v>
      </c>
      <c r="K286" s="17">
        <v>160.19999999999999</v>
      </c>
      <c r="L286" s="17">
        <v>115.3</v>
      </c>
      <c r="M286" s="17">
        <v>163</v>
      </c>
      <c r="N286" s="17">
        <v>149.19999999999999</v>
      </c>
      <c r="O286" s="17">
        <v>164.8</v>
      </c>
      <c r="P286" s="17">
        <v>165.4</v>
      </c>
      <c r="Q286" s="17">
        <v>185.4</v>
      </c>
      <c r="R286" s="17">
        <v>155</v>
      </c>
      <c r="S286" s="17">
        <v>145.4</v>
      </c>
      <c r="T286" s="17">
        <v>153.6</v>
      </c>
      <c r="U286" s="17">
        <v>158.4</v>
      </c>
      <c r="V286" s="17">
        <v>144.6</v>
      </c>
      <c r="W286" s="17">
        <v>149.69999999999999</v>
      </c>
      <c r="X286" s="17">
        <v>158.30000000000001</v>
      </c>
      <c r="Y286" s="17">
        <v>140.69999999999999</v>
      </c>
      <c r="Z286" s="17">
        <v>148.5</v>
      </c>
      <c r="AA286" s="17">
        <v>159.4</v>
      </c>
      <c r="AB286" s="17">
        <v>157.1</v>
      </c>
      <c r="AC286" s="17">
        <v>151.19999999999999</v>
      </c>
      <c r="AD286" s="18">
        <v>158.9</v>
      </c>
      <c r="AF286" s="16">
        <f>SUM('Working sheet'!$D286:$P286)</f>
        <v>2109.1</v>
      </c>
      <c r="AG286" s="17">
        <f>SUM('Working sheet'!$Q286)</f>
        <v>185.4</v>
      </c>
      <c r="AH286" s="17">
        <f>SUM('Working sheet'!$R286:$T286)</f>
        <v>454</v>
      </c>
      <c r="AI286" s="17">
        <f>SUM('Working sheet'!$U286)</f>
        <v>158.4</v>
      </c>
      <c r="AJ286" s="17">
        <f>SUM('Working sheet'!$V286)</f>
        <v>144.6</v>
      </c>
      <c r="AK286" s="18">
        <f>SUM('Working sheet'!$W286:$AC286)</f>
        <v>1064.9000000000001</v>
      </c>
    </row>
    <row r="287" spans="1:37" hidden="1" x14ac:dyDescent="0.25">
      <c r="A287" s="13" t="s">
        <v>28</v>
      </c>
      <c r="B287" s="14">
        <v>2021</v>
      </c>
      <c r="C287" s="14" t="s">
        <v>29</v>
      </c>
      <c r="D287" s="14">
        <v>143.4</v>
      </c>
      <c r="E287" s="14">
        <v>187.5</v>
      </c>
      <c r="F287" s="14">
        <v>173.4</v>
      </c>
      <c r="G287" s="14">
        <v>154</v>
      </c>
      <c r="H287" s="14">
        <v>154.80000000000001</v>
      </c>
      <c r="I287" s="14">
        <v>147</v>
      </c>
      <c r="J287" s="14">
        <v>187.8</v>
      </c>
      <c r="K287" s="14">
        <v>159.5</v>
      </c>
      <c r="L287" s="14">
        <v>113.8</v>
      </c>
      <c r="M287" s="14">
        <v>164.5</v>
      </c>
      <c r="N287" s="14">
        <v>156.1</v>
      </c>
      <c r="O287" s="14">
        <v>164.3</v>
      </c>
      <c r="P287" s="14">
        <v>159.6</v>
      </c>
      <c r="Q287" s="14">
        <v>184.6</v>
      </c>
      <c r="R287" s="14">
        <v>157.5</v>
      </c>
      <c r="S287" s="14">
        <v>152.4</v>
      </c>
      <c r="T287" s="14">
        <v>156.80000000000001</v>
      </c>
      <c r="U287" s="14">
        <v>158.80000000000001</v>
      </c>
      <c r="V287" s="14">
        <v>150.9</v>
      </c>
      <c r="W287" s="14">
        <v>153.9</v>
      </c>
      <c r="X287" s="14">
        <v>162.5</v>
      </c>
      <c r="Y287" s="14">
        <v>147.5</v>
      </c>
      <c r="Z287" s="14">
        <v>155.1</v>
      </c>
      <c r="AA287" s="14">
        <v>163.5</v>
      </c>
      <c r="AB287" s="14">
        <v>156.19999999999999</v>
      </c>
      <c r="AC287" s="14">
        <v>155.9</v>
      </c>
      <c r="AD287" s="15">
        <v>158.5</v>
      </c>
      <c r="AF287" s="13">
        <f>SUM('Working sheet'!$D287:$P287)</f>
        <v>2065.6999999999998</v>
      </c>
      <c r="AG287" s="14">
        <f>SUM('Working sheet'!$Q287)</f>
        <v>184.6</v>
      </c>
      <c r="AH287" s="14">
        <f>SUM('Working sheet'!$R287:$T287)</f>
        <v>466.7</v>
      </c>
      <c r="AI287" s="14">
        <f>SUM('Working sheet'!$U287)</f>
        <v>158.80000000000001</v>
      </c>
      <c r="AJ287" s="14">
        <f>SUM('Working sheet'!$V287)</f>
        <v>150.9</v>
      </c>
      <c r="AK287" s="15">
        <f>SUM('Working sheet'!$W287:$AC287)</f>
        <v>1094.6000000000001</v>
      </c>
    </row>
    <row r="288" spans="1:37" hidden="1" x14ac:dyDescent="0.25">
      <c r="A288" s="16" t="s">
        <v>30</v>
      </c>
      <c r="B288" s="17">
        <v>2021</v>
      </c>
      <c r="C288" s="17" t="s">
        <v>29</v>
      </c>
      <c r="D288" s="17">
        <v>148</v>
      </c>
      <c r="E288" s="17">
        <v>194.8</v>
      </c>
      <c r="F288" s="17">
        <v>178.4</v>
      </c>
      <c r="G288" s="17">
        <v>154.4</v>
      </c>
      <c r="H288" s="17">
        <v>144.1</v>
      </c>
      <c r="I288" s="17">
        <v>152.6</v>
      </c>
      <c r="J288" s="17">
        <v>206.8</v>
      </c>
      <c r="K288" s="17">
        <v>162.1</v>
      </c>
      <c r="L288" s="17">
        <v>116.3</v>
      </c>
      <c r="M288" s="17">
        <v>163</v>
      </c>
      <c r="N288" s="17">
        <v>145.9</v>
      </c>
      <c r="O288" s="17">
        <v>167.2</v>
      </c>
      <c r="P288" s="17">
        <v>163.4</v>
      </c>
      <c r="Q288" s="17">
        <v>191.8</v>
      </c>
      <c r="R288" s="17">
        <v>152.5</v>
      </c>
      <c r="S288" s="17">
        <v>137.30000000000001</v>
      </c>
      <c r="T288" s="17">
        <v>150.19999999999999</v>
      </c>
      <c r="U288" s="17">
        <v>157.69999999999999</v>
      </c>
      <c r="V288" s="17">
        <v>142.9</v>
      </c>
      <c r="W288" s="17">
        <v>145.69999999999999</v>
      </c>
      <c r="X288" s="17">
        <v>154.1</v>
      </c>
      <c r="Y288" s="17">
        <v>136.9</v>
      </c>
      <c r="Z288" s="17">
        <v>145.4</v>
      </c>
      <c r="AA288" s="17">
        <v>156.1</v>
      </c>
      <c r="AB288" s="17">
        <v>157.69999999999999</v>
      </c>
      <c r="AC288" s="17">
        <v>147.6</v>
      </c>
      <c r="AD288" s="18">
        <v>156</v>
      </c>
      <c r="AF288" s="16">
        <f>SUM('Working sheet'!$D288:$P288)</f>
        <v>2097</v>
      </c>
      <c r="AG288" s="17">
        <f>SUM('Working sheet'!$Q288)</f>
        <v>191.8</v>
      </c>
      <c r="AH288" s="17">
        <f>SUM('Working sheet'!$R288:$T288)</f>
        <v>440</v>
      </c>
      <c r="AI288" s="17">
        <f>SUM('Working sheet'!$U288)</f>
        <v>157.69999999999999</v>
      </c>
      <c r="AJ288" s="17">
        <f>SUM('Working sheet'!$V288)</f>
        <v>142.9</v>
      </c>
      <c r="AK288" s="18">
        <f>SUM('Working sheet'!$W288:$AC288)</f>
        <v>1043.4999999999998</v>
      </c>
    </row>
    <row r="289" spans="1:37" x14ac:dyDescent="0.25">
      <c r="A289" s="13" t="s">
        <v>31</v>
      </c>
      <c r="B289" s="14">
        <v>2021</v>
      </c>
      <c r="C289" s="14" t="s">
        <v>29</v>
      </c>
      <c r="D289" s="14">
        <v>144.9</v>
      </c>
      <c r="E289" s="14">
        <v>190.1</v>
      </c>
      <c r="F289" s="14">
        <v>175.3</v>
      </c>
      <c r="G289" s="14">
        <v>154.1</v>
      </c>
      <c r="H289" s="14">
        <v>150.9</v>
      </c>
      <c r="I289" s="14">
        <v>149.6</v>
      </c>
      <c r="J289" s="14">
        <v>194.2</v>
      </c>
      <c r="K289" s="14">
        <v>160.4</v>
      </c>
      <c r="L289" s="14">
        <v>114.6</v>
      </c>
      <c r="M289" s="14">
        <v>164</v>
      </c>
      <c r="N289" s="14">
        <v>151.80000000000001</v>
      </c>
      <c r="O289" s="14">
        <v>165.6</v>
      </c>
      <c r="P289" s="14">
        <v>161</v>
      </c>
      <c r="Q289" s="14">
        <v>186.5</v>
      </c>
      <c r="R289" s="14">
        <v>155.5</v>
      </c>
      <c r="S289" s="14">
        <v>146.1</v>
      </c>
      <c r="T289" s="14">
        <v>154.19999999999999</v>
      </c>
      <c r="U289" s="14">
        <v>157.69999999999999</v>
      </c>
      <c r="V289" s="14">
        <v>147.9</v>
      </c>
      <c r="W289" s="14">
        <v>150</v>
      </c>
      <c r="X289" s="14">
        <v>159.30000000000001</v>
      </c>
      <c r="Y289" s="14">
        <v>141.9</v>
      </c>
      <c r="Z289" s="14">
        <v>149.6</v>
      </c>
      <c r="AA289" s="14">
        <v>159.19999999999999</v>
      </c>
      <c r="AB289" s="14">
        <v>156.80000000000001</v>
      </c>
      <c r="AC289" s="14">
        <v>151.9</v>
      </c>
      <c r="AD289" s="15">
        <v>157.30000000000001</v>
      </c>
      <c r="AF289" s="13">
        <f>SUM('Working sheet'!$D289:$P289)</f>
        <v>2076.5</v>
      </c>
      <c r="AG289" s="14">
        <f>SUM('Working sheet'!$Q289)</f>
        <v>186.5</v>
      </c>
      <c r="AH289" s="14">
        <f>SUM('Working sheet'!$R289:$T289)</f>
        <v>455.8</v>
      </c>
      <c r="AI289" s="14">
        <f>SUM('Working sheet'!$U289)</f>
        <v>157.69999999999999</v>
      </c>
      <c r="AJ289" s="14">
        <f>SUM('Working sheet'!$V289)</f>
        <v>147.9</v>
      </c>
      <c r="AK289" s="15">
        <f>SUM('Working sheet'!$W289:$AC289)</f>
        <v>1068.7</v>
      </c>
    </row>
    <row r="290" spans="1:37" hidden="1" x14ac:dyDescent="0.25">
      <c r="A290" s="16" t="s">
        <v>28</v>
      </c>
      <c r="B290" s="17">
        <v>2021</v>
      </c>
      <c r="C290" s="17" t="s">
        <v>32</v>
      </c>
      <c r="D290" s="17">
        <v>142.80000000000001</v>
      </c>
      <c r="E290" s="17">
        <v>184</v>
      </c>
      <c r="F290" s="17">
        <v>168</v>
      </c>
      <c r="G290" s="17">
        <v>154.4</v>
      </c>
      <c r="H290" s="17">
        <v>163</v>
      </c>
      <c r="I290" s="17">
        <v>147.80000000000001</v>
      </c>
      <c r="J290" s="17">
        <v>149.69999999999999</v>
      </c>
      <c r="K290" s="17">
        <v>158.30000000000001</v>
      </c>
      <c r="L290" s="17">
        <v>111.8</v>
      </c>
      <c r="M290" s="17">
        <v>165</v>
      </c>
      <c r="N290" s="17">
        <v>160</v>
      </c>
      <c r="O290" s="17">
        <v>165.8</v>
      </c>
      <c r="P290" s="17">
        <v>154.69999999999999</v>
      </c>
      <c r="Q290" s="17">
        <v>186.5</v>
      </c>
      <c r="R290" s="17">
        <v>159.1</v>
      </c>
      <c r="S290" s="17">
        <v>153.9</v>
      </c>
      <c r="T290" s="17">
        <v>158.4</v>
      </c>
      <c r="U290" s="17">
        <v>159.9</v>
      </c>
      <c r="V290" s="17">
        <v>154.4</v>
      </c>
      <c r="W290" s="17">
        <v>154.80000000000001</v>
      </c>
      <c r="X290" s="17">
        <v>164.3</v>
      </c>
      <c r="Y290" s="17">
        <v>150.19999999999999</v>
      </c>
      <c r="Z290" s="17">
        <v>157</v>
      </c>
      <c r="AA290" s="17">
        <v>163.6</v>
      </c>
      <c r="AB290" s="17">
        <v>155.19999999999999</v>
      </c>
      <c r="AC290" s="17">
        <v>157.19999999999999</v>
      </c>
      <c r="AD290" s="18">
        <v>156.69999999999999</v>
      </c>
      <c r="AF290" s="16">
        <f>SUM('Working sheet'!$D290:$P290)</f>
        <v>2025.3</v>
      </c>
      <c r="AG290" s="17">
        <f>SUM('Working sheet'!$Q290)</f>
        <v>186.5</v>
      </c>
      <c r="AH290" s="17">
        <f>SUM('Working sheet'!$R290:$T290)</f>
        <v>471.4</v>
      </c>
      <c r="AI290" s="17">
        <f>SUM('Working sheet'!$U290)</f>
        <v>159.9</v>
      </c>
      <c r="AJ290" s="17">
        <f>SUM('Working sheet'!$V290)</f>
        <v>154.4</v>
      </c>
      <c r="AK290" s="18">
        <f>SUM('Working sheet'!$W290:$AC290)</f>
        <v>1102.3</v>
      </c>
    </row>
    <row r="291" spans="1:37" hidden="1" x14ac:dyDescent="0.25">
      <c r="A291" s="13" t="s">
        <v>30</v>
      </c>
      <c r="B291" s="14">
        <v>2021</v>
      </c>
      <c r="C291" s="14" t="s">
        <v>32</v>
      </c>
      <c r="D291" s="14">
        <v>147.6</v>
      </c>
      <c r="E291" s="14">
        <v>191.2</v>
      </c>
      <c r="F291" s="14">
        <v>169.9</v>
      </c>
      <c r="G291" s="14">
        <v>155.1</v>
      </c>
      <c r="H291" s="14">
        <v>151.4</v>
      </c>
      <c r="I291" s="14">
        <v>154</v>
      </c>
      <c r="J291" s="14">
        <v>180.2</v>
      </c>
      <c r="K291" s="14">
        <v>159.80000000000001</v>
      </c>
      <c r="L291" s="14">
        <v>114.9</v>
      </c>
      <c r="M291" s="14">
        <v>162.5</v>
      </c>
      <c r="N291" s="14">
        <v>149.19999999999999</v>
      </c>
      <c r="O291" s="14">
        <v>169.4</v>
      </c>
      <c r="P291" s="14">
        <v>160.80000000000001</v>
      </c>
      <c r="Q291" s="14">
        <v>193.3</v>
      </c>
      <c r="R291" s="14">
        <v>154.19999999999999</v>
      </c>
      <c r="S291" s="14">
        <v>138.19999999999999</v>
      </c>
      <c r="T291" s="14">
        <v>151.80000000000001</v>
      </c>
      <c r="U291" s="14">
        <v>159.80000000000001</v>
      </c>
      <c r="V291" s="14">
        <v>149.1</v>
      </c>
      <c r="W291" s="14">
        <v>146.5</v>
      </c>
      <c r="X291" s="14">
        <v>156.30000000000001</v>
      </c>
      <c r="Y291" s="14">
        <v>140.5</v>
      </c>
      <c r="Z291" s="14">
        <v>147.30000000000001</v>
      </c>
      <c r="AA291" s="14">
        <v>156.6</v>
      </c>
      <c r="AB291" s="14">
        <v>156.69999999999999</v>
      </c>
      <c r="AC291" s="14">
        <v>149.30000000000001</v>
      </c>
      <c r="AD291" s="15">
        <v>156.5</v>
      </c>
      <c r="AF291" s="13">
        <f>SUM('Working sheet'!$D291:$P291)</f>
        <v>2066</v>
      </c>
      <c r="AG291" s="14">
        <f>SUM('Working sheet'!$Q291)</f>
        <v>193.3</v>
      </c>
      <c r="AH291" s="14">
        <f>SUM('Working sheet'!$R291:$T291)</f>
        <v>444.2</v>
      </c>
      <c r="AI291" s="14">
        <f>SUM('Working sheet'!$U291)</f>
        <v>159.80000000000001</v>
      </c>
      <c r="AJ291" s="14">
        <f>SUM('Working sheet'!$V291)</f>
        <v>149.1</v>
      </c>
      <c r="AK291" s="15">
        <f>SUM('Working sheet'!$W291:$AC291)</f>
        <v>1053.2</v>
      </c>
    </row>
    <row r="292" spans="1:37" x14ac:dyDescent="0.25">
      <c r="A292" s="16" t="s">
        <v>31</v>
      </c>
      <c r="B292" s="17">
        <v>2021</v>
      </c>
      <c r="C292" s="17" t="s">
        <v>32</v>
      </c>
      <c r="D292" s="17">
        <v>144.30000000000001</v>
      </c>
      <c r="E292" s="17">
        <v>186.5</v>
      </c>
      <c r="F292" s="17">
        <v>168.7</v>
      </c>
      <c r="G292" s="17">
        <v>154.69999999999999</v>
      </c>
      <c r="H292" s="17">
        <v>158.69999999999999</v>
      </c>
      <c r="I292" s="17">
        <v>150.69999999999999</v>
      </c>
      <c r="J292" s="17">
        <v>160</v>
      </c>
      <c r="K292" s="17">
        <v>158.80000000000001</v>
      </c>
      <c r="L292" s="17">
        <v>112.8</v>
      </c>
      <c r="M292" s="17">
        <v>164.2</v>
      </c>
      <c r="N292" s="17">
        <v>155.5</v>
      </c>
      <c r="O292" s="17">
        <v>167.5</v>
      </c>
      <c r="P292" s="17">
        <v>156.9</v>
      </c>
      <c r="Q292" s="17">
        <v>188.3</v>
      </c>
      <c r="R292" s="17">
        <v>157.19999999999999</v>
      </c>
      <c r="S292" s="17">
        <v>147.4</v>
      </c>
      <c r="T292" s="17">
        <v>155.80000000000001</v>
      </c>
      <c r="U292" s="17">
        <v>159.80000000000001</v>
      </c>
      <c r="V292" s="17">
        <v>152.4</v>
      </c>
      <c r="W292" s="17">
        <v>150.9</v>
      </c>
      <c r="X292" s="17">
        <v>161.30000000000001</v>
      </c>
      <c r="Y292" s="17">
        <v>145.1</v>
      </c>
      <c r="Z292" s="17">
        <v>151.5</v>
      </c>
      <c r="AA292" s="17">
        <v>159.5</v>
      </c>
      <c r="AB292" s="17">
        <v>155.80000000000001</v>
      </c>
      <c r="AC292" s="17">
        <v>153.4</v>
      </c>
      <c r="AD292" s="18">
        <v>156.6</v>
      </c>
      <c r="AF292" s="16">
        <f>SUM('Working sheet'!$D292:$P292)</f>
        <v>2039.3000000000002</v>
      </c>
      <c r="AG292" s="17">
        <f>SUM('Working sheet'!$Q292)</f>
        <v>188.3</v>
      </c>
      <c r="AH292" s="17">
        <f>SUM('Working sheet'!$R292:$T292)</f>
        <v>460.40000000000003</v>
      </c>
      <c r="AI292" s="17">
        <f>SUM('Working sheet'!$U292)</f>
        <v>159.80000000000001</v>
      </c>
      <c r="AJ292" s="17">
        <f>SUM('Working sheet'!$V292)</f>
        <v>152.4</v>
      </c>
      <c r="AK292" s="18">
        <f>SUM('Working sheet'!$W292:$AC292)</f>
        <v>1077.5000000000002</v>
      </c>
    </row>
    <row r="293" spans="1:37" hidden="1" x14ac:dyDescent="0.25">
      <c r="A293" s="13" t="s">
        <v>28</v>
      </c>
      <c r="B293" s="14">
        <v>2021</v>
      </c>
      <c r="C293" s="14" t="s">
        <v>33</v>
      </c>
      <c r="D293" s="14">
        <v>142.5</v>
      </c>
      <c r="E293" s="14">
        <v>189.4</v>
      </c>
      <c r="F293" s="14">
        <v>163.19999999999999</v>
      </c>
      <c r="G293" s="14">
        <v>154.5</v>
      </c>
      <c r="H293" s="14">
        <v>168.2</v>
      </c>
      <c r="I293" s="14">
        <v>150.5</v>
      </c>
      <c r="J293" s="14">
        <v>141</v>
      </c>
      <c r="K293" s="14">
        <v>159.19999999999999</v>
      </c>
      <c r="L293" s="14">
        <v>111.7</v>
      </c>
      <c r="M293" s="14">
        <v>164</v>
      </c>
      <c r="N293" s="14">
        <v>160.6</v>
      </c>
      <c r="O293" s="14">
        <v>166.4</v>
      </c>
      <c r="P293" s="14">
        <v>154.5</v>
      </c>
      <c r="Q293" s="14">
        <v>186.1</v>
      </c>
      <c r="R293" s="14">
        <v>159.6</v>
      </c>
      <c r="S293" s="14">
        <v>154.4</v>
      </c>
      <c r="T293" s="14">
        <v>158.9</v>
      </c>
      <c r="U293" s="14" t="s">
        <v>45</v>
      </c>
      <c r="V293" s="14">
        <v>156</v>
      </c>
      <c r="W293" s="14">
        <v>154.80000000000001</v>
      </c>
      <c r="X293" s="14">
        <v>164.6</v>
      </c>
      <c r="Y293" s="14">
        <v>151.30000000000001</v>
      </c>
      <c r="Z293" s="14">
        <v>157.80000000000001</v>
      </c>
      <c r="AA293" s="14">
        <v>163.80000000000001</v>
      </c>
      <c r="AB293" s="14">
        <v>153.1</v>
      </c>
      <c r="AC293" s="14">
        <v>157.30000000000001</v>
      </c>
      <c r="AD293" s="15">
        <v>156.69999999999999</v>
      </c>
      <c r="AF293" s="13">
        <f>SUM('Working sheet'!$D293:$P293)</f>
        <v>2025.7</v>
      </c>
      <c r="AG293" s="14">
        <f>SUM('Working sheet'!$Q293)</f>
        <v>186.1</v>
      </c>
      <c r="AH293" s="14">
        <f>SUM('Working sheet'!$R293:$T293)</f>
        <v>472.9</v>
      </c>
      <c r="AI293" s="14">
        <f>SUM('Working sheet'!$U293)</f>
        <v>0</v>
      </c>
      <c r="AJ293" s="14">
        <f>SUM('Working sheet'!$V293)</f>
        <v>156</v>
      </c>
      <c r="AK293" s="15">
        <f>SUM('Working sheet'!$W293:$AC293)</f>
        <v>1102.7</v>
      </c>
    </row>
    <row r="294" spans="1:37" hidden="1" x14ac:dyDescent="0.25">
      <c r="A294" s="16" t="s">
        <v>30</v>
      </c>
      <c r="B294" s="17">
        <v>2021</v>
      </c>
      <c r="C294" s="17" t="s">
        <v>33</v>
      </c>
      <c r="D294" s="17">
        <v>147.5</v>
      </c>
      <c r="E294" s="17">
        <v>197.5</v>
      </c>
      <c r="F294" s="17">
        <v>164.7</v>
      </c>
      <c r="G294" s="17">
        <v>155.6</v>
      </c>
      <c r="H294" s="17">
        <v>156.4</v>
      </c>
      <c r="I294" s="17">
        <v>157.30000000000001</v>
      </c>
      <c r="J294" s="17">
        <v>166.1</v>
      </c>
      <c r="K294" s="17">
        <v>161.1</v>
      </c>
      <c r="L294" s="17">
        <v>114.3</v>
      </c>
      <c r="M294" s="17">
        <v>162.6</v>
      </c>
      <c r="N294" s="17">
        <v>150.69999999999999</v>
      </c>
      <c r="O294" s="17">
        <v>170.3</v>
      </c>
      <c r="P294" s="17">
        <v>160.4</v>
      </c>
      <c r="Q294" s="17">
        <v>193.5</v>
      </c>
      <c r="R294" s="17">
        <v>155.1</v>
      </c>
      <c r="S294" s="17">
        <v>138.69999999999999</v>
      </c>
      <c r="T294" s="17">
        <v>152.6</v>
      </c>
      <c r="U294" s="17">
        <v>159.9</v>
      </c>
      <c r="V294" s="17">
        <v>154.80000000000001</v>
      </c>
      <c r="W294" s="17">
        <v>147.19999999999999</v>
      </c>
      <c r="X294" s="17">
        <v>156.9</v>
      </c>
      <c r="Y294" s="17">
        <v>141.69999999999999</v>
      </c>
      <c r="Z294" s="17">
        <v>148.6</v>
      </c>
      <c r="AA294" s="17">
        <v>157.6</v>
      </c>
      <c r="AB294" s="17">
        <v>154.9</v>
      </c>
      <c r="AC294" s="17">
        <v>150</v>
      </c>
      <c r="AD294" s="18">
        <v>156.9</v>
      </c>
      <c r="AF294" s="16">
        <f>SUM('Working sheet'!$D294:$P294)</f>
        <v>2064.4999999999995</v>
      </c>
      <c r="AG294" s="17">
        <f>SUM('Working sheet'!$Q294)</f>
        <v>193.5</v>
      </c>
      <c r="AH294" s="17">
        <f>SUM('Working sheet'!$R294:$T294)</f>
        <v>446.4</v>
      </c>
      <c r="AI294" s="17">
        <f>SUM('Working sheet'!$U294)</f>
        <v>159.9</v>
      </c>
      <c r="AJ294" s="17">
        <f>SUM('Working sheet'!$V294)</f>
        <v>154.80000000000001</v>
      </c>
      <c r="AK294" s="18">
        <f>SUM('Working sheet'!$W294:$AC294)</f>
        <v>1056.9000000000001</v>
      </c>
    </row>
    <row r="295" spans="1:37" x14ac:dyDescent="0.25">
      <c r="A295" s="13" t="s">
        <v>31</v>
      </c>
      <c r="B295" s="14">
        <v>2021</v>
      </c>
      <c r="C295" s="14" t="s">
        <v>33</v>
      </c>
      <c r="D295" s="14">
        <v>144.1</v>
      </c>
      <c r="E295" s="14">
        <v>192.2</v>
      </c>
      <c r="F295" s="14">
        <v>163.80000000000001</v>
      </c>
      <c r="G295" s="14">
        <v>154.9</v>
      </c>
      <c r="H295" s="14">
        <v>163.9</v>
      </c>
      <c r="I295" s="14">
        <v>153.69999999999999</v>
      </c>
      <c r="J295" s="14">
        <v>149.5</v>
      </c>
      <c r="K295" s="14">
        <v>159.80000000000001</v>
      </c>
      <c r="L295" s="14">
        <v>112.6</v>
      </c>
      <c r="M295" s="14">
        <v>163.5</v>
      </c>
      <c r="N295" s="14">
        <v>156.5</v>
      </c>
      <c r="O295" s="14">
        <v>168.2</v>
      </c>
      <c r="P295" s="14">
        <v>156.69999999999999</v>
      </c>
      <c r="Q295" s="14">
        <v>188.1</v>
      </c>
      <c r="R295" s="14">
        <v>157.80000000000001</v>
      </c>
      <c r="S295" s="14">
        <v>147.9</v>
      </c>
      <c r="T295" s="14">
        <v>156.4</v>
      </c>
      <c r="U295" s="14">
        <v>159.9</v>
      </c>
      <c r="V295" s="14">
        <v>155.5</v>
      </c>
      <c r="W295" s="14">
        <v>151.19999999999999</v>
      </c>
      <c r="X295" s="14">
        <v>161.69999999999999</v>
      </c>
      <c r="Y295" s="14">
        <v>146.19999999999999</v>
      </c>
      <c r="Z295" s="14">
        <v>152.6</v>
      </c>
      <c r="AA295" s="14">
        <v>160.19999999999999</v>
      </c>
      <c r="AB295" s="14">
        <v>153.80000000000001</v>
      </c>
      <c r="AC295" s="14">
        <v>153.80000000000001</v>
      </c>
      <c r="AD295" s="15">
        <v>156.80000000000001</v>
      </c>
      <c r="AF295" s="13">
        <f>SUM('Working sheet'!$D295:$P295)</f>
        <v>2039.3999999999999</v>
      </c>
      <c r="AG295" s="14">
        <f>SUM('Working sheet'!$Q295)</f>
        <v>188.1</v>
      </c>
      <c r="AH295" s="14">
        <f>SUM('Working sheet'!$R295:$T295)</f>
        <v>462.1</v>
      </c>
      <c r="AI295" s="14">
        <f>SUM('Working sheet'!$U295)</f>
        <v>159.9</v>
      </c>
      <c r="AJ295" s="14">
        <f>SUM('Working sheet'!$V295)</f>
        <v>155.5</v>
      </c>
      <c r="AK295" s="15">
        <f>SUM('Working sheet'!$W295:$AC295)</f>
        <v>1079.4999999999998</v>
      </c>
    </row>
    <row r="296" spans="1:37" hidden="1" x14ac:dyDescent="0.25">
      <c r="A296" s="16" t="s">
        <v>28</v>
      </c>
      <c r="B296" s="17">
        <v>2021</v>
      </c>
      <c r="C296" s="17" t="s">
        <v>34</v>
      </c>
      <c r="D296" s="17">
        <v>142.69999999999999</v>
      </c>
      <c r="E296" s="17">
        <v>195.5</v>
      </c>
      <c r="F296" s="17">
        <v>163.4</v>
      </c>
      <c r="G296" s="17">
        <v>155</v>
      </c>
      <c r="H296" s="17">
        <v>175.2</v>
      </c>
      <c r="I296" s="17">
        <v>160.6</v>
      </c>
      <c r="J296" s="17">
        <v>135.1</v>
      </c>
      <c r="K296" s="17">
        <v>161.1</v>
      </c>
      <c r="L296" s="17">
        <v>112.2</v>
      </c>
      <c r="M296" s="17">
        <v>164.4</v>
      </c>
      <c r="N296" s="17">
        <v>161.9</v>
      </c>
      <c r="O296" s="17">
        <v>166.8</v>
      </c>
      <c r="P296" s="17">
        <v>155.6</v>
      </c>
      <c r="Q296" s="17">
        <v>186.8</v>
      </c>
      <c r="R296" s="17">
        <v>160.69999999999999</v>
      </c>
      <c r="S296" s="17">
        <v>155.1</v>
      </c>
      <c r="T296" s="17">
        <v>159.9</v>
      </c>
      <c r="U296" s="17" t="s">
        <v>45</v>
      </c>
      <c r="V296" s="17">
        <v>156</v>
      </c>
      <c r="W296" s="17">
        <v>155.5</v>
      </c>
      <c r="X296" s="17">
        <v>165.3</v>
      </c>
      <c r="Y296" s="17">
        <v>151.69999999999999</v>
      </c>
      <c r="Z296" s="17">
        <v>158.6</v>
      </c>
      <c r="AA296" s="17">
        <v>164.1</v>
      </c>
      <c r="AB296" s="17">
        <v>154.6</v>
      </c>
      <c r="AC296" s="17">
        <v>158</v>
      </c>
      <c r="AD296" s="18">
        <v>157.6</v>
      </c>
      <c r="AF296" s="16">
        <f>SUM('Working sheet'!$D296:$P296)</f>
        <v>2049.5</v>
      </c>
      <c r="AG296" s="17">
        <f>SUM('Working sheet'!$Q296)</f>
        <v>186.8</v>
      </c>
      <c r="AH296" s="17">
        <f>SUM('Working sheet'!$R296:$T296)</f>
        <v>475.69999999999993</v>
      </c>
      <c r="AI296" s="17">
        <f>SUM('Working sheet'!$U296)</f>
        <v>0</v>
      </c>
      <c r="AJ296" s="17">
        <f>SUM('Working sheet'!$V296)</f>
        <v>156</v>
      </c>
      <c r="AK296" s="18">
        <f>SUM('Working sheet'!$W296:$AC296)</f>
        <v>1107.8000000000002</v>
      </c>
    </row>
    <row r="297" spans="1:37" hidden="1" x14ac:dyDescent="0.25">
      <c r="A297" s="13" t="s">
        <v>30</v>
      </c>
      <c r="B297" s="14">
        <v>2021</v>
      </c>
      <c r="C297" s="14" t="s">
        <v>34</v>
      </c>
      <c r="D297" s="14">
        <v>147.6</v>
      </c>
      <c r="E297" s="14">
        <v>202.5</v>
      </c>
      <c r="F297" s="14">
        <v>166.4</v>
      </c>
      <c r="G297" s="14">
        <v>156</v>
      </c>
      <c r="H297" s="14">
        <v>161.4</v>
      </c>
      <c r="I297" s="14">
        <v>168.8</v>
      </c>
      <c r="J297" s="14">
        <v>161.6</v>
      </c>
      <c r="K297" s="14">
        <v>162.80000000000001</v>
      </c>
      <c r="L297" s="14">
        <v>114.8</v>
      </c>
      <c r="M297" s="14">
        <v>162.80000000000001</v>
      </c>
      <c r="N297" s="14">
        <v>151.5</v>
      </c>
      <c r="O297" s="14">
        <v>171.4</v>
      </c>
      <c r="P297" s="14">
        <v>162</v>
      </c>
      <c r="Q297" s="14">
        <v>194.4</v>
      </c>
      <c r="R297" s="14">
        <v>155.9</v>
      </c>
      <c r="S297" s="14">
        <v>139.30000000000001</v>
      </c>
      <c r="T297" s="14">
        <v>153.4</v>
      </c>
      <c r="U297" s="14">
        <v>161.4</v>
      </c>
      <c r="V297" s="14">
        <v>154.9</v>
      </c>
      <c r="W297" s="14">
        <v>147.6</v>
      </c>
      <c r="X297" s="14">
        <v>157.5</v>
      </c>
      <c r="Y297" s="14">
        <v>142.1</v>
      </c>
      <c r="Z297" s="14">
        <v>149.1</v>
      </c>
      <c r="AA297" s="14">
        <v>157.6</v>
      </c>
      <c r="AB297" s="14">
        <v>156.6</v>
      </c>
      <c r="AC297" s="14">
        <v>150.5</v>
      </c>
      <c r="AD297" s="15">
        <v>158</v>
      </c>
      <c r="AF297" s="13">
        <f>SUM('Working sheet'!$D297:$P297)</f>
        <v>2089.6</v>
      </c>
      <c r="AG297" s="14">
        <f>SUM('Working sheet'!$Q297)</f>
        <v>194.4</v>
      </c>
      <c r="AH297" s="14">
        <f>SUM('Working sheet'!$R297:$T297)</f>
        <v>448.6</v>
      </c>
      <c r="AI297" s="14">
        <f>SUM('Working sheet'!$U297)</f>
        <v>161.4</v>
      </c>
      <c r="AJ297" s="14">
        <f>SUM('Working sheet'!$V297)</f>
        <v>154.9</v>
      </c>
      <c r="AK297" s="15">
        <f>SUM('Working sheet'!$W297:$AC297)</f>
        <v>1061</v>
      </c>
    </row>
    <row r="298" spans="1:37" x14ac:dyDescent="0.25">
      <c r="A298" s="16" t="s">
        <v>31</v>
      </c>
      <c r="B298" s="17">
        <v>2021</v>
      </c>
      <c r="C298" s="17" t="s">
        <v>34</v>
      </c>
      <c r="D298" s="17">
        <v>144.30000000000001</v>
      </c>
      <c r="E298" s="17">
        <v>198</v>
      </c>
      <c r="F298" s="17">
        <v>164.6</v>
      </c>
      <c r="G298" s="17">
        <v>155.4</v>
      </c>
      <c r="H298" s="17">
        <v>170.1</v>
      </c>
      <c r="I298" s="17">
        <v>164.4</v>
      </c>
      <c r="J298" s="17">
        <v>144.1</v>
      </c>
      <c r="K298" s="17">
        <v>161.69999999999999</v>
      </c>
      <c r="L298" s="17">
        <v>113.1</v>
      </c>
      <c r="M298" s="17">
        <v>163.9</v>
      </c>
      <c r="N298" s="17">
        <v>157.6</v>
      </c>
      <c r="O298" s="17">
        <v>168.9</v>
      </c>
      <c r="P298" s="17">
        <v>158</v>
      </c>
      <c r="Q298" s="17">
        <v>188.8</v>
      </c>
      <c r="R298" s="17">
        <v>158.80000000000001</v>
      </c>
      <c r="S298" s="17">
        <v>148.5</v>
      </c>
      <c r="T298" s="17">
        <v>157.30000000000001</v>
      </c>
      <c r="U298" s="17">
        <v>161.4</v>
      </c>
      <c r="V298" s="17">
        <v>155.6</v>
      </c>
      <c r="W298" s="17">
        <v>151.80000000000001</v>
      </c>
      <c r="X298" s="17">
        <v>162.30000000000001</v>
      </c>
      <c r="Y298" s="17">
        <v>146.6</v>
      </c>
      <c r="Z298" s="17">
        <v>153.19999999999999</v>
      </c>
      <c r="AA298" s="17">
        <v>160.30000000000001</v>
      </c>
      <c r="AB298" s="17">
        <v>155.4</v>
      </c>
      <c r="AC298" s="17">
        <v>154.4</v>
      </c>
      <c r="AD298" s="18">
        <v>157.80000000000001</v>
      </c>
      <c r="AF298" s="16">
        <f>SUM('Working sheet'!$D298:$P298)</f>
        <v>2064.1</v>
      </c>
      <c r="AG298" s="17">
        <f>SUM('Working sheet'!$Q298)</f>
        <v>188.8</v>
      </c>
      <c r="AH298" s="17">
        <f>SUM('Working sheet'!$R298:$T298)</f>
        <v>464.6</v>
      </c>
      <c r="AI298" s="17">
        <f>SUM('Working sheet'!$U298)</f>
        <v>161.4</v>
      </c>
      <c r="AJ298" s="17">
        <f>SUM('Working sheet'!$V298)</f>
        <v>155.6</v>
      </c>
      <c r="AK298" s="18">
        <f>SUM('Working sheet'!$W298:$AC298)</f>
        <v>1084</v>
      </c>
    </row>
    <row r="299" spans="1:37" hidden="1" x14ac:dyDescent="0.25">
      <c r="A299" s="13" t="s">
        <v>28</v>
      </c>
      <c r="B299" s="14">
        <v>2021</v>
      </c>
      <c r="C299" s="14" t="s">
        <v>35</v>
      </c>
      <c r="D299" s="14">
        <v>145.1</v>
      </c>
      <c r="E299" s="14">
        <v>198.5</v>
      </c>
      <c r="F299" s="14">
        <v>168.6</v>
      </c>
      <c r="G299" s="14">
        <v>155.80000000000001</v>
      </c>
      <c r="H299" s="14">
        <v>184.4</v>
      </c>
      <c r="I299" s="14">
        <v>162.30000000000001</v>
      </c>
      <c r="J299" s="14">
        <v>138.4</v>
      </c>
      <c r="K299" s="14">
        <v>165.1</v>
      </c>
      <c r="L299" s="14">
        <v>114.3</v>
      </c>
      <c r="M299" s="14">
        <v>169.7</v>
      </c>
      <c r="N299" s="14">
        <v>164.6</v>
      </c>
      <c r="O299" s="14">
        <v>169.8</v>
      </c>
      <c r="P299" s="14">
        <v>158.69999999999999</v>
      </c>
      <c r="Q299" s="14">
        <v>189.6</v>
      </c>
      <c r="R299" s="14">
        <v>165.3</v>
      </c>
      <c r="S299" s="14">
        <v>160.6</v>
      </c>
      <c r="T299" s="14">
        <v>164.5</v>
      </c>
      <c r="U299" s="14">
        <v>161.1</v>
      </c>
      <c r="V299" s="14">
        <v>161.69999999999999</v>
      </c>
      <c r="W299" s="14">
        <v>158.80000000000001</v>
      </c>
      <c r="X299" s="14">
        <v>169.1</v>
      </c>
      <c r="Y299" s="14">
        <v>153.19999999999999</v>
      </c>
      <c r="Z299" s="14">
        <v>160</v>
      </c>
      <c r="AA299" s="14">
        <v>167.6</v>
      </c>
      <c r="AB299" s="14">
        <v>159.30000000000001</v>
      </c>
      <c r="AC299" s="14">
        <v>161.1</v>
      </c>
      <c r="AD299" s="15">
        <v>161.1</v>
      </c>
      <c r="AF299" s="13">
        <f>SUM('Working sheet'!$D299:$P299)</f>
        <v>2095.2999999999997</v>
      </c>
      <c r="AG299" s="14">
        <f>SUM('Working sheet'!$Q299)</f>
        <v>189.6</v>
      </c>
      <c r="AH299" s="14">
        <f>SUM('Working sheet'!$R299:$T299)</f>
        <v>490.4</v>
      </c>
      <c r="AI299" s="14">
        <f>SUM('Working sheet'!$U299)</f>
        <v>161.1</v>
      </c>
      <c r="AJ299" s="14">
        <f>SUM('Working sheet'!$V299)</f>
        <v>161.69999999999999</v>
      </c>
      <c r="AK299" s="15">
        <f>SUM('Working sheet'!$W299:$AC299)</f>
        <v>1129.0999999999999</v>
      </c>
    </row>
    <row r="300" spans="1:37" hidden="1" x14ac:dyDescent="0.25">
      <c r="A300" s="16" t="s">
        <v>30</v>
      </c>
      <c r="B300" s="17">
        <v>2021</v>
      </c>
      <c r="C300" s="17" t="s">
        <v>35</v>
      </c>
      <c r="D300" s="17">
        <v>148.80000000000001</v>
      </c>
      <c r="E300" s="17">
        <v>204.3</v>
      </c>
      <c r="F300" s="17">
        <v>173</v>
      </c>
      <c r="G300" s="17">
        <v>156.5</v>
      </c>
      <c r="H300" s="17">
        <v>168.8</v>
      </c>
      <c r="I300" s="17">
        <v>172.5</v>
      </c>
      <c r="J300" s="17">
        <v>166.5</v>
      </c>
      <c r="K300" s="17">
        <v>165.9</v>
      </c>
      <c r="L300" s="17">
        <v>115.9</v>
      </c>
      <c r="M300" s="17">
        <v>165.2</v>
      </c>
      <c r="N300" s="17">
        <v>152</v>
      </c>
      <c r="O300" s="17">
        <v>171.1</v>
      </c>
      <c r="P300" s="17">
        <v>164.2</v>
      </c>
      <c r="Q300" s="17">
        <v>198.2</v>
      </c>
      <c r="R300" s="17">
        <v>156.5</v>
      </c>
      <c r="S300" s="17">
        <v>140.19999999999999</v>
      </c>
      <c r="T300" s="17">
        <v>154.1</v>
      </c>
      <c r="U300" s="17">
        <v>161.6</v>
      </c>
      <c r="V300" s="17">
        <v>155.5</v>
      </c>
      <c r="W300" s="17">
        <v>150.1</v>
      </c>
      <c r="X300" s="17">
        <v>160.4</v>
      </c>
      <c r="Y300" s="17">
        <v>145</v>
      </c>
      <c r="Z300" s="17">
        <v>152.6</v>
      </c>
      <c r="AA300" s="17">
        <v>156.6</v>
      </c>
      <c r="AB300" s="17">
        <v>157.5</v>
      </c>
      <c r="AC300" s="17">
        <v>152.30000000000001</v>
      </c>
      <c r="AD300" s="18">
        <v>159.5</v>
      </c>
      <c r="AF300" s="16">
        <f>SUM('Working sheet'!$D300:$P300)</f>
        <v>2124.7000000000003</v>
      </c>
      <c r="AG300" s="17">
        <f>SUM('Working sheet'!$Q300)</f>
        <v>198.2</v>
      </c>
      <c r="AH300" s="17">
        <f>SUM('Working sheet'!$R300:$T300)</f>
        <v>450.79999999999995</v>
      </c>
      <c r="AI300" s="17">
        <f>SUM('Working sheet'!$U300)</f>
        <v>161.6</v>
      </c>
      <c r="AJ300" s="17">
        <f>SUM('Working sheet'!$V300)</f>
        <v>155.5</v>
      </c>
      <c r="AK300" s="18">
        <f>SUM('Working sheet'!$W300:$AC300)</f>
        <v>1074.5</v>
      </c>
    </row>
    <row r="301" spans="1:37" x14ac:dyDescent="0.25">
      <c r="A301" s="13" t="s">
        <v>31</v>
      </c>
      <c r="B301" s="14">
        <v>2021</v>
      </c>
      <c r="C301" s="14" t="s">
        <v>35</v>
      </c>
      <c r="D301" s="14">
        <v>146.30000000000001</v>
      </c>
      <c r="E301" s="14">
        <v>200.5</v>
      </c>
      <c r="F301" s="14">
        <v>170.3</v>
      </c>
      <c r="G301" s="14">
        <v>156.1</v>
      </c>
      <c r="H301" s="14">
        <v>178.7</v>
      </c>
      <c r="I301" s="14">
        <v>167.1</v>
      </c>
      <c r="J301" s="14">
        <v>147.9</v>
      </c>
      <c r="K301" s="14">
        <v>165.4</v>
      </c>
      <c r="L301" s="14">
        <v>114.8</v>
      </c>
      <c r="M301" s="14">
        <v>168.2</v>
      </c>
      <c r="N301" s="14">
        <v>159.30000000000001</v>
      </c>
      <c r="O301" s="14">
        <v>170.4</v>
      </c>
      <c r="P301" s="14">
        <v>160.69999999999999</v>
      </c>
      <c r="Q301" s="14">
        <v>191.9</v>
      </c>
      <c r="R301" s="14">
        <v>161.80000000000001</v>
      </c>
      <c r="S301" s="14">
        <v>152.1</v>
      </c>
      <c r="T301" s="14">
        <v>160.4</v>
      </c>
      <c r="U301" s="14">
        <v>161.6</v>
      </c>
      <c r="V301" s="14">
        <v>159.4</v>
      </c>
      <c r="W301" s="14">
        <v>154.69999999999999</v>
      </c>
      <c r="X301" s="14">
        <v>165.8</v>
      </c>
      <c r="Y301" s="14">
        <v>148.9</v>
      </c>
      <c r="Z301" s="14">
        <v>155.80000000000001</v>
      </c>
      <c r="AA301" s="14">
        <v>161.19999999999999</v>
      </c>
      <c r="AB301" s="14">
        <v>158.6</v>
      </c>
      <c r="AC301" s="14">
        <v>156.80000000000001</v>
      </c>
      <c r="AD301" s="15">
        <v>160.4</v>
      </c>
      <c r="AF301" s="13">
        <f>SUM('Working sheet'!$D301:$P301)</f>
        <v>2105.7000000000003</v>
      </c>
      <c r="AG301" s="14">
        <f>SUM('Working sheet'!$Q301)</f>
        <v>191.9</v>
      </c>
      <c r="AH301" s="14">
        <f>SUM('Working sheet'!$R301:$T301)</f>
        <v>474.29999999999995</v>
      </c>
      <c r="AI301" s="14">
        <f>SUM('Working sheet'!$U301)</f>
        <v>161.6</v>
      </c>
      <c r="AJ301" s="14">
        <f>SUM('Working sheet'!$V301)</f>
        <v>159.4</v>
      </c>
      <c r="AK301" s="15">
        <f>SUM('Working sheet'!$W301:$AC301)</f>
        <v>1101.8000000000002</v>
      </c>
    </row>
    <row r="302" spans="1:37" hidden="1" x14ac:dyDescent="0.25">
      <c r="A302" s="16" t="s">
        <v>28</v>
      </c>
      <c r="B302" s="17">
        <v>2021</v>
      </c>
      <c r="C302" s="17" t="s">
        <v>36</v>
      </c>
      <c r="D302" s="17">
        <v>145.6</v>
      </c>
      <c r="E302" s="17">
        <v>200.1</v>
      </c>
      <c r="F302" s="17">
        <v>179.3</v>
      </c>
      <c r="G302" s="17">
        <v>156.1</v>
      </c>
      <c r="H302" s="17">
        <v>190.4</v>
      </c>
      <c r="I302" s="17">
        <v>158.6</v>
      </c>
      <c r="J302" s="17">
        <v>144.69999999999999</v>
      </c>
      <c r="K302" s="17">
        <v>165.5</v>
      </c>
      <c r="L302" s="17">
        <v>114.6</v>
      </c>
      <c r="M302" s="17">
        <v>170</v>
      </c>
      <c r="N302" s="17">
        <v>165.5</v>
      </c>
      <c r="O302" s="17">
        <v>171.7</v>
      </c>
      <c r="P302" s="17">
        <v>160.5</v>
      </c>
      <c r="Q302" s="17">
        <v>189.1</v>
      </c>
      <c r="R302" s="17">
        <v>165.3</v>
      </c>
      <c r="S302" s="17">
        <v>159.9</v>
      </c>
      <c r="T302" s="17">
        <v>164.6</v>
      </c>
      <c r="U302" s="17">
        <v>161</v>
      </c>
      <c r="V302" s="17">
        <v>162.1</v>
      </c>
      <c r="W302" s="17">
        <v>159.19999999999999</v>
      </c>
      <c r="X302" s="17">
        <v>169.7</v>
      </c>
      <c r="Y302" s="17">
        <v>154.19999999999999</v>
      </c>
      <c r="Z302" s="17">
        <v>160.4</v>
      </c>
      <c r="AA302" s="17">
        <v>166.8</v>
      </c>
      <c r="AB302" s="17">
        <v>159.4</v>
      </c>
      <c r="AC302" s="17">
        <v>161.5</v>
      </c>
      <c r="AD302" s="18">
        <v>162.1</v>
      </c>
      <c r="AF302" s="16">
        <f>SUM('Working sheet'!$D302:$P302)</f>
        <v>2122.6</v>
      </c>
      <c r="AG302" s="17">
        <f>SUM('Working sheet'!$Q302)</f>
        <v>189.1</v>
      </c>
      <c r="AH302" s="17">
        <f>SUM('Working sheet'!$R302:$T302)</f>
        <v>489.80000000000007</v>
      </c>
      <c r="AI302" s="17">
        <f>SUM('Working sheet'!$U302)</f>
        <v>161</v>
      </c>
      <c r="AJ302" s="17">
        <f>SUM('Working sheet'!$V302)</f>
        <v>162.1</v>
      </c>
      <c r="AK302" s="18">
        <f>SUM('Working sheet'!$W302:$AC302)</f>
        <v>1131.1999999999998</v>
      </c>
    </row>
    <row r="303" spans="1:37" hidden="1" x14ac:dyDescent="0.25">
      <c r="A303" s="13" t="s">
        <v>30</v>
      </c>
      <c r="B303" s="14">
        <v>2021</v>
      </c>
      <c r="C303" s="14" t="s">
        <v>36</v>
      </c>
      <c r="D303" s="14">
        <v>149.19999999999999</v>
      </c>
      <c r="E303" s="14">
        <v>205.5</v>
      </c>
      <c r="F303" s="14">
        <v>182.8</v>
      </c>
      <c r="G303" s="14">
        <v>156.5</v>
      </c>
      <c r="H303" s="14">
        <v>172.2</v>
      </c>
      <c r="I303" s="14">
        <v>171.5</v>
      </c>
      <c r="J303" s="14">
        <v>176.2</v>
      </c>
      <c r="K303" s="14">
        <v>166.9</v>
      </c>
      <c r="L303" s="14">
        <v>116.1</v>
      </c>
      <c r="M303" s="14">
        <v>165.5</v>
      </c>
      <c r="N303" s="14">
        <v>152.30000000000001</v>
      </c>
      <c r="O303" s="14">
        <v>173.3</v>
      </c>
      <c r="P303" s="14">
        <v>166.2</v>
      </c>
      <c r="Q303" s="14">
        <v>195.6</v>
      </c>
      <c r="R303" s="14">
        <v>157.30000000000001</v>
      </c>
      <c r="S303" s="14">
        <v>140.5</v>
      </c>
      <c r="T303" s="14">
        <v>154.80000000000001</v>
      </c>
      <c r="U303" s="14">
        <v>160.5</v>
      </c>
      <c r="V303" s="14">
        <v>156.1</v>
      </c>
      <c r="W303" s="14">
        <v>149.80000000000001</v>
      </c>
      <c r="X303" s="14">
        <v>160.80000000000001</v>
      </c>
      <c r="Y303" s="14">
        <v>147.5</v>
      </c>
      <c r="Z303" s="14">
        <v>150.69999999999999</v>
      </c>
      <c r="AA303" s="14">
        <v>158.1</v>
      </c>
      <c r="AB303" s="14">
        <v>158</v>
      </c>
      <c r="AC303" s="14">
        <v>153.4</v>
      </c>
      <c r="AD303" s="15">
        <v>160.4</v>
      </c>
      <c r="AF303" s="13">
        <f>SUM('Working sheet'!$D303:$P303)</f>
        <v>2154.1999999999998</v>
      </c>
      <c r="AG303" s="14">
        <f>SUM('Working sheet'!$Q303)</f>
        <v>195.6</v>
      </c>
      <c r="AH303" s="14">
        <f>SUM('Working sheet'!$R303:$T303)</f>
        <v>452.6</v>
      </c>
      <c r="AI303" s="14">
        <f>SUM('Working sheet'!$U303)</f>
        <v>160.5</v>
      </c>
      <c r="AJ303" s="14">
        <f>SUM('Working sheet'!$V303)</f>
        <v>156.1</v>
      </c>
      <c r="AK303" s="15">
        <f>SUM('Working sheet'!$W303:$AC303)</f>
        <v>1078.3</v>
      </c>
    </row>
    <row r="304" spans="1:37" x14ac:dyDescent="0.25">
      <c r="A304" s="16" t="s">
        <v>31</v>
      </c>
      <c r="B304" s="17">
        <v>2021</v>
      </c>
      <c r="C304" s="17" t="s">
        <v>36</v>
      </c>
      <c r="D304" s="17">
        <v>146.69999999999999</v>
      </c>
      <c r="E304" s="17">
        <v>202</v>
      </c>
      <c r="F304" s="17">
        <v>180.7</v>
      </c>
      <c r="G304" s="17">
        <v>156.19999999999999</v>
      </c>
      <c r="H304" s="17">
        <v>183.7</v>
      </c>
      <c r="I304" s="17">
        <v>164.6</v>
      </c>
      <c r="J304" s="17">
        <v>155.4</v>
      </c>
      <c r="K304" s="17">
        <v>166</v>
      </c>
      <c r="L304" s="17">
        <v>115.1</v>
      </c>
      <c r="M304" s="17">
        <v>168.5</v>
      </c>
      <c r="N304" s="17">
        <v>160</v>
      </c>
      <c r="O304" s="17">
        <v>172.4</v>
      </c>
      <c r="P304" s="17">
        <v>162.6</v>
      </c>
      <c r="Q304" s="17">
        <v>190.8</v>
      </c>
      <c r="R304" s="17">
        <v>162.19999999999999</v>
      </c>
      <c r="S304" s="17">
        <v>151.80000000000001</v>
      </c>
      <c r="T304" s="17">
        <v>160.69999999999999</v>
      </c>
      <c r="U304" s="17">
        <v>160.5</v>
      </c>
      <c r="V304" s="17">
        <v>159.80000000000001</v>
      </c>
      <c r="W304" s="17">
        <v>154.80000000000001</v>
      </c>
      <c r="X304" s="17">
        <v>166.3</v>
      </c>
      <c r="Y304" s="17">
        <v>150.69999999999999</v>
      </c>
      <c r="Z304" s="17">
        <v>154.9</v>
      </c>
      <c r="AA304" s="17">
        <v>161.69999999999999</v>
      </c>
      <c r="AB304" s="17">
        <v>158.80000000000001</v>
      </c>
      <c r="AC304" s="17">
        <v>157.6</v>
      </c>
      <c r="AD304" s="18">
        <v>161.30000000000001</v>
      </c>
      <c r="AF304" s="16">
        <f>SUM('Working sheet'!$D304:$P304)</f>
        <v>2133.9</v>
      </c>
      <c r="AG304" s="17">
        <f>SUM('Working sheet'!$Q304)</f>
        <v>190.8</v>
      </c>
      <c r="AH304" s="17">
        <f>SUM('Working sheet'!$R304:$T304)</f>
        <v>474.7</v>
      </c>
      <c r="AI304" s="17">
        <f>SUM('Working sheet'!$U304)</f>
        <v>160.5</v>
      </c>
      <c r="AJ304" s="17">
        <f>SUM('Working sheet'!$V304)</f>
        <v>159.80000000000001</v>
      </c>
      <c r="AK304" s="18">
        <f>SUM('Working sheet'!$W304:$AC304)</f>
        <v>1104.8</v>
      </c>
    </row>
    <row r="305" spans="1:37" hidden="1" x14ac:dyDescent="0.25">
      <c r="A305" s="13" t="s">
        <v>28</v>
      </c>
      <c r="B305" s="14">
        <v>2021</v>
      </c>
      <c r="C305" s="14" t="s">
        <v>37</v>
      </c>
      <c r="D305" s="14">
        <v>145.1</v>
      </c>
      <c r="E305" s="14">
        <v>204.5</v>
      </c>
      <c r="F305" s="14">
        <v>180.4</v>
      </c>
      <c r="G305" s="14">
        <v>157.1</v>
      </c>
      <c r="H305" s="14">
        <v>188.7</v>
      </c>
      <c r="I305" s="14">
        <v>157.69999999999999</v>
      </c>
      <c r="J305" s="14">
        <v>152.80000000000001</v>
      </c>
      <c r="K305" s="14">
        <v>163.6</v>
      </c>
      <c r="L305" s="14">
        <v>113.9</v>
      </c>
      <c r="M305" s="14">
        <v>169.7</v>
      </c>
      <c r="N305" s="14">
        <v>166.2</v>
      </c>
      <c r="O305" s="14">
        <v>171</v>
      </c>
      <c r="P305" s="14">
        <v>161.69999999999999</v>
      </c>
      <c r="Q305" s="14">
        <v>189.7</v>
      </c>
      <c r="R305" s="14">
        <v>166</v>
      </c>
      <c r="S305" s="14">
        <v>161.1</v>
      </c>
      <c r="T305" s="14">
        <v>165.3</v>
      </c>
      <c r="U305" s="14">
        <v>161.80000000000001</v>
      </c>
      <c r="V305" s="14">
        <v>162.5</v>
      </c>
      <c r="W305" s="14">
        <v>160.30000000000001</v>
      </c>
      <c r="X305" s="14">
        <v>170.4</v>
      </c>
      <c r="Y305" s="14">
        <v>157.1</v>
      </c>
      <c r="Z305" s="14">
        <v>160.69999999999999</v>
      </c>
      <c r="AA305" s="14">
        <v>167.2</v>
      </c>
      <c r="AB305" s="14">
        <v>160.4</v>
      </c>
      <c r="AC305" s="14">
        <v>162.80000000000001</v>
      </c>
      <c r="AD305" s="15">
        <v>163.19999999999999</v>
      </c>
      <c r="AF305" s="13">
        <f>SUM('Working sheet'!$D305:$P305)</f>
        <v>2132.4</v>
      </c>
      <c r="AG305" s="14">
        <f>SUM('Working sheet'!$Q305)</f>
        <v>189.7</v>
      </c>
      <c r="AH305" s="14">
        <f>SUM('Working sheet'!$R305:$T305)</f>
        <v>492.40000000000003</v>
      </c>
      <c r="AI305" s="14">
        <f>SUM('Working sheet'!$U305)</f>
        <v>161.80000000000001</v>
      </c>
      <c r="AJ305" s="14">
        <f>SUM('Working sheet'!$V305)</f>
        <v>162.5</v>
      </c>
      <c r="AK305" s="15">
        <f>SUM('Working sheet'!$W305:$AC305)</f>
        <v>1138.9000000000001</v>
      </c>
    </row>
    <row r="306" spans="1:37" hidden="1" x14ac:dyDescent="0.25">
      <c r="A306" s="16" t="s">
        <v>30</v>
      </c>
      <c r="B306" s="17">
        <v>2021</v>
      </c>
      <c r="C306" s="17" t="s">
        <v>37</v>
      </c>
      <c r="D306" s="17">
        <v>149.1</v>
      </c>
      <c r="E306" s="17">
        <v>210.9</v>
      </c>
      <c r="F306" s="17">
        <v>185</v>
      </c>
      <c r="G306" s="17">
        <v>158.19999999999999</v>
      </c>
      <c r="H306" s="17">
        <v>170.6</v>
      </c>
      <c r="I306" s="17">
        <v>170.9</v>
      </c>
      <c r="J306" s="17">
        <v>186.4</v>
      </c>
      <c r="K306" s="17">
        <v>164.7</v>
      </c>
      <c r="L306" s="17">
        <v>115.7</v>
      </c>
      <c r="M306" s="17">
        <v>165.5</v>
      </c>
      <c r="N306" s="17">
        <v>153.4</v>
      </c>
      <c r="O306" s="17">
        <v>173.5</v>
      </c>
      <c r="P306" s="17">
        <v>167.9</v>
      </c>
      <c r="Q306" s="17">
        <v>195.5</v>
      </c>
      <c r="R306" s="17">
        <v>157.9</v>
      </c>
      <c r="S306" s="17">
        <v>141.9</v>
      </c>
      <c r="T306" s="17">
        <v>155.5</v>
      </c>
      <c r="U306" s="17">
        <v>161.5</v>
      </c>
      <c r="V306" s="17">
        <v>157.69999999999999</v>
      </c>
      <c r="W306" s="17">
        <v>150.69999999999999</v>
      </c>
      <c r="X306" s="17">
        <v>161.5</v>
      </c>
      <c r="Y306" s="17">
        <v>149.5</v>
      </c>
      <c r="Z306" s="17">
        <v>151.19999999999999</v>
      </c>
      <c r="AA306" s="17">
        <v>160.30000000000001</v>
      </c>
      <c r="AB306" s="17">
        <v>159.6</v>
      </c>
      <c r="AC306" s="17">
        <v>155</v>
      </c>
      <c r="AD306" s="18">
        <v>161.80000000000001</v>
      </c>
      <c r="AF306" s="16">
        <f>SUM('Working sheet'!$D306:$P306)</f>
        <v>2171.8000000000002</v>
      </c>
      <c r="AG306" s="17">
        <f>SUM('Working sheet'!$Q306)</f>
        <v>195.5</v>
      </c>
      <c r="AH306" s="17">
        <f>SUM('Working sheet'!$R306:$T306)</f>
        <v>455.3</v>
      </c>
      <c r="AI306" s="17">
        <f>SUM('Working sheet'!$U306)</f>
        <v>161.5</v>
      </c>
      <c r="AJ306" s="17">
        <f>SUM('Working sheet'!$V306)</f>
        <v>157.69999999999999</v>
      </c>
      <c r="AK306" s="18">
        <f>SUM('Working sheet'!$W306:$AC306)</f>
        <v>1087.8000000000002</v>
      </c>
    </row>
    <row r="307" spans="1:37" x14ac:dyDescent="0.25">
      <c r="A307" s="13" t="s">
        <v>31</v>
      </c>
      <c r="B307" s="14">
        <v>2021</v>
      </c>
      <c r="C307" s="14" t="s">
        <v>37</v>
      </c>
      <c r="D307" s="14">
        <v>146.4</v>
      </c>
      <c r="E307" s="14">
        <v>206.8</v>
      </c>
      <c r="F307" s="14">
        <v>182.2</v>
      </c>
      <c r="G307" s="14">
        <v>157.5</v>
      </c>
      <c r="H307" s="14">
        <v>182.1</v>
      </c>
      <c r="I307" s="14">
        <v>163.9</v>
      </c>
      <c r="J307" s="14">
        <v>164.2</v>
      </c>
      <c r="K307" s="14">
        <v>164</v>
      </c>
      <c r="L307" s="14">
        <v>114.5</v>
      </c>
      <c r="M307" s="14">
        <v>168.3</v>
      </c>
      <c r="N307" s="14">
        <v>160.9</v>
      </c>
      <c r="O307" s="14">
        <v>172.2</v>
      </c>
      <c r="P307" s="14">
        <v>164</v>
      </c>
      <c r="Q307" s="14">
        <v>191.2</v>
      </c>
      <c r="R307" s="14">
        <v>162.80000000000001</v>
      </c>
      <c r="S307" s="14">
        <v>153.1</v>
      </c>
      <c r="T307" s="14">
        <v>161.4</v>
      </c>
      <c r="U307" s="14">
        <v>161.5</v>
      </c>
      <c r="V307" s="14">
        <v>160.69999999999999</v>
      </c>
      <c r="W307" s="14">
        <v>155.80000000000001</v>
      </c>
      <c r="X307" s="14">
        <v>167</v>
      </c>
      <c r="Y307" s="14">
        <v>153.1</v>
      </c>
      <c r="Z307" s="14">
        <v>155.30000000000001</v>
      </c>
      <c r="AA307" s="14">
        <v>163.19999999999999</v>
      </c>
      <c r="AB307" s="14">
        <v>160.1</v>
      </c>
      <c r="AC307" s="14">
        <v>159</v>
      </c>
      <c r="AD307" s="15">
        <v>162.5</v>
      </c>
      <c r="AF307" s="13">
        <f>SUM('Working sheet'!$D307:$P307)</f>
        <v>2147</v>
      </c>
      <c r="AG307" s="14">
        <f>SUM('Working sheet'!$Q307)</f>
        <v>191.2</v>
      </c>
      <c r="AH307" s="14">
        <f>SUM('Working sheet'!$R307:$T307)</f>
        <v>477.29999999999995</v>
      </c>
      <c r="AI307" s="14">
        <f>SUM('Working sheet'!$U307)</f>
        <v>161.5</v>
      </c>
      <c r="AJ307" s="14">
        <f>SUM('Working sheet'!$V307)</f>
        <v>160.69999999999999</v>
      </c>
      <c r="AK307" s="15">
        <f>SUM('Working sheet'!$W307:$AC307)</f>
        <v>1113.5</v>
      </c>
    </row>
    <row r="308" spans="1:37" hidden="1" x14ac:dyDescent="0.25">
      <c r="A308" s="16" t="s">
        <v>28</v>
      </c>
      <c r="B308" s="17">
        <v>2021</v>
      </c>
      <c r="C308" s="17" t="s">
        <v>38</v>
      </c>
      <c r="D308" s="17">
        <v>144.9</v>
      </c>
      <c r="E308" s="17">
        <v>202.3</v>
      </c>
      <c r="F308" s="17">
        <v>176.5</v>
      </c>
      <c r="G308" s="17">
        <v>157.5</v>
      </c>
      <c r="H308" s="17">
        <v>190.9</v>
      </c>
      <c r="I308" s="17">
        <v>155.69999999999999</v>
      </c>
      <c r="J308" s="17">
        <v>153.9</v>
      </c>
      <c r="K308" s="17">
        <v>162.80000000000001</v>
      </c>
      <c r="L308" s="17">
        <v>115.2</v>
      </c>
      <c r="M308" s="17">
        <v>169.8</v>
      </c>
      <c r="N308" s="17">
        <v>167.6</v>
      </c>
      <c r="O308" s="17">
        <v>171.9</v>
      </c>
      <c r="P308" s="17">
        <v>161.80000000000001</v>
      </c>
      <c r="Q308" s="17">
        <v>190.2</v>
      </c>
      <c r="R308" s="17">
        <v>167</v>
      </c>
      <c r="S308" s="17">
        <v>162.6</v>
      </c>
      <c r="T308" s="17">
        <v>166.3</v>
      </c>
      <c r="U308" s="17">
        <v>162.1</v>
      </c>
      <c r="V308" s="17">
        <v>163.1</v>
      </c>
      <c r="W308" s="17">
        <v>160.9</v>
      </c>
      <c r="X308" s="17">
        <v>171.1</v>
      </c>
      <c r="Y308" s="17">
        <v>157.69999999999999</v>
      </c>
      <c r="Z308" s="17">
        <v>161.1</v>
      </c>
      <c r="AA308" s="17">
        <v>167.5</v>
      </c>
      <c r="AB308" s="17">
        <v>160.30000000000001</v>
      </c>
      <c r="AC308" s="17">
        <v>163.30000000000001</v>
      </c>
      <c r="AD308" s="18">
        <v>163.6</v>
      </c>
      <c r="AF308" s="16">
        <f>SUM('Working sheet'!$D308:$P308)</f>
        <v>2130.8000000000002</v>
      </c>
      <c r="AG308" s="17">
        <f>SUM('Working sheet'!$Q308)</f>
        <v>190.2</v>
      </c>
      <c r="AH308" s="17">
        <f>SUM('Working sheet'!$R308:$T308)</f>
        <v>495.90000000000003</v>
      </c>
      <c r="AI308" s="17">
        <f>SUM('Working sheet'!$U308)</f>
        <v>162.1</v>
      </c>
      <c r="AJ308" s="17">
        <f>SUM('Working sheet'!$V308)</f>
        <v>163.1</v>
      </c>
      <c r="AK308" s="18">
        <f>SUM('Working sheet'!$W308:$AC308)</f>
        <v>1141.8999999999999</v>
      </c>
    </row>
    <row r="309" spans="1:37" hidden="1" x14ac:dyDescent="0.25">
      <c r="A309" s="13" t="s">
        <v>30</v>
      </c>
      <c r="B309" s="14">
        <v>2021</v>
      </c>
      <c r="C309" s="14" t="s">
        <v>38</v>
      </c>
      <c r="D309" s="14">
        <v>149.30000000000001</v>
      </c>
      <c r="E309" s="14">
        <v>207.4</v>
      </c>
      <c r="F309" s="14">
        <v>174.1</v>
      </c>
      <c r="G309" s="14">
        <v>159.19999999999999</v>
      </c>
      <c r="H309" s="14">
        <v>175</v>
      </c>
      <c r="I309" s="14">
        <v>161.30000000000001</v>
      </c>
      <c r="J309" s="14">
        <v>183.3</v>
      </c>
      <c r="K309" s="14">
        <v>164.5</v>
      </c>
      <c r="L309" s="14">
        <v>120.4</v>
      </c>
      <c r="M309" s="14">
        <v>166.2</v>
      </c>
      <c r="N309" s="14">
        <v>154.80000000000001</v>
      </c>
      <c r="O309" s="14">
        <v>175.1</v>
      </c>
      <c r="P309" s="14">
        <v>167.3</v>
      </c>
      <c r="Q309" s="14">
        <v>196.5</v>
      </c>
      <c r="R309" s="14">
        <v>159.80000000000001</v>
      </c>
      <c r="S309" s="14">
        <v>143.6</v>
      </c>
      <c r="T309" s="14">
        <v>157.30000000000001</v>
      </c>
      <c r="U309" s="14">
        <v>162.1</v>
      </c>
      <c r="V309" s="14">
        <v>160.69999999999999</v>
      </c>
      <c r="W309" s="14">
        <v>153.19999999999999</v>
      </c>
      <c r="X309" s="14">
        <v>162.80000000000001</v>
      </c>
      <c r="Y309" s="14">
        <v>150.4</v>
      </c>
      <c r="Z309" s="14">
        <v>153.69999999999999</v>
      </c>
      <c r="AA309" s="14">
        <v>160.4</v>
      </c>
      <c r="AB309" s="14">
        <v>159.6</v>
      </c>
      <c r="AC309" s="14">
        <v>156</v>
      </c>
      <c r="AD309" s="15">
        <v>162.30000000000001</v>
      </c>
      <c r="AF309" s="13">
        <f>SUM('Working sheet'!$D309:$P309)</f>
        <v>2157.9</v>
      </c>
      <c r="AG309" s="14">
        <f>SUM('Working sheet'!$Q309)</f>
        <v>196.5</v>
      </c>
      <c r="AH309" s="14">
        <f>SUM('Working sheet'!$R309:$T309)</f>
        <v>460.7</v>
      </c>
      <c r="AI309" s="14">
        <f>SUM('Working sheet'!$U309)</f>
        <v>162.1</v>
      </c>
      <c r="AJ309" s="14">
        <f>SUM('Working sheet'!$V309)</f>
        <v>160.69999999999999</v>
      </c>
      <c r="AK309" s="15">
        <f>SUM('Working sheet'!$W309:$AC309)</f>
        <v>1096.0999999999999</v>
      </c>
    </row>
    <row r="310" spans="1:37" x14ac:dyDescent="0.25">
      <c r="A310" s="16" t="s">
        <v>31</v>
      </c>
      <c r="B310" s="17">
        <v>2021</v>
      </c>
      <c r="C310" s="17" t="s">
        <v>38</v>
      </c>
      <c r="D310" s="17">
        <v>146.6</v>
      </c>
      <c r="E310" s="17">
        <v>204</v>
      </c>
      <c r="F310" s="17">
        <v>172.8</v>
      </c>
      <c r="G310" s="17">
        <v>158.4</v>
      </c>
      <c r="H310" s="17">
        <v>188</v>
      </c>
      <c r="I310" s="17">
        <v>156.80000000000001</v>
      </c>
      <c r="J310" s="17">
        <v>162.19999999999999</v>
      </c>
      <c r="K310" s="17">
        <v>164.1</v>
      </c>
      <c r="L310" s="17">
        <v>119.7</v>
      </c>
      <c r="M310" s="17">
        <v>168.8</v>
      </c>
      <c r="N310" s="17">
        <v>162.69999999999999</v>
      </c>
      <c r="O310" s="17">
        <v>173.9</v>
      </c>
      <c r="P310" s="17">
        <v>164</v>
      </c>
      <c r="Q310" s="17">
        <v>192.1</v>
      </c>
      <c r="R310" s="17">
        <v>164.5</v>
      </c>
      <c r="S310" s="17">
        <v>155.30000000000001</v>
      </c>
      <c r="T310" s="17">
        <v>163.19999999999999</v>
      </c>
      <c r="U310" s="17">
        <v>162.1</v>
      </c>
      <c r="V310" s="17">
        <v>162.6</v>
      </c>
      <c r="W310" s="17">
        <v>157.5</v>
      </c>
      <c r="X310" s="17">
        <v>168.4</v>
      </c>
      <c r="Y310" s="17">
        <v>154</v>
      </c>
      <c r="Z310" s="17">
        <v>157.6</v>
      </c>
      <c r="AA310" s="17">
        <v>163.80000000000001</v>
      </c>
      <c r="AB310" s="17">
        <v>160</v>
      </c>
      <c r="AC310" s="17">
        <v>160</v>
      </c>
      <c r="AD310" s="18">
        <v>163.19999999999999</v>
      </c>
      <c r="AF310" s="16">
        <f>SUM('Working sheet'!$D310:$P310)</f>
        <v>2142</v>
      </c>
      <c r="AG310" s="17">
        <f>SUM('Working sheet'!$Q310)</f>
        <v>192.1</v>
      </c>
      <c r="AH310" s="17">
        <f>SUM('Working sheet'!$R310:$T310)</f>
        <v>483</v>
      </c>
      <c r="AI310" s="17">
        <f>SUM('Working sheet'!$U310)</f>
        <v>162.1</v>
      </c>
      <c r="AJ310" s="17">
        <f>SUM('Working sheet'!$V310)</f>
        <v>162.6</v>
      </c>
      <c r="AK310" s="18">
        <f>SUM('Working sheet'!$W310:$AC310)</f>
        <v>1121.3</v>
      </c>
    </row>
    <row r="311" spans="1:37" hidden="1" x14ac:dyDescent="0.25">
      <c r="A311" s="13" t="s">
        <v>28</v>
      </c>
      <c r="B311" s="14">
        <v>2021</v>
      </c>
      <c r="C311" s="14" t="s">
        <v>39</v>
      </c>
      <c r="D311" s="14">
        <v>145.4</v>
      </c>
      <c r="E311" s="14">
        <v>202.1</v>
      </c>
      <c r="F311" s="14">
        <v>172</v>
      </c>
      <c r="G311" s="14">
        <v>158</v>
      </c>
      <c r="H311" s="14">
        <v>195.5</v>
      </c>
      <c r="I311" s="14">
        <v>152.69999999999999</v>
      </c>
      <c r="J311" s="14">
        <v>151.4</v>
      </c>
      <c r="K311" s="14">
        <v>163.9</v>
      </c>
      <c r="L311" s="14">
        <v>119.3</v>
      </c>
      <c r="M311" s="14">
        <v>170.1</v>
      </c>
      <c r="N311" s="14">
        <v>168.3</v>
      </c>
      <c r="O311" s="14">
        <v>172.8</v>
      </c>
      <c r="P311" s="14">
        <v>162.1</v>
      </c>
      <c r="Q311" s="14">
        <v>190.5</v>
      </c>
      <c r="R311" s="14">
        <v>167.7</v>
      </c>
      <c r="S311" s="14">
        <v>163.6</v>
      </c>
      <c r="T311" s="14">
        <v>167.1</v>
      </c>
      <c r="U311" s="14">
        <v>162.9</v>
      </c>
      <c r="V311" s="14">
        <v>163.69999999999999</v>
      </c>
      <c r="W311" s="14">
        <v>161.30000000000001</v>
      </c>
      <c r="X311" s="14">
        <v>171.9</v>
      </c>
      <c r="Y311" s="14">
        <v>157.80000000000001</v>
      </c>
      <c r="Z311" s="14">
        <v>162.69999999999999</v>
      </c>
      <c r="AA311" s="14">
        <v>168.5</v>
      </c>
      <c r="AB311" s="14">
        <v>160.19999999999999</v>
      </c>
      <c r="AC311" s="14">
        <v>163.80000000000001</v>
      </c>
      <c r="AD311" s="15">
        <v>164</v>
      </c>
      <c r="AF311" s="13">
        <f>SUM('Working sheet'!$D311:$P311)</f>
        <v>2133.6</v>
      </c>
      <c r="AG311" s="14">
        <f>SUM('Working sheet'!$Q311)</f>
        <v>190.5</v>
      </c>
      <c r="AH311" s="14">
        <f>SUM('Working sheet'!$R311:$T311)</f>
        <v>498.4</v>
      </c>
      <c r="AI311" s="14">
        <f>SUM('Working sheet'!$U311)</f>
        <v>162.9</v>
      </c>
      <c r="AJ311" s="14">
        <f>SUM('Working sheet'!$V311)</f>
        <v>163.69999999999999</v>
      </c>
      <c r="AK311" s="15">
        <f>SUM('Working sheet'!$W311:$AC311)</f>
        <v>1146.2</v>
      </c>
    </row>
    <row r="312" spans="1:37" hidden="1" x14ac:dyDescent="0.25">
      <c r="A312" s="16" t="s">
        <v>30</v>
      </c>
      <c r="B312" s="17">
        <v>2021</v>
      </c>
      <c r="C312" s="17" t="s">
        <v>39</v>
      </c>
      <c r="D312" s="17">
        <v>149.30000000000001</v>
      </c>
      <c r="E312" s="17">
        <v>207.4</v>
      </c>
      <c r="F312" s="17">
        <v>174.1</v>
      </c>
      <c r="G312" s="17">
        <v>159.1</v>
      </c>
      <c r="H312" s="17">
        <v>175</v>
      </c>
      <c r="I312" s="17">
        <v>161.19999999999999</v>
      </c>
      <c r="J312" s="17">
        <v>183.5</v>
      </c>
      <c r="K312" s="17">
        <v>164.5</v>
      </c>
      <c r="L312" s="17">
        <v>120.4</v>
      </c>
      <c r="M312" s="17">
        <v>166.2</v>
      </c>
      <c r="N312" s="17">
        <v>154.80000000000001</v>
      </c>
      <c r="O312" s="17">
        <v>175.1</v>
      </c>
      <c r="P312" s="17">
        <v>167.3</v>
      </c>
      <c r="Q312" s="17">
        <v>196.5</v>
      </c>
      <c r="R312" s="17">
        <v>159.80000000000001</v>
      </c>
      <c r="S312" s="17">
        <v>143.6</v>
      </c>
      <c r="T312" s="17">
        <v>157.4</v>
      </c>
      <c r="U312" s="17">
        <v>162.1</v>
      </c>
      <c r="V312" s="17">
        <v>160.80000000000001</v>
      </c>
      <c r="W312" s="17">
        <v>153.30000000000001</v>
      </c>
      <c r="X312" s="17">
        <v>162.80000000000001</v>
      </c>
      <c r="Y312" s="17">
        <v>150.5</v>
      </c>
      <c r="Z312" s="17">
        <v>153.9</v>
      </c>
      <c r="AA312" s="17">
        <v>160.30000000000001</v>
      </c>
      <c r="AB312" s="17">
        <v>159.6</v>
      </c>
      <c r="AC312" s="17">
        <v>156</v>
      </c>
      <c r="AD312" s="18">
        <v>162.30000000000001</v>
      </c>
      <c r="AF312" s="16">
        <f>SUM('Working sheet'!$D312:$P312)</f>
        <v>2157.9</v>
      </c>
      <c r="AG312" s="17">
        <f>SUM('Working sheet'!$Q312)</f>
        <v>196.5</v>
      </c>
      <c r="AH312" s="17">
        <f>SUM('Working sheet'!$R312:$T312)</f>
        <v>460.79999999999995</v>
      </c>
      <c r="AI312" s="17">
        <f>SUM('Working sheet'!$U312)</f>
        <v>162.1</v>
      </c>
      <c r="AJ312" s="17">
        <f>SUM('Working sheet'!$V312)</f>
        <v>160.80000000000001</v>
      </c>
      <c r="AK312" s="18">
        <f>SUM('Working sheet'!$W312:$AC312)</f>
        <v>1096.4000000000001</v>
      </c>
    </row>
    <row r="313" spans="1:37" x14ac:dyDescent="0.25">
      <c r="A313" s="13" t="s">
        <v>31</v>
      </c>
      <c r="B313" s="14">
        <v>2021</v>
      </c>
      <c r="C313" s="14" t="s">
        <v>39</v>
      </c>
      <c r="D313" s="14">
        <v>146.6</v>
      </c>
      <c r="E313" s="14">
        <v>204</v>
      </c>
      <c r="F313" s="14">
        <v>172.8</v>
      </c>
      <c r="G313" s="14">
        <v>158.4</v>
      </c>
      <c r="H313" s="14">
        <v>188</v>
      </c>
      <c r="I313" s="14">
        <v>156.69999999999999</v>
      </c>
      <c r="J313" s="14">
        <v>162.30000000000001</v>
      </c>
      <c r="K313" s="14">
        <v>164.1</v>
      </c>
      <c r="L313" s="14">
        <v>119.7</v>
      </c>
      <c r="M313" s="14">
        <v>168.8</v>
      </c>
      <c r="N313" s="14">
        <v>162.69999999999999</v>
      </c>
      <c r="O313" s="14">
        <v>173.9</v>
      </c>
      <c r="P313" s="14">
        <v>164</v>
      </c>
      <c r="Q313" s="14">
        <v>192.1</v>
      </c>
      <c r="R313" s="14">
        <v>164.6</v>
      </c>
      <c r="S313" s="14">
        <v>155.30000000000001</v>
      </c>
      <c r="T313" s="14">
        <v>163.30000000000001</v>
      </c>
      <c r="U313" s="14">
        <v>162.1</v>
      </c>
      <c r="V313" s="14">
        <v>162.6</v>
      </c>
      <c r="W313" s="14">
        <v>157.5</v>
      </c>
      <c r="X313" s="14">
        <v>168.4</v>
      </c>
      <c r="Y313" s="14">
        <v>154</v>
      </c>
      <c r="Z313" s="14">
        <v>157.69999999999999</v>
      </c>
      <c r="AA313" s="14">
        <v>163.69999999999999</v>
      </c>
      <c r="AB313" s="14">
        <v>160</v>
      </c>
      <c r="AC313" s="14">
        <v>160</v>
      </c>
      <c r="AD313" s="15">
        <v>163.19999999999999</v>
      </c>
      <c r="AF313" s="13">
        <f>SUM('Working sheet'!$D313:$P313)</f>
        <v>2142</v>
      </c>
      <c r="AG313" s="14">
        <f>SUM('Working sheet'!$Q313)</f>
        <v>192.1</v>
      </c>
      <c r="AH313" s="14">
        <f>SUM('Working sheet'!$R313:$T313)</f>
        <v>483.2</v>
      </c>
      <c r="AI313" s="14">
        <f>SUM('Working sheet'!$U313)</f>
        <v>162.1</v>
      </c>
      <c r="AJ313" s="14">
        <f>SUM('Working sheet'!$V313)</f>
        <v>162.6</v>
      </c>
      <c r="AK313" s="15">
        <f>SUM('Working sheet'!$W313:$AC313)</f>
        <v>1121.3</v>
      </c>
    </row>
    <row r="314" spans="1:37" hidden="1" x14ac:dyDescent="0.25">
      <c r="A314" s="16" t="s">
        <v>28</v>
      </c>
      <c r="B314" s="17">
        <v>2021</v>
      </c>
      <c r="C314" s="17" t="s">
        <v>40</v>
      </c>
      <c r="D314" s="17">
        <v>146.1</v>
      </c>
      <c r="E314" s="17">
        <v>202.5</v>
      </c>
      <c r="F314" s="17">
        <v>170.1</v>
      </c>
      <c r="G314" s="17">
        <v>158.4</v>
      </c>
      <c r="H314" s="17">
        <v>198.8</v>
      </c>
      <c r="I314" s="17">
        <v>152.6</v>
      </c>
      <c r="J314" s="17">
        <v>170.4</v>
      </c>
      <c r="K314" s="17">
        <v>165.2</v>
      </c>
      <c r="L314" s="17">
        <v>121.6</v>
      </c>
      <c r="M314" s="17">
        <v>170.6</v>
      </c>
      <c r="N314" s="17">
        <v>168.8</v>
      </c>
      <c r="O314" s="17">
        <v>173.6</v>
      </c>
      <c r="P314" s="17">
        <v>165.5</v>
      </c>
      <c r="Q314" s="17">
        <v>191.2</v>
      </c>
      <c r="R314" s="17">
        <v>168.9</v>
      </c>
      <c r="S314" s="17">
        <v>164.8</v>
      </c>
      <c r="T314" s="17">
        <v>168.3</v>
      </c>
      <c r="U314" s="17">
        <v>163.9</v>
      </c>
      <c r="V314" s="17">
        <v>165.5</v>
      </c>
      <c r="W314" s="17">
        <v>162</v>
      </c>
      <c r="X314" s="17">
        <v>172.5</v>
      </c>
      <c r="Y314" s="17">
        <v>159.5</v>
      </c>
      <c r="Z314" s="17">
        <v>163.19999999999999</v>
      </c>
      <c r="AA314" s="17">
        <v>169</v>
      </c>
      <c r="AB314" s="17">
        <v>161.1</v>
      </c>
      <c r="AC314" s="17">
        <v>164.7</v>
      </c>
      <c r="AD314" s="18">
        <v>166.3</v>
      </c>
      <c r="AF314" s="16">
        <f>SUM('Working sheet'!$D314:$P314)</f>
        <v>2164.1999999999998</v>
      </c>
      <c r="AG314" s="17">
        <f>SUM('Working sheet'!$Q314)</f>
        <v>191.2</v>
      </c>
      <c r="AH314" s="17">
        <f>SUM('Working sheet'!$R314:$T314)</f>
        <v>502.00000000000006</v>
      </c>
      <c r="AI314" s="17">
        <f>SUM('Working sheet'!$U314)</f>
        <v>163.9</v>
      </c>
      <c r="AJ314" s="17">
        <f>SUM('Working sheet'!$V314)</f>
        <v>165.5</v>
      </c>
      <c r="AK314" s="18">
        <f>SUM('Working sheet'!$W314:$AC314)</f>
        <v>1152</v>
      </c>
    </row>
    <row r="315" spans="1:37" hidden="1" x14ac:dyDescent="0.25">
      <c r="A315" s="13" t="s">
        <v>30</v>
      </c>
      <c r="B315" s="14">
        <v>2021</v>
      </c>
      <c r="C315" s="14" t="s">
        <v>40</v>
      </c>
      <c r="D315" s="14">
        <v>150.1</v>
      </c>
      <c r="E315" s="14">
        <v>208.4</v>
      </c>
      <c r="F315" s="14">
        <v>173</v>
      </c>
      <c r="G315" s="14">
        <v>159.19999999999999</v>
      </c>
      <c r="H315" s="14">
        <v>176.6</v>
      </c>
      <c r="I315" s="14">
        <v>159.30000000000001</v>
      </c>
      <c r="J315" s="14">
        <v>214.4</v>
      </c>
      <c r="K315" s="14">
        <v>165.3</v>
      </c>
      <c r="L315" s="14">
        <v>122.5</v>
      </c>
      <c r="M315" s="14">
        <v>166.8</v>
      </c>
      <c r="N315" s="14">
        <v>155.4</v>
      </c>
      <c r="O315" s="14">
        <v>175.9</v>
      </c>
      <c r="P315" s="14">
        <v>171.5</v>
      </c>
      <c r="Q315" s="14">
        <v>197</v>
      </c>
      <c r="R315" s="14">
        <v>160.80000000000001</v>
      </c>
      <c r="S315" s="14">
        <v>144.4</v>
      </c>
      <c r="T315" s="14">
        <v>158.30000000000001</v>
      </c>
      <c r="U315" s="14">
        <v>163.6</v>
      </c>
      <c r="V315" s="14">
        <v>162.19999999999999</v>
      </c>
      <c r="W315" s="14">
        <v>154.30000000000001</v>
      </c>
      <c r="X315" s="14">
        <v>163.5</v>
      </c>
      <c r="Y315" s="14">
        <v>152.19999999999999</v>
      </c>
      <c r="Z315" s="14">
        <v>155.1</v>
      </c>
      <c r="AA315" s="14">
        <v>160.30000000000001</v>
      </c>
      <c r="AB315" s="14">
        <v>160.30000000000001</v>
      </c>
      <c r="AC315" s="14">
        <v>157</v>
      </c>
      <c r="AD315" s="15">
        <v>164.6</v>
      </c>
      <c r="AF315" s="13">
        <f>SUM('Working sheet'!$D315:$P315)</f>
        <v>2198.4000000000005</v>
      </c>
      <c r="AG315" s="14">
        <f>SUM('Working sheet'!$Q315)</f>
        <v>197</v>
      </c>
      <c r="AH315" s="14">
        <f>SUM('Working sheet'!$R315:$T315)</f>
        <v>463.50000000000006</v>
      </c>
      <c r="AI315" s="14">
        <f>SUM('Working sheet'!$U315)</f>
        <v>163.6</v>
      </c>
      <c r="AJ315" s="14">
        <f>SUM('Working sheet'!$V315)</f>
        <v>162.19999999999999</v>
      </c>
      <c r="AK315" s="15">
        <f>SUM('Working sheet'!$W315:$AC315)</f>
        <v>1102.7</v>
      </c>
    </row>
    <row r="316" spans="1:37" x14ac:dyDescent="0.25">
      <c r="A316" s="16" t="s">
        <v>31</v>
      </c>
      <c r="B316" s="17">
        <v>2021</v>
      </c>
      <c r="C316" s="17" t="s">
        <v>40</v>
      </c>
      <c r="D316" s="17">
        <v>147.4</v>
      </c>
      <c r="E316" s="17">
        <v>204.6</v>
      </c>
      <c r="F316" s="17">
        <v>171.2</v>
      </c>
      <c r="G316" s="17">
        <v>158.69999999999999</v>
      </c>
      <c r="H316" s="17">
        <v>190.6</v>
      </c>
      <c r="I316" s="17">
        <v>155.69999999999999</v>
      </c>
      <c r="J316" s="17">
        <v>185.3</v>
      </c>
      <c r="K316" s="17">
        <v>165.2</v>
      </c>
      <c r="L316" s="17">
        <v>121.9</v>
      </c>
      <c r="M316" s="17">
        <v>169.3</v>
      </c>
      <c r="N316" s="17">
        <v>163.19999999999999</v>
      </c>
      <c r="O316" s="17">
        <v>174.7</v>
      </c>
      <c r="P316" s="17">
        <v>167.7</v>
      </c>
      <c r="Q316" s="17">
        <v>192.7</v>
      </c>
      <c r="R316" s="17">
        <v>165.7</v>
      </c>
      <c r="S316" s="17">
        <v>156.30000000000001</v>
      </c>
      <c r="T316" s="17">
        <v>164.3</v>
      </c>
      <c r="U316" s="17">
        <v>163.6</v>
      </c>
      <c r="V316" s="17">
        <v>164.2</v>
      </c>
      <c r="W316" s="17">
        <v>158.4</v>
      </c>
      <c r="X316" s="17">
        <v>169.1</v>
      </c>
      <c r="Y316" s="17">
        <v>155.69999999999999</v>
      </c>
      <c r="Z316" s="17">
        <v>158.6</v>
      </c>
      <c r="AA316" s="17">
        <v>163.9</v>
      </c>
      <c r="AB316" s="17">
        <v>160.80000000000001</v>
      </c>
      <c r="AC316" s="17">
        <v>161</v>
      </c>
      <c r="AD316" s="18">
        <v>165.5</v>
      </c>
      <c r="AF316" s="16">
        <f>SUM('Working sheet'!$D316:$P316)</f>
        <v>2175.5</v>
      </c>
      <c r="AG316" s="17">
        <f>SUM('Working sheet'!$Q316)</f>
        <v>192.7</v>
      </c>
      <c r="AH316" s="17">
        <f>SUM('Working sheet'!$R316:$T316)</f>
        <v>486.3</v>
      </c>
      <c r="AI316" s="17">
        <f>SUM('Working sheet'!$U316)</f>
        <v>163.6</v>
      </c>
      <c r="AJ316" s="17">
        <f>SUM('Working sheet'!$V316)</f>
        <v>164.2</v>
      </c>
      <c r="AK316" s="18">
        <f>SUM('Working sheet'!$W316:$AC316)</f>
        <v>1127.5</v>
      </c>
    </row>
    <row r="317" spans="1:37" hidden="1" x14ac:dyDescent="0.25">
      <c r="A317" s="13" t="s">
        <v>28</v>
      </c>
      <c r="B317" s="14">
        <v>2021</v>
      </c>
      <c r="C317" s="14" t="s">
        <v>42</v>
      </c>
      <c r="D317" s="14">
        <v>146.9</v>
      </c>
      <c r="E317" s="14">
        <v>199.8</v>
      </c>
      <c r="F317" s="14">
        <v>171.5</v>
      </c>
      <c r="G317" s="14">
        <v>159.1</v>
      </c>
      <c r="H317" s="14">
        <v>198.4</v>
      </c>
      <c r="I317" s="14">
        <v>153.19999999999999</v>
      </c>
      <c r="J317" s="14">
        <v>183.9</v>
      </c>
      <c r="K317" s="14">
        <v>165.4</v>
      </c>
      <c r="L317" s="14">
        <v>122.1</v>
      </c>
      <c r="M317" s="14">
        <v>170.8</v>
      </c>
      <c r="N317" s="14">
        <v>169.1</v>
      </c>
      <c r="O317" s="14">
        <v>174.3</v>
      </c>
      <c r="P317" s="14">
        <v>167.5</v>
      </c>
      <c r="Q317" s="14">
        <v>191.4</v>
      </c>
      <c r="R317" s="14">
        <v>170.4</v>
      </c>
      <c r="S317" s="14">
        <v>166</v>
      </c>
      <c r="T317" s="14">
        <v>169.8</v>
      </c>
      <c r="U317" s="14">
        <v>163.80000000000001</v>
      </c>
      <c r="V317" s="14">
        <v>165.3</v>
      </c>
      <c r="W317" s="14">
        <v>162.9</v>
      </c>
      <c r="X317" s="14">
        <v>173.4</v>
      </c>
      <c r="Y317" s="14">
        <v>158.9</v>
      </c>
      <c r="Z317" s="14">
        <v>163.80000000000001</v>
      </c>
      <c r="AA317" s="14">
        <v>169.3</v>
      </c>
      <c r="AB317" s="14">
        <v>162.4</v>
      </c>
      <c r="AC317" s="14">
        <v>165.2</v>
      </c>
      <c r="AD317" s="15">
        <v>167.6</v>
      </c>
      <c r="AF317" s="13">
        <f>SUM('Working sheet'!$D317:$P317)</f>
        <v>2182</v>
      </c>
      <c r="AG317" s="14">
        <f>SUM('Working sheet'!$Q317)</f>
        <v>191.4</v>
      </c>
      <c r="AH317" s="14">
        <f>SUM('Working sheet'!$R317:$T317)</f>
        <v>506.2</v>
      </c>
      <c r="AI317" s="14">
        <f>SUM('Working sheet'!$U317)</f>
        <v>163.80000000000001</v>
      </c>
      <c r="AJ317" s="14">
        <f>SUM('Working sheet'!$V317)</f>
        <v>165.3</v>
      </c>
      <c r="AK317" s="15">
        <f>SUM('Working sheet'!$W317:$AC317)</f>
        <v>1155.8999999999999</v>
      </c>
    </row>
    <row r="318" spans="1:37" hidden="1" x14ac:dyDescent="0.25">
      <c r="A318" s="16" t="s">
        <v>30</v>
      </c>
      <c r="B318" s="17">
        <v>2021</v>
      </c>
      <c r="C318" s="17" t="s">
        <v>42</v>
      </c>
      <c r="D318" s="17">
        <v>151</v>
      </c>
      <c r="E318" s="17">
        <v>204.9</v>
      </c>
      <c r="F318" s="17">
        <v>175.4</v>
      </c>
      <c r="G318" s="17">
        <v>159.6</v>
      </c>
      <c r="H318" s="17">
        <v>175.8</v>
      </c>
      <c r="I318" s="17">
        <v>160.30000000000001</v>
      </c>
      <c r="J318" s="17">
        <v>229.1</v>
      </c>
      <c r="K318" s="17">
        <v>165.1</v>
      </c>
      <c r="L318" s="17">
        <v>123.1</v>
      </c>
      <c r="M318" s="17">
        <v>167.2</v>
      </c>
      <c r="N318" s="17">
        <v>156.1</v>
      </c>
      <c r="O318" s="17">
        <v>176.8</v>
      </c>
      <c r="P318" s="17">
        <v>173.5</v>
      </c>
      <c r="Q318" s="17">
        <v>197</v>
      </c>
      <c r="R318" s="17">
        <v>162.30000000000001</v>
      </c>
      <c r="S318" s="17">
        <v>145.30000000000001</v>
      </c>
      <c r="T318" s="17">
        <v>159.69999999999999</v>
      </c>
      <c r="U318" s="17">
        <v>164.2</v>
      </c>
      <c r="V318" s="17">
        <v>161.6</v>
      </c>
      <c r="W318" s="17">
        <v>155.19999999999999</v>
      </c>
      <c r="X318" s="17">
        <v>164.2</v>
      </c>
      <c r="Y318" s="17">
        <v>151.19999999999999</v>
      </c>
      <c r="Z318" s="17">
        <v>156.69999999999999</v>
      </c>
      <c r="AA318" s="17">
        <v>160.80000000000001</v>
      </c>
      <c r="AB318" s="17">
        <v>161.80000000000001</v>
      </c>
      <c r="AC318" s="17">
        <v>157.30000000000001</v>
      </c>
      <c r="AD318" s="18">
        <v>165.6</v>
      </c>
      <c r="AF318" s="16">
        <f>SUM('Working sheet'!$D318:$P318)</f>
        <v>2217.8999999999996</v>
      </c>
      <c r="AG318" s="17">
        <f>SUM('Working sheet'!$Q318)</f>
        <v>197</v>
      </c>
      <c r="AH318" s="17">
        <f>SUM('Working sheet'!$R318:$T318)</f>
        <v>467.3</v>
      </c>
      <c r="AI318" s="17">
        <f>SUM('Working sheet'!$U318)</f>
        <v>164.2</v>
      </c>
      <c r="AJ318" s="17">
        <f>SUM('Working sheet'!$V318)</f>
        <v>161.6</v>
      </c>
      <c r="AK318" s="18">
        <f>SUM('Working sheet'!$W318:$AC318)</f>
        <v>1107.1999999999998</v>
      </c>
    </row>
    <row r="319" spans="1:37" x14ac:dyDescent="0.25">
      <c r="A319" s="13" t="s">
        <v>31</v>
      </c>
      <c r="B319" s="14">
        <v>2021</v>
      </c>
      <c r="C319" s="14" t="s">
        <v>42</v>
      </c>
      <c r="D319" s="14">
        <v>148.19999999999999</v>
      </c>
      <c r="E319" s="14">
        <v>201.6</v>
      </c>
      <c r="F319" s="14">
        <v>173</v>
      </c>
      <c r="G319" s="14">
        <v>159.30000000000001</v>
      </c>
      <c r="H319" s="14">
        <v>190.1</v>
      </c>
      <c r="I319" s="14">
        <v>156.5</v>
      </c>
      <c r="J319" s="14">
        <v>199.2</v>
      </c>
      <c r="K319" s="14">
        <v>165.3</v>
      </c>
      <c r="L319" s="14">
        <v>122.4</v>
      </c>
      <c r="M319" s="14">
        <v>169.6</v>
      </c>
      <c r="N319" s="14">
        <v>163.69999999999999</v>
      </c>
      <c r="O319" s="14">
        <v>175.5</v>
      </c>
      <c r="P319" s="14">
        <v>169.7</v>
      </c>
      <c r="Q319" s="14">
        <v>192.9</v>
      </c>
      <c r="R319" s="14">
        <v>167.2</v>
      </c>
      <c r="S319" s="14">
        <v>157.4</v>
      </c>
      <c r="T319" s="14">
        <v>165.8</v>
      </c>
      <c r="U319" s="14">
        <v>164.2</v>
      </c>
      <c r="V319" s="14">
        <v>163.9</v>
      </c>
      <c r="W319" s="14">
        <v>159.30000000000001</v>
      </c>
      <c r="X319" s="14">
        <v>169.9</v>
      </c>
      <c r="Y319" s="14">
        <v>154.80000000000001</v>
      </c>
      <c r="Z319" s="14">
        <v>159.80000000000001</v>
      </c>
      <c r="AA319" s="14">
        <v>164.3</v>
      </c>
      <c r="AB319" s="14">
        <v>162.19999999999999</v>
      </c>
      <c r="AC319" s="14">
        <v>161.4</v>
      </c>
      <c r="AD319" s="15">
        <v>166.7</v>
      </c>
      <c r="AF319" s="13">
        <f>SUM('Working sheet'!$D319:$P319)</f>
        <v>2194.1</v>
      </c>
      <c r="AG319" s="14">
        <f>SUM('Working sheet'!$Q319)</f>
        <v>192.9</v>
      </c>
      <c r="AH319" s="14">
        <f>SUM('Working sheet'!$R319:$T319)</f>
        <v>490.40000000000003</v>
      </c>
      <c r="AI319" s="14">
        <f>SUM('Working sheet'!$U319)</f>
        <v>164.2</v>
      </c>
      <c r="AJ319" s="14">
        <f>SUM('Working sheet'!$V319)</f>
        <v>163.9</v>
      </c>
      <c r="AK319" s="15">
        <f>SUM('Working sheet'!$W319:$AC319)</f>
        <v>1131.7000000000003</v>
      </c>
    </row>
    <row r="320" spans="1:37" hidden="1" x14ac:dyDescent="0.25">
      <c r="A320" s="16" t="s">
        <v>28</v>
      </c>
      <c r="B320" s="17">
        <v>2021</v>
      </c>
      <c r="C320" s="17" t="s">
        <v>43</v>
      </c>
      <c r="D320" s="17">
        <v>147.4</v>
      </c>
      <c r="E320" s="17">
        <v>197</v>
      </c>
      <c r="F320" s="17">
        <v>176.5</v>
      </c>
      <c r="G320" s="17">
        <v>159.80000000000001</v>
      </c>
      <c r="H320" s="17">
        <v>195.8</v>
      </c>
      <c r="I320" s="17">
        <v>152</v>
      </c>
      <c r="J320" s="17">
        <v>172.3</v>
      </c>
      <c r="K320" s="17">
        <v>164.5</v>
      </c>
      <c r="L320" s="17">
        <v>120.6</v>
      </c>
      <c r="M320" s="17">
        <v>171.7</v>
      </c>
      <c r="N320" s="17">
        <v>169.7</v>
      </c>
      <c r="O320" s="17">
        <v>175.1</v>
      </c>
      <c r="P320" s="17">
        <v>165.8</v>
      </c>
      <c r="Q320" s="17">
        <v>190.8</v>
      </c>
      <c r="R320" s="17">
        <v>171.8</v>
      </c>
      <c r="S320" s="17">
        <v>167.3</v>
      </c>
      <c r="T320" s="17">
        <v>171.2</v>
      </c>
      <c r="U320" s="17">
        <v>164</v>
      </c>
      <c r="V320" s="17">
        <v>165.6</v>
      </c>
      <c r="W320" s="17">
        <v>163.9</v>
      </c>
      <c r="X320" s="17">
        <v>174</v>
      </c>
      <c r="Y320" s="17">
        <v>160.1</v>
      </c>
      <c r="Z320" s="17">
        <v>164.5</v>
      </c>
      <c r="AA320" s="17">
        <v>169.7</v>
      </c>
      <c r="AB320" s="17">
        <v>162.80000000000001</v>
      </c>
      <c r="AC320" s="17">
        <v>166</v>
      </c>
      <c r="AD320" s="18">
        <v>167</v>
      </c>
      <c r="AF320" s="16">
        <f>SUM('Working sheet'!$D320:$P320)</f>
        <v>2168.1999999999998</v>
      </c>
      <c r="AG320" s="17">
        <f>SUM('Working sheet'!$Q320)</f>
        <v>190.8</v>
      </c>
      <c r="AH320" s="17">
        <f>SUM('Working sheet'!$R320:$T320)</f>
        <v>510.3</v>
      </c>
      <c r="AI320" s="17">
        <f>SUM('Working sheet'!$U320)</f>
        <v>164</v>
      </c>
      <c r="AJ320" s="17">
        <f>SUM('Working sheet'!$V320)</f>
        <v>165.6</v>
      </c>
      <c r="AK320" s="18">
        <f>SUM('Working sheet'!$W320:$AC320)</f>
        <v>1161</v>
      </c>
    </row>
    <row r="321" spans="1:37" hidden="1" x14ac:dyDescent="0.25">
      <c r="A321" s="13" t="s">
        <v>30</v>
      </c>
      <c r="B321" s="14">
        <v>2021</v>
      </c>
      <c r="C321" s="14" t="s">
        <v>43</v>
      </c>
      <c r="D321" s="14">
        <v>151.6</v>
      </c>
      <c r="E321" s="14">
        <v>202.2</v>
      </c>
      <c r="F321" s="14">
        <v>180</v>
      </c>
      <c r="G321" s="14">
        <v>160</v>
      </c>
      <c r="H321" s="14">
        <v>173.5</v>
      </c>
      <c r="I321" s="14">
        <v>158.30000000000001</v>
      </c>
      <c r="J321" s="14">
        <v>219.5</v>
      </c>
      <c r="K321" s="14">
        <v>164.2</v>
      </c>
      <c r="L321" s="14">
        <v>121.9</v>
      </c>
      <c r="M321" s="14">
        <v>168.2</v>
      </c>
      <c r="N321" s="14">
        <v>156.5</v>
      </c>
      <c r="O321" s="14">
        <v>178.2</v>
      </c>
      <c r="P321" s="14">
        <v>172.2</v>
      </c>
      <c r="Q321" s="14">
        <v>196.8</v>
      </c>
      <c r="R321" s="14">
        <v>163.30000000000001</v>
      </c>
      <c r="S321" s="14">
        <v>146.69999999999999</v>
      </c>
      <c r="T321" s="14">
        <v>160.69999999999999</v>
      </c>
      <c r="U321" s="14">
        <v>163.4</v>
      </c>
      <c r="V321" s="14">
        <v>161.69999999999999</v>
      </c>
      <c r="W321" s="14">
        <v>156</v>
      </c>
      <c r="X321" s="14">
        <v>165.1</v>
      </c>
      <c r="Y321" s="14">
        <v>151.80000000000001</v>
      </c>
      <c r="Z321" s="14">
        <v>157.6</v>
      </c>
      <c r="AA321" s="14">
        <v>160.6</v>
      </c>
      <c r="AB321" s="14">
        <v>162.4</v>
      </c>
      <c r="AC321" s="14">
        <v>157.80000000000001</v>
      </c>
      <c r="AD321" s="15">
        <v>165.2</v>
      </c>
      <c r="AF321" s="13">
        <f>SUM('Working sheet'!$D321:$P321)</f>
        <v>2206.3000000000002</v>
      </c>
      <c r="AG321" s="14">
        <f>SUM('Working sheet'!$Q321)</f>
        <v>196.8</v>
      </c>
      <c r="AH321" s="14">
        <f>SUM('Working sheet'!$R321:$T321)</f>
        <v>470.7</v>
      </c>
      <c r="AI321" s="14">
        <f>SUM('Working sheet'!$U321)</f>
        <v>163.4</v>
      </c>
      <c r="AJ321" s="14">
        <f>SUM('Working sheet'!$V321)</f>
        <v>161.69999999999999</v>
      </c>
      <c r="AK321" s="15">
        <f>SUM('Working sheet'!$W321:$AC321)</f>
        <v>1111.3</v>
      </c>
    </row>
    <row r="322" spans="1:37" x14ac:dyDescent="0.25">
      <c r="A322" s="16" t="s">
        <v>31</v>
      </c>
      <c r="B322" s="17">
        <v>2021</v>
      </c>
      <c r="C322" s="17" t="s">
        <v>43</v>
      </c>
      <c r="D322" s="17">
        <v>148.69999999999999</v>
      </c>
      <c r="E322" s="17">
        <v>198.8</v>
      </c>
      <c r="F322" s="17">
        <v>177.9</v>
      </c>
      <c r="G322" s="17">
        <v>159.9</v>
      </c>
      <c r="H322" s="17">
        <v>187.6</v>
      </c>
      <c r="I322" s="17">
        <v>154.9</v>
      </c>
      <c r="J322" s="17">
        <v>188.3</v>
      </c>
      <c r="K322" s="17">
        <v>164.4</v>
      </c>
      <c r="L322" s="17">
        <v>121</v>
      </c>
      <c r="M322" s="17">
        <v>170.5</v>
      </c>
      <c r="N322" s="17">
        <v>164.2</v>
      </c>
      <c r="O322" s="17">
        <v>176.5</v>
      </c>
      <c r="P322" s="17">
        <v>168.2</v>
      </c>
      <c r="Q322" s="17">
        <v>192.4</v>
      </c>
      <c r="R322" s="17">
        <v>168.5</v>
      </c>
      <c r="S322" s="17">
        <v>158.69999999999999</v>
      </c>
      <c r="T322" s="17">
        <v>167</v>
      </c>
      <c r="U322" s="17">
        <v>163.4</v>
      </c>
      <c r="V322" s="17">
        <v>164.1</v>
      </c>
      <c r="W322" s="17">
        <v>160.19999999999999</v>
      </c>
      <c r="X322" s="17">
        <v>170.6</v>
      </c>
      <c r="Y322" s="17">
        <v>155.69999999999999</v>
      </c>
      <c r="Z322" s="17">
        <v>160.6</v>
      </c>
      <c r="AA322" s="17">
        <v>164.4</v>
      </c>
      <c r="AB322" s="17">
        <v>162.6</v>
      </c>
      <c r="AC322" s="17">
        <v>162</v>
      </c>
      <c r="AD322" s="18">
        <v>166.2</v>
      </c>
      <c r="AF322" s="16">
        <f>SUM('Working sheet'!$D322:$P322)</f>
        <v>2180.9</v>
      </c>
      <c r="AG322" s="17">
        <f>SUM('Working sheet'!$Q322)</f>
        <v>192.4</v>
      </c>
      <c r="AH322" s="17">
        <f>SUM('Working sheet'!$R322:$T322)</f>
        <v>494.2</v>
      </c>
      <c r="AI322" s="17">
        <f>SUM('Working sheet'!$U322)</f>
        <v>163.4</v>
      </c>
      <c r="AJ322" s="17">
        <f>SUM('Working sheet'!$V322)</f>
        <v>164.1</v>
      </c>
      <c r="AK322" s="18">
        <f>SUM('Working sheet'!$W322:$AC322)</f>
        <v>1136.0999999999999</v>
      </c>
    </row>
    <row r="323" spans="1:37" hidden="1" x14ac:dyDescent="0.25">
      <c r="A323" s="13" t="s">
        <v>28</v>
      </c>
      <c r="B323" s="14">
        <v>2022</v>
      </c>
      <c r="C323" s="14" t="s">
        <v>29</v>
      </c>
      <c r="D323" s="14">
        <v>148.30000000000001</v>
      </c>
      <c r="E323" s="14">
        <v>196.9</v>
      </c>
      <c r="F323" s="14">
        <v>178</v>
      </c>
      <c r="G323" s="14">
        <v>160.5</v>
      </c>
      <c r="H323" s="14">
        <v>192.6</v>
      </c>
      <c r="I323" s="14">
        <v>151.19999999999999</v>
      </c>
      <c r="J323" s="14">
        <v>159.19999999999999</v>
      </c>
      <c r="K323" s="14">
        <v>164</v>
      </c>
      <c r="L323" s="14">
        <v>119.3</v>
      </c>
      <c r="M323" s="14">
        <v>173.3</v>
      </c>
      <c r="N323" s="14">
        <v>169.8</v>
      </c>
      <c r="O323" s="14">
        <v>175.8</v>
      </c>
      <c r="P323" s="14">
        <v>164.1</v>
      </c>
      <c r="Q323" s="14">
        <v>190.7</v>
      </c>
      <c r="R323" s="14">
        <v>173.2</v>
      </c>
      <c r="S323" s="14">
        <v>169.3</v>
      </c>
      <c r="T323" s="14">
        <v>172.7</v>
      </c>
      <c r="U323" s="14">
        <v>165</v>
      </c>
      <c r="V323" s="14">
        <v>165.8</v>
      </c>
      <c r="W323" s="14">
        <v>164.9</v>
      </c>
      <c r="X323" s="14">
        <v>174.7</v>
      </c>
      <c r="Y323" s="14">
        <v>160.80000000000001</v>
      </c>
      <c r="Z323" s="14">
        <v>164.9</v>
      </c>
      <c r="AA323" s="14">
        <v>169.9</v>
      </c>
      <c r="AB323" s="14">
        <v>163.19999999999999</v>
      </c>
      <c r="AC323" s="14">
        <v>166.6</v>
      </c>
      <c r="AD323" s="15">
        <v>166.4</v>
      </c>
      <c r="AF323" s="13">
        <f>SUM('Working sheet'!$D323:$P323)</f>
        <v>2153</v>
      </c>
      <c r="AG323" s="14">
        <f>SUM('Working sheet'!$Q323)</f>
        <v>190.7</v>
      </c>
      <c r="AH323" s="14">
        <f>SUM('Working sheet'!$R323:$T323)</f>
        <v>515.20000000000005</v>
      </c>
      <c r="AI323" s="14">
        <f>SUM('Working sheet'!$U323)</f>
        <v>165</v>
      </c>
      <c r="AJ323" s="14">
        <f>SUM('Working sheet'!$V323)</f>
        <v>165.8</v>
      </c>
      <c r="AK323" s="15">
        <f>SUM('Working sheet'!$W323:$AC323)</f>
        <v>1165</v>
      </c>
    </row>
    <row r="324" spans="1:37" hidden="1" x14ac:dyDescent="0.25">
      <c r="A324" s="16" t="s">
        <v>30</v>
      </c>
      <c r="B324" s="17">
        <v>2022</v>
      </c>
      <c r="C324" s="17" t="s">
        <v>29</v>
      </c>
      <c r="D324" s="17">
        <v>152.19999999999999</v>
      </c>
      <c r="E324" s="17">
        <v>202.1</v>
      </c>
      <c r="F324" s="17">
        <v>180.1</v>
      </c>
      <c r="G324" s="17">
        <v>160.4</v>
      </c>
      <c r="H324" s="17">
        <v>171</v>
      </c>
      <c r="I324" s="17">
        <v>156.5</v>
      </c>
      <c r="J324" s="17">
        <v>203.6</v>
      </c>
      <c r="K324" s="17">
        <v>163.80000000000001</v>
      </c>
      <c r="L324" s="17">
        <v>121.3</v>
      </c>
      <c r="M324" s="17">
        <v>169.8</v>
      </c>
      <c r="N324" s="17">
        <v>156.6</v>
      </c>
      <c r="O324" s="17">
        <v>179</v>
      </c>
      <c r="P324" s="17">
        <v>170.3</v>
      </c>
      <c r="Q324" s="17">
        <v>196.4</v>
      </c>
      <c r="R324" s="17">
        <v>164.7</v>
      </c>
      <c r="S324" s="17">
        <v>148.5</v>
      </c>
      <c r="T324" s="17">
        <v>162.19999999999999</v>
      </c>
      <c r="U324" s="17">
        <v>164.5</v>
      </c>
      <c r="V324" s="17">
        <v>161.6</v>
      </c>
      <c r="W324" s="17">
        <v>156.80000000000001</v>
      </c>
      <c r="X324" s="17">
        <v>166.1</v>
      </c>
      <c r="Y324" s="17">
        <v>152.69999999999999</v>
      </c>
      <c r="Z324" s="17">
        <v>158.4</v>
      </c>
      <c r="AA324" s="17">
        <v>161</v>
      </c>
      <c r="AB324" s="17">
        <v>162.80000000000001</v>
      </c>
      <c r="AC324" s="17">
        <v>158.6</v>
      </c>
      <c r="AD324" s="18">
        <v>165</v>
      </c>
      <c r="AF324" s="16">
        <f>SUM('Working sheet'!$D324:$P324)</f>
        <v>2186.6999999999998</v>
      </c>
      <c r="AG324" s="17">
        <f>SUM('Working sheet'!$Q324)</f>
        <v>196.4</v>
      </c>
      <c r="AH324" s="17">
        <f>SUM('Working sheet'!$R324:$T324)</f>
        <v>475.4</v>
      </c>
      <c r="AI324" s="17">
        <f>SUM('Working sheet'!$U324)</f>
        <v>164.5</v>
      </c>
      <c r="AJ324" s="17">
        <f>SUM('Working sheet'!$V324)</f>
        <v>161.6</v>
      </c>
      <c r="AK324" s="18">
        <f>SUM('Working sheet'!$W324:$AC324)</f>
        <v>1116.3999999999999</v>
      </c>
    </row>
    <row r="325" spans="1:37" x14ac:dyDescent="0.25">
      <c r="A325" s="13" t="s">
        <v>31</v>
      </c>
      <c r="B325" s="14">
        <v>2022</v>
      </c>
      <c r="C325" s="14" t="s">
        <v>29</v>
      </c>
      <c r="D325" s="14">
        <v>149.5</v>
      </c>
      <c r="E325" s="14">
        <v>198.7</v>
      </c>
      <c r="F325" s="14">
        <v>178.8</v>
      </c>
      <c r="G325" s="14">
        <v>160.5</v>
      </c>
      <c r="H325" s="14">
        <v>184.7</v>
      </c>
      <c r="I325" s="14">
        <v>153.69999999999999</v>
      </c>
      <c r="J325" s="14">
        <v>174.3</v>
      </c>
      <c r="K325" s="14">
        <v>163.9</v>
      </c>
      <c r="L325" s="14">
        <v>120</v>
      </c>
      <c r="M325" s="14">
        <v>172.1</v>
      </c>
      <c r="N325" s="14">
        <v>164.3</v>
      </c>
      <c r="O325" s="14">
        <v>177.3</v>
      </c>
      <c r="P325" s="14">
        <v>166.4</v>
      </c>
      <c r="Q325" s="14">
        <v>192.2</v>
      </c>
      <c r="R325" s="14">
        <v>169.9</v>
      </c>
      <c r="S325" s="14">
        <v>160.69999999999999</v>
      </c>
      <c r="T325" s="14">
        <v>168.5</v>
      </c>
      <c r="U325" s="14">
        <v>164.5</v>
      </c>
      <c r="V325" s="14">
        <v>164.2</v>
      </c>
      <c r="W325" s="14">
        <v>161.1</v>
      </c>
      <c r="X325" s="14">
        <v>171.4</v>
      </c>
      <c r="Y325" s="14">
        <v>156.5</v>
      </c>
      <c r="Z325" s="14">
        <v>161.19999999999999</v>
      </c>
      <c r="AA325" s="14">
        <v>164.7</v>
      </c>
      <c r="AB325" s="14">
        <v>163</v>
      </c>
      <c r="AC325" s="14">
        <v>162.69999999999999</v>
      </c>
      <c r="AD325" s="15">
        <v>165.7</v>
      </c>
      <c r="AF325" s="13">
        <f>SUM('Working sheet'!$D325:$P325)</f>
        <v>2164.1999999999998</v>
      </c>
      <c r="AG325" s="14">
        <f>SUM('Working sheet'!$Q325)</f>
        <v>192.2</v>
      </c>
      <c r="AH325" s="14">
        <f>SUM('Working sheet'!$R325:$T325)</f>
        <v>499.1</v>
      </c>
      <c r="AI325" s="14">
        <f>SUM('Working sheet'!$U325)</f>
        <v>164.5</v>
      </c>
      <c r="AJ325" s="14">
        <f>SUM('Working sheet'!$V325)</f>
        <v>164.2</v>
      </c>
      <c r="AK325" s="15">
        <f>SUM('Working sheet'!$W325:$AC325)</f>
        <v>1140.6000000000001</v>
      </c>
    </row>
    <row r="326" spans="1:37" hidden="1" x14ac:dyDescent="0.25">
      <c r="A326" s="16" t="s">
        <v>28</v>
      </c>
      <c r="B326" s="17">
        <v>2022</v>
      </c>
      <c r="C326" s="17" t="s">
        <v>32</v>
      </c>
      <c r="D326" s="17">
        <v>148.80000000000001</v>
      </c>
      <c r="E326" s="17">
        <v>198.1</v>
      </c>
      <c r="F326" s="17">
        <v>175.5</v>
      </c>
      <c r="G326" s="17">
        <v>160.69999999999999</v>
      </c>
      <c r="H326" s="17">
        <v>192.6</v>
      </c>
      <c r="I326" s="17">
        <v>151.4</v>
      </c>
      <c r="J326" s="17">
        <v>155.19999999999999</v>
      </c>
      <c r="K326" s="17">
        <v>163.9</v>
      </c>
      <c r="L326" s="17">
        <v>118.1</v>
      </c>
      <c r="M326" s="17">
        <v>175.4</v>
      </c>
      <c r="N326" s="17">
        <v>170.5</v>
      </c>
      <c r="O326" s="17">
        <v>176.3</v>
      </c>
      <c r="P326" s="17">
        <v>163.9</v>
      </c>
      <c r="Q326" s="17">
        <v>191.5</v>
      </c>
      <c r="R326" s="17">
        <v>174.1</v>
      </c>
      <c r="S326" s="17">
        <v>171</v>
      </c>
      <c r="T326" s="17">
        <v>173.7</v>
      </c>
      <c r="U326" s="17">
        <v>165.4</v>
      </c>
      <c r="V326" s="17">
        <v>167.4</v>
      </c>
      <c r="W326" s="17">
        <v>165.7</v>
      </c>
      <c r="X326" s="17">
        <v>175.3</v>
      </c>
      <c r="Y326" s="17">
        <v>161.19999999999999</v>
      </c>
      <c r="Z326" s="17">
        <v>165.5</v>
      </c>
      <c r="AA326" s="17">
        <v>170.3</v>
      </c>
      <c r="AB326" s="17">
        <v>164.5</v>
      </c>
      <c r="AC326" s="17">
        <v>167.3</v>
      </c>
      <c r="AD326" s="18">
        <v>166.7</v>
      </c>
      <c r="AF326" s="16">
        <f>SUM('Working sheet'!$D326:$P326)</f>
        <v>2150.4</v>
      </c>
      <c r="AG326" s="17">
        <f>SUM('Working sheet'!$Q326)</f>
        <v>191.5</v>
      </c>
      <c r="AH326" s="17">
        <f>SUM('Working sheet'!$R326:$T326)</f>
        <v>518.79999999999995</v>
      </c>
      <c r="AI326" s="17">
        <f>SUM('Working sheet'!$U326)</f>
        <v>165.4</v>
      </c>
      <c r="AJ326" s="17">
        <f>SUM('Working sheet'!$V326)</f>
        <v>167.4</v>
      </c>
      <c r="AK326" s="18">
        <f>SUM('Working sheet'!$W326:$AC326)</f>
        <v>1169.8</v>
      </c>
    </row>
    <row r="327" spans="1:37" hidden="1" x14ac:dyDescent="0.25">
      <c r="A327" s="13" t="s">
        <v>30</v>
      </c>
      <c r="B327" s="14">
        <v>2022</v>
      </c>
      <c r="C327" s="14" t="s">
        <v>32</v>
      </c>
      <c r="D327" s="14">
        <v>152.5</v>
      </c>
      <c r="E327" s="14">
        <v>205.2</v>
      </c>
      <c r="F327" s="14">
        <v>176.4</v>
      </c>
      <c r="G327" s="14">
        <v>160.6</v>
      </c>
      <c r="H327" s="14">
        <v>171.5</v>
      </c>
      <c r="I327" s="14">
        <v>156.4</v>
      </c>
      <c r="J327" s="14">
        <v>198</v>
      </c>
      <c r="K327" s="14">
        <v>163.19999999999999</v>
      </c>
      <c r="L327" s="14">
        <v>120.6</v>
      </c>
      <c r="M327" s="14">
        <v>172.2</v>
      </c>
      <c r="N327" s="14">
        <v>156.69999999999999</v>
      </c>
      <c r="O327" s="14">
        <v>180</v>
      </c>
      <c r="P327" s="14">
        <v>170.2</v>
      </c>
      <c r="Q327" s="14">
        <v>196.5</v>
      </c>
      <c r="R327" s="14">
        <v>165.7</v>
      </c>
      <c r="S327" s="14">
        <v>150.4</v>
      </c>
      <c r="T327" s="14">
        <v>163.4</v>
      </c>
      <c r="U327" s="14">
        <v>165.5</v>
      </c>
      <c r="V327" s="14">
        <v>163</v>
      </c>
      <c r="W327" s="14">
        <v>157.4</v>
      </c>
      <c r="X327" s="14">
        <v>167.2</v>
      </c>
      <c r="Y327" s="14">
        <v>153.1</v>
      </c>
      <c r="Z327" s="14">
        <v>159.5</v>
      </c>
      <c r="AA327" s="14">
        <v>162</v>
      </c>
      <c r="AB327" s="14">
        <v>164.2</v>
      </c>
      <c r="AC327" s="14">
        <v>159.4</v>
      </c>
      <c r="AD327" s="15">
        <v>165.5</v>
      </c>
      <c r="AF327" s="13">
        <f>SUM('Working sheet'!$D327:$P327)</f>
        <v>2183.5</v>
      </c>
      <c r="AG327" s="14">
        <f>SUM('Working sheet'!$Q327)</f>
        <v>196.5</v>
      </c>
      <c r="AH327" s="14">
        <f>SUM('Working sheet'!$R327:$T327)</f>
        <v>479.5</v>
      </c>
      <c r="AI327" s="14">
        <f>SUM('Working sheet'!$U327)</f>
        <v>165.5</v>
      </c>
      <c r="AJ327" s="14">
        <f>SUM('Working sheet'!$V327)</f>
        <v>163</v>
      </c>
      <c r="AK327" s="15">
        <f>SUM('Working sheet'!$W327:$AC327)</f>
        <v>1122.8000000000002</v>
      </c>
    </row>
    <row r="328" spans="1:37" x14ac:dyDescent="0.25">
      <c r="A328" s="16" t="s">
        <v>31</v>
      </c>
      <c r="B328" s="17">
        <v>2022</v>
      </c>
      <c r="C328" s="17" t="s">
        <v>32</v>
      </c>
      <c r="D328" s="17">
        <v>150</v>
      </c>
      <c r="E328" s="17">
        <v>200.6</v>
      </c>
      <c r="F328" s="17">
        <v>175.8</v>
      </c>
      <c r="G328" s="17">
        <v>160.69999999999999</v>
      </c>
      <c r="H328" s="17">
        <v>184.9</v>
      </c>
      <c r="I328" s="17">
        <v>153.69999999999999</v>
      </c>
      <c r="J328" s="17">
        <v>169.7</v>
      </c>
      <c r="K328" s="17">
        <v>163.69999999999999</v>
      </c>
      <c r="L328" s="17">
        <v>118.9</v>
      </c>
      <c r="M328" s="17">
        <v>174.3</v>
      </c>
      <c r="N328" s="17">
        <v>164.7</v>
      </c>
      <c r="O328" s="17">
        <v>178</v>
      </c>
      <c r="P328" s="17">
        <v>166.2</v>
      </c>
      <c r="Q328" s="17">
        <v>192.8</v>
      </c>
      <c r="R328" s="17">
        <v>170.8</v>
      </c>
      <c r="S328" s="17">
        <v>162.4</v>
      </c>
      <c r="T328" s="17">
        <v>169.6</v>
      </c>
      <c r="U328" s="17">
        <v>165.5</v>
      </c>
      <c r="V328" s="17">
        <v>165.7</v>
      </c>
      <c r="W328" s="17">
        <v>161.80000000000001</v>
      </c>
      <c r="X328" s="17">
        <v>172.2</v>
      </c>
      <c r="Y328" s="17">
        <v>156.9</v>
      </c>
      <c r="Z328" s="17">
        <v>162.1</v>
      </c>
      <c r="AA328" s="17">
        <v>165.4</v>
      </c>
      <c r="AB328" s="17">
        <v>164.4</v>
      </c>
      <c r="AC328" s="17">
        <v>163.5</v>
      </c>
      <c r="AD328" s="18">
        <v>166.1</v>
      </c>
      <c r="AF328" s="16">
        <f>SUM('Working sheet'!$D328:$P328)</f>
        <v>2161.2000000000003</v>
      </c>
      <c r="AG328" s="17">
        <f>SUM('Working sheet'!$Q328)</f>
        <v>192.8</v>
      </c>
      <c r="AH328" s="17">
        <f>SUM('Working sheet'!$R328:$T328)</f>
        <v>502.80000000000007</v>
      </c>
      <c r="AI328" s="17">
        <f>SUM('Working sheet'!$U328)</f>
        <v>165.5</v>
      </c>
      <c r="AJ328" s="17">
        <f>SUM('Working sheet'!$V328)</f>
        <v>165.7</v>
      </c>
      <c r="AK328" s="18">
        <f>SUM('Working sheet'!$W328:$AC328)</f>
        <v>1146.3</v>
      </c>
    </row>
    <row r="329" spans="1:37" hidden="1" x14ac:dyDescent="0.25">
      <c r="A329" s="13" t="s">
        <v>28</v>
      </c>
      <c r="B329" s="14">
        <v>2022</v>
      </c>
      <c r="C329" s="14" t="s">
        <v>33</v>
      </c>
      <c r="D329" s="14">
        <v>150.19999999999999</v>
      </c>
      <c r="E329" s="14">
        <v>208</v>
      </c>
      <c r="F329" s="14">
        <v>167.9</v>
      </c>
      <c r="G329" s="14">
        <v>162</v>
      </c>
      <c r="H329" s="14">
        <v>203.1</v>
      </c>
      <c r="I329" s="14">
        <v>155.9</v>
      </c>
      <c r="J329" s="14">
        <v>155.80000000000001</v>
      </c>
      <c r="K329" s="14">
        <v>164.2</v>
      </c>
      <c r="L329" s="14">
        <v>118.1</v>
      </c>
      <c r="M329" s="14">
        <v>178.7</v>
      </c>
      <c r="N329" s="14">
        <v>171.2</v>
      </c>
      <c r="O329" s="14">
        <v>177.4</v>
      </c>
      <c r="P329" s="14">
        <v>166.6</v>
      </c>
      <c r="Q329" s="14">
        <v>192.3</v>
      </c>
      <c r="R329" s="14">
        <v>175.4</v>
      </c>
      <c r="S329" s="14">
        <v>173.2</v>
      </c>
      <c r="T329" s="14">
        <v>175.1</v>
      </c>
      <c r="U329" s="14">
        <v>166.2</v>
      </c>
      <c r="V329" s="14">
        <v>168.9</v>
      </c>
      <c r="W329" s="14">
        <v>166.5</v>
      </c>
      <c r="X329" s="14">
        <v>176</v>
      </c>
      <c r="Y329" s="14">
        <v>162</v>
      </c>
      <c r="Z329" s="14">
        <v>166.6</v>
      </c>
      <c r="AA329" s="14">
        <v>170.6</v>
      </c>
      <c r="AB329" s="14">
        <v>167.4</v>
      </c>
      <c r="AC329" s="14">
        <v>168.3</v>
      </c>
      <c r="AD329" s="15">
        <v>168.7</v>
      </c>
      <c r="AF329" s="13">
        <f>SUM('Working sheet'!$D329:$P329)</f>
        <v>2179.1000000000004</v>
      </c>
      <c r="AG329" s="14">
        <f>SUM('Working sheet'!$Q329)</f>
        <v>192.3</v>
      </c>
      <c r="AH329" s="14">
        <f>SUM('Working sheet'!$R329:$T329)</f>
        <v>523.70000000000005</v>
      </c>
      <c r="AI329" s="14">
        <f>SUM('Working sheet'!$U329)</f>
        <v>166.2</v>
      </c>
      <c r="AJ329" s="14">
        <f>SUM('Working sheet'!$V329)</f>
        <v>168.9</v>
      </c>
      <c r="AK329" s="15">
        <f>SUM('Working sheet'!$W329:$AC329)</f>
        <v>1177.4000000000001</v>
      </c>
    </row>
    <row r="330" spans="1:37" hidden="1" x14ac:dyDescent="0.25">
      <c r="A330" s="16" t="s">
        <v>30</v>
      </c>
      <c r="B330" s="17">
        <v>2022</v>
      </c>
      <c r="C330" s="17" t="s">
        <v>33</v>
      </c>
      <c r="D330" s="17">
        <v>153.69999999999999</v>
      </c>
      <c r="E330" s="17">
        <v>215.8</v>
      </c>
      <c r="F330" s="17">
        <v>167.7</v>
      </c>
      <c r="G330" s="17">
        <v>162.6</v>
      </c>
      <c r="H330" s="17">
        <v>180</v>
      </c>
      <c r="I330" s="17">
        <v>159.6</v>
      </c>
      <c r="J330" s="17">
        <v>188.4</v>
      </c>
      <c r="K330" s="17">
        <v>163.4</v>
      </c>
      <c r="L330" s="17">
        <v>120.3</v>
      </c>
      <c r="M330" s="17">
        <v>174.7</v>
      </c>
      <c r="N330" s="17">
        <v>157.1</v>
      </c>
      <c r="O330" s="17">
        <v>181.5</v>
      </c>
      <c r="P330" s="17">
        <v>171.5</v>
      </c>
      <c r="Q330" s="17">
        <v>197.5</v>
      </c>
      <c r="R330" s="17">
        <v>167.1</v>
      </c>
      <c r="S330" s="17">
        <v>152.6</v>
      </c>
      <c r="T330" s="17">
        <v>164.9</v>
      </c>
      <c r="U330" s="17">
        <v>165.3</v>
      </c>
      <c r="V330" s="17">
        <v>164.5</v>
      </c>
      <c r="W330" s="17">
        <v>158.6</v>
      </c>
      <c r="X330" s="17">
        <v>168.2</v>
      </c>
      <c r="Y330" s="17">
        <v>154.19999999999999</v>
      </c>
      <c r="Z330" s="17">
        <v>160.80000000000001</v>
      </c>
      <c r="AA330" s="17">
        <v>162.69999999999999</v>
      </c>
      <c r="AB330" s="17">
        <v>166.8</v>
      </c>
      <c r="AC330" s="17">
        <v>160.6</v>
      </c>
      <c r="AD330" s="18">
        <v>166.5</v>
      </c>
      <c r="AF330" s="16">
        <f>SUM('Working sheet'!$D330:$P330)</f>
        <v>2196.3000000000002</v>
      </c>
      <c r="AG330" s="17">
        <f>SUM('Working sheet'!$Q330)</f>
        <v>197.5</v>
      </c>
      <c r="AH330" s="17">
        <f>SUM('Working sheet'!$R330:$T330)</f>
        <v>484.6</v>
      </c>
      <c r="AI330" s="17">
        <f>SUM('Working sheet'!$U330)</f>
        <v>165.3</v>
      </c>
      <c r="AJ330" s="17">
        <f>SUM('Working sheet'!$V330)</f>
        <v>164.5</v>
      </c>
      <c r="AK330" s="18">
        <f>SUM('Working sheet'!$W330:$AC330)</f>
        <v>1131.8999999999999</v>
      </c>
    </row>
    <row r="331" spans="1:37" x14ac:dyDescent="0.25">
      <c r="A331" s="13" t="s">
        <v>31</v>
      </c>
      <c r="B331" s="14">
        <v>2022</v>
      </c>
      <c r="C331" s="14" t="s">
        <v>33</v>
      </c>
      <c r="D331" s="14">
        <v>151.30000000000001</v>
      </c>
      <c r="E331" s="14">
        <v>210.7</v>
      </c>
      <c r="F331" s="14">
        <v>167.8</v>
      </c>
      <c r="G331" s="14">
        <v>162.19999999999999</v>
      </c>
      <c r="H331" s="14">
        <v>194.6</v>
      </c>
      <c r="I331" s="14">
        <v>157.6</v>
      </c>
      <c r="J331" s="14">
        <v>166.9</v>
      </c>
      <c r="K331" s="14">
        <v>163.9</v>
      </c>
      <c r="L331" s="14">
        <v>118.8</v>
      </c>
      <c r="M331" s="14">
        <v>177.4</v>
      </c>
      <c r="N331" s="14">
        <v>165.3</v>
      </c>
      <c r="O331" s="14">
        <v>179.3</v>
      </c>
      <c r="P331" s="14">
        <v>168.4</v>
      </c>
      <c r="Q331" s="14">
        <v>193.7</v>
      </c>
      <c r="R331" s="14">
        <v>172.1</v>
      </c>
      <c r="S331" s="14">
        <v>164.6</v>
      </c>
      <c r="T331" s="14">
        <v>171.1</v>
      </c>
      <c r="U331" s="14">
        <v>165.3</v>
      </c>
      <c r="V331" s="14">
        <v>167.2</v>
      </c>
      <c r="W331" s="14">
        <v>162.80000000000001</v>
      </c>
      <c r="X331" s="14">
        <v>173</v>
      </c>
      <c r="Y331" s="14">
        <v>157.9</v>
      </c>
      <c r="Z331" s="14">
        <v>163.30000000000001</v>
      </c>
      <c r="AA331" s="14">
        <v>166</v>
      </c>
      <c r="AB331" s="14">
        <v>167.2</v>
      </c>
      <c r="AC331" s="14">
        <v>164.6</v>
      </c>
      <c r="AD331" s="15">
        <v>167.7</v>
      </c>
      <c r="AF331" s="13">
        <f>SUM('Working sheet'!$D331:$P331)</f>
        <v>2184.2000000000003</v>
      </c>
      <c r="AG331" s="14">
        <f>SUM('Working sheet'!$Q331)</f>
        <v>193.7</v>
      </c>
      <c r="AH331" s="14">
        <f>SUM('Working sheet'!$R331:$T331)</f>
        <v>507.79999999999995</v>
      </c>
      <c r="AI331" s="14">
        <f>SUM('Working sheet'!$U331)</f>
        <v>165.3</v>
      </c>
      <c r="AJ331" s="14">
        <f>SUM('Working sheet'!$V331)</f>
        <v>167.2</v>
      </c>
      <c r="AK331" s="15">
        <f>SUM('Working sheet'!$W331:$AC331)</f>
        <v>1154.8</v>
      </c>
    </row>
    <row r="332" spans="1:37" hidden="1" x14ac:dyDescent="0.25">
      <c r="A332" s="16" t="s">
        <v>28</v>
      </c>
      <c r="B332" s="17">
        <v>2022</v>
      </c>
      <c r="C332" s="17" t="s">
        <v>34</v>
      </c>
      <c r="D332" s="17">
        <v>151.80000000000001</v>
      </c>
      <c r="E332" s="17">
        <v>209.7</v>
      </c>
      <c r="F332" s="17">
        <v>164.5</v>
      </c>
      <c r="G332" s="17">
        <v>163.80000000000001</v>
      </c>
      <c r="H332" s="17">
        <v>207.4</v>
      </c>
      <c r="I332" s="17">
        <v>169.7</v>
      </c>
      <c r="J332" s="17">
        <v>153.6</v>
      </c>
      <c r="K332" s="17">
        <v>165.1</v>
      </c>
      <c r="L332" s="17">
        <v>118.2</v>
      </c>
      <c r="M332" s="17">
        <v>182.9</v>
      </c>
      <c r="N332" s="17">
        <v>172.4</v>
      </c>
      <c r="O332" s="17">
        <v>178.9</v>
      </c>
      <c r="P332" s="17">
        <v>168.6</v>
      </c>
      <c r="Q332" s="17">
        <v>192.8</v>
      </c>
      <c r="R332" s="17">
        <v>177.5</v>
      </c>
      <c r="S332" s="17">
        <v>175.1</v>
      </c>
      <c r="T332" s="17">
        <v>177.1</v>
      </c>
      <c r="U332" s="17">
        <v>167.3</v>
      </c>
      <c r="V332" s="17">
        <v>173.3</v>
      </c>
      <c r="W332" s="17">
        <v>167.7</v>
      </c>
      <c r="X332" s="17">
        <v>177</v>
      </c>
      <c r="Y332" s="17">
        <v>166.2</v>
      </c>
      <c r="Z332" s="17">
        <v>167.2</v>
      </c>
      <c r="AA332" s="17">
        <v>170.9</v>
      </c>
      <c r="AB332" s="17">
        <v>169</v>
      </c>
      <c r="AC332" s="17">
        <v>170.2</v>
      </c>
      <c r="AD332" s="18">
        <v>170.8</v>
      </c>
      <c r="AF332" s="16">
        <f>SUM('Working sheet'!$D332:$P332)</f>
        <v>2206.6</v>
      </c>
      <c r="AG332" s="17">
        <f>SUM('Working sheet'!$Q332)</f>
        <v>192.8</v>
      </c>
      <c r="AH332" s="17">
        <f>SUM('Working sheet'!$R332:$T332)</f>
        <v>529.70000000000005</v>
      </c>
      <c r="AI332" s="17">
        <f>SUM('Working sheet'!$U332)</f>
        <v>167.3</v>
      </c>
      <c r="AJ332" s="17">
        <f>SUM('Working sheet'!$V332)</f>
        <v>173.3</v>
      </c>
      <c r="AK332" s="18">
        <f>SUM('Working sheet'!$W332:$AC332)</f>
        <v>1188.1999999999998</v>
      </c>
    </row>
    <row r="333" spans="1:37" hidden="1" x14ac:dyDescent="0.25">
      <c r="A333" s="13" t="s">
        <v>30</v>
      </c>
      <c r="B333" s="14">
        <v>2022</v>
      </c>
      <c r="C333" s="14" t="s">
        <v>34</v>
      </c>
      <c r="D333" s="14">
        <v>155.4</v>
      </c>
      <c r="E333" s="14">
        <v>215.8</v>
      </c>
      <c r="F333" s="14">
        <v>164.6</v>
      </c>
      <c r="G333" s="14">
        <v>164.2</v>
      </c>
      <c r="H333" s="14">
        <v>186</v>
      </c>
      <c r="I333" s="14">
        <v>175.9</v>
      </c>
      <c r="J333" s="14">
        <v>190.7</v>
      </c>
      <c r="K333" s="14">
        <v>164</v>
      </c>
      <c r="L333" s="14">
        <v>120.5</v>
      </c>
      <c r="M333" s="14">
        <v>178</v>
      </c>
      <c r="N333" s="14">
        <v>157.5</v>
      </c>
      <c r="O333" s="14">
        <v>183.3</v>
      </c>
      <c r="P333" s="14">
        <v>174.5</v>
      </c>
      <c r="Q333" s="14">
        <v>197.1</v>
      </c>
      <c r="R333" s="14">
        <v>168.4</v>
      </c>
      <c r="S333" s="14">
        <v>154.5</v>
      </c>
      <c r="T333" s="14">
        <v>166.3</v>
      </c>
      <c r="U333" s="14">
        <v>167</v>
      </c>
      <c r="V333" s="14">
        <v>170.5</v>
      </c>
      <c r="W333" s="14">
        <v>159.80000000000001</v>
      </c>
      <c r="X333" s="14">
        <v>169</v>
      </c>
      <c r="Y333" s="14">
        <v>159.30000000000001</v>
      </c>
      <c r="Z333" s="14">
        <v>162.19999999999999</v>
      </c>
      <c r="AA333" s="14">
        <v>164</v>
      </c>
      <c r="AB333" s="14">
        <v>168.4</v>
      </c>
      <c r="AC333" s="14">
        <v>163.1</v>
      </c>
      <c r="AD333" s="15">
        <v>169.2</v>
      </c>
      <c r="AF333" s="13">
        <f>SUM('Working sheet'!$D333:$P333)</f>
        <v>2230.4</v>
      </c>
      <c r="AG333" s="14">
        <f>SUM('Working sheet'!$Q333)</f>
        <v>197.1</v>
      </c>
      <c r="AH333" s="14">
        <f>SUM('Working sheet'!$R333:$T333)</f>
        <v>489.2</v>
      </c>
      <c r="AI333" s="14">
        <f>SUM('Working sheet'!$U333)</f>
        <v>167</v>
      </c>
      <c r="AJ333" s="14">
        <f>SUM('Working sheet'!$V333)</f>
        <v>170.5</v>
      </c>
      <c r="AK333" s="15">
        <f>SUM('Working sheet'!$W333:$AC333)</f>
        <v>1145.8</v>
      </c>
    </row>
    <row r="334" spans="1:37" x14ac:dyDescent="0.25">
      <c r="A334" s="16" t="s">
        <v>31</v>
      </c>
      <c r="B334" s="17">
        <v>2022</v>
      </c>
      <c r="C334" s="17" t="s">
        <v>34</v>
      </c>
      <c r="D334" s="17">
        <v>152.9</v>
      </c>
      <c r="E334" s="17">
        <v>211.8</v>
      </c>
      <c r="F334" s="17">
        <v>164.5</v>
      </c>
      <c r="G334" s="17">
        <v>163.9</v>
      </c>
      <c r="H334" s="17">
        <v>199.5</v>
      </c>
      <c r="I334" s="17">
        <v>172.6</v>
      </c>
      <c r="J334" s="17">
        <v>166.2</v>
      </c>
      <c r="K334" s="17">
        <v>164.7</v>
      </c>
      <c r="L334" s="17">
        <v>119</v>
      </c>
      <c r="M334" s="17">
        <v>181.3</v>
      </c>
      <c r="N334" s="17">
        <v>166.2</v>
      </c>
      <c r="O334" s="17">
        <v>180.9</v>
      </c>
      <c r="P334" s="17">
        <v>170.8</v>
      </c>
      <c r="Q334" s="17">
        <v>193.9</v>
      </c>
      <c r="R334" s="17">
        <v>173.9</v>
      </c>
      <c r="S334" s="17">
        <v>166.5</v>
      </c>
      <c r="T334" s="17">
        <v>172.8</v>
      </c>
      <c r="U334" s="17">
        <v>167</v>
      </c>
      <c r="V334" s="17">
        <v>172.2</v>
      </c>
      <c r="W334" s="17">
        <v>164</v>
      </c>
      <c r="X334" s="17">
        <v>174</v>
      </c>
      <c r="Y334" s="17">
        <v>162.6</v>
      </c>
      <c r="Z334" s="17">
        <v>164.4</v>
      </c>
      <c r="AA334" s="17">
        <v>166.9</v>
      </c>
      <c r="AB334" s="17">
        <v>168.8</v>
      </c>
      <c r="AC334" s="17">
        <v>166.8</v>
      </c>
      <c r="AD334" s="18">
        <v>170.1</v>
      </c>
      <c r="AF334" s="16">
        <f>SUM('Working sheet'!$D334:$P334)</f>
        <v>2214.3000000000002</v>
      </c>
      <c r="AG334" s="17">
        <f>SUM('Working sheet'!$Q334)</f>
        <v>193.9</v>
      </c>
      <c r="AH334" s="17">
        <f>SUM('Working sheet'!$R334:$T334)</f>
        <v>513.20000000000005</v>
      </c>
      <c r="AI334" s="17">
        <f>SUM('Working sheet'!$U334)</f>
        <v>167</v>
      </c>
      <c r="AJ334" s="17">
        <f>SUM('Working sheet'!$V334)</f>
        <v>172.2</v>
      </c>
      <c r="AK334" s="18">
        <f>SUM('Working sheet'!$W334:$AC334)</f>
        <v>1167.5</v>
      </c>
    </row>
    <row r="335" spans="1:37" hidden="1" x14ac:dyDescent="0.25">
      <c r="A335" s="13" t="s">
        <v>28</v>
      </c>
      <c r="B335" s="14">
        <v>2022</v>
      </c>
      <c r="C335" s="14" t="s">
        <v>35</v>
      </c>
      <c r="D335" s="14">
        <v>152.9</v>
      </c>
      <c r="E335" s="14">
        <v>214.7</v>
      </c>
      <c r="F335" s="14">
        <v>161.4</v>
      </c>
      <c r="G335" s="14">
        <v>164.6</v>
      </c>
      <c r="H335" s="14">
        <v>209.9</v>
      </c>
      <c r="I335" s="14">
        <v>168</v>
      </c>
      <c r="J335" s="14">
        <v>160.4</v>
      </c>
      <c r="K335" s="14">
        <v>165</v>
      </c>
      <c r="L335" s="14">
        <v>118.9</v>
      </c>
      <c r="M335" s="14">
        <v>186.6</v>
      </c>
      <c r="N335" s="14">
        <v>173.2</v>
      </c>
      <c r="O335" s="14">
        <v>180.4</v>
      </c>
      <c r="P335" s="14">
        <v>170.8</v>
      </c>
      <c r="Q335" s="14">
        <v>192.9</v>
      </c>
      <c r="R335" s="14">
        <v>179.3</v>
      </c>
      <c r="S335" s="14">
        <v>177.2</v>
      </c>
      <c r="T335" s="14">
        <v>179</v>
      </c>
      <c r="U335" s="14">
        <v>167.2</v>
      </c>
      <c r="V335" s="14">
        <v>175.3</v>
      </c>
      <c r="W335" s="14">
        <v>168.9</v>
      </c>
      <c r="X335" s="14">
        <v>177.7</v>
      </c>
      <c r="Y335" s="14">
        <v>167.1</v>
      </c>
      <c r="Z335" s="14">
        <v>167.6</v>
      </c>
      <c r="AA335" s="14">
        <v>171.8</v>
      </c>
      <c r="AB335" s="14">
        <v>168.5</v>
      </c>
      <c r="AC335" s="14">
        <v>170.9</v>
      </c>
      <c r="AD335" s="15">
        <v>172.5</v>
      </c>
      <c r="AF335" s="13">
        <f>SUM('Working sheet'!$D335:$P335)</f>
        <v>2226.8000000000002</v>
      </c>
      <c r="AG335" s="14">
        <f>SUM('Working sheet'!$Q335)</f>
        <v>192.9</v>
      </c>
      <c r="AH335" s="14">
        <f>SUM('Working sheet'!$R335:$T335)</f>
        <v>535.5</v>
      </c>
      <c r="AI335" s="14">
        <f>SUM('Working sheet'!$U335)</f>
        <v>167.2</v>
      </c>
      <c r="AJ335" s="14">
        <f>SUM('Working sheet'!$V335)</f>
        <v>175.3</v>
      </c>
      <c r="AK335" s="15">
        <f>SUM('Working sheet'!$W335:$AC335)</f>
        <v>1192.5000000000002</v>
      </c>
    </row>
    <row r="336" spans="1:37" hidden="1" x14ac:dyDescent="0.25">
      <c r="A336" s="16" t="s">
        <v>30</v>
      </c>
      <c r="B336" s="17">
        <v>2022</v>
      </c>
      <c r="C336" s="17" t="s">
        <v>35</v>
      </c>
      <c r="D336" s="17">
        <v>156.69999999999999</v>
      </c>
      <c r="E336" s="17">
        <v>221.2</v>
      </c>
      <c r="F336" s="17">
        <v>164.1</v>
      </c>
      <c r="G336" s="17">
        <v>165.4</v>
      </c>
      <c r="H336" s="17">
        <v>189.5</v>
      </c>
      <c r="I336" s="17">
        <v>174.5</v>
      </c>
      <c r="J336" s="17">
        <v>203.2</v>
      </c>
      <c r="K336" s="17">
        <v>164.1</v>
      </c>
      <c r="L336" s="17">
        <v>121.2</v>
      </c>
      <c r="M336" s="17">
        <v>181.4</v>
      </c>
      <c r="N336" s="17">
        <v>158.5</v>
      </c>
      <c r="O336" s="17">
        <v>184.9</v>
      </c>
      <c r="P336" s="17">
        <v>177.5</v>
      </c>
      <c r="Q336" s="17">
        <v>197.5</v>
      </c>
      <c r="R336" s="17">
        <v>170</v>
      </c>
      <c r="S336" s="17">
        <v>155.9</v>
      </c>
      <c r="T336" s="17">
        <v>167.8</v>
      </c>
      <c r="U336" s="17">
        <v>167.5</v>
      </c>
      <c r="V336" s="17">
        <v>173.5</v>
      </c>
      <c r="W336" s="17">
        <v>161.1</v>
      </c>
      <c r="X336" s="17">
        <v>170.1</v>
      </c>
      <c r="Y336" s="17">
        <v>159.4</v>
      </c>
      <c r="Z336" s="17">
        <v>163.19999999999999</v>
      </c>
      <c r="AA336" s="17">
        <v>165.2</v>
      </c>
      <c r="AB336" s="17">
        <v>168.2</v>
      </c>
      <c r="AC336" s="17">
        <v>163.80000000000001</v>
      </c>
      <c r="AD336" s="18">
        <v>170.8</v>
      </c>
      <c r="AF336" s="16">
        <f>SUM('Working sheet'!$D336:$P336)</f>
        <v>2262.2000000000003</v>
      </c>
      <c r="AG336" s="17">
        <f>SUM('Working sheet'!$Q336)</f>
        <v>197.5</v>
      </c>
      <c r="AH336" s="17">
        <f>SUM('Working sheet'!$R336:$T336)</f>
        <v>493.7</v>
      </c>
      <c r="AI336" s="17">
        <f>SUM('Working sheet'!$U336)</f>
        <v>167.5</v>
      </c>
      <c r="AJ336" s="17">
        <f>SUM('Working sheet'!$V336)</f>
        <v>173.5</v>
      </c>
      <c r="AK336" s="18">
        <f>SUM('Working sheet'!$W336:$AC336)</f>
        <v>1151</v>
      </c>
    </row>
    <row r="337" spans="1:37" x14ac:dyDescent="0.25">
      <c r="A337" s="13" t="s">
        <v>31</v>
      </c>
      <c r="B337" s="14">
        <v>2022</v>
      </c>
      <c r="C337" s="14" t="s">
        <v>35</v>
      </c>
      <c r="D337" s="14">
        <v>154.1</v>
      </c>
      <c r="E337" s="14">
        <v>217</v>
      </c>
      <c r="F337" s="14">
        <v>162.4</v>
      </c>
      <c r="G337" s="14">
        <v>164.9</v>
      </c>
      <c r="H337" s="14">
        <v>202.4</v>
      </c>
      <c r="I337" s="14">
        <v>171</v>
      </c>
      <c r="J337" s="14">
        <v>174.9</v>
      </c>
      <c r="K337" s="14">
        <v>164.7</v>
      </c>
      <c r="L337" s="14">
        <v>119.7</v>
      </c>
      <c r="M337" s="14">
        <v>184.9</v>
      </c>
      <c r="N337" s="14">
        <v>167.1</v>
      </c>
      <c r="O337" s="14">
        <v>182.5</v>
      </c>
      <c r="P337" s="14">
        <v>173.3</v>
      </c>
      <c r="Q337" s="14">
        <v>194.1</v>
      </c>
      <c r="R337" s="14">
        <v>175.6</v>
      </c>
      <c r="S337" s="14">
        <v>168.4</v>
      </c>
      <c r="T337" s="14">
        <v>174.6</v>
      </c>
      <c r="U337" s="14">
        <v>167.5</v>
      </c>
      <c r="V337" s="14">
        <v>174.6</v>
      </c>
      <c r="W337" s="14">
        <v>165.2</v>
      </c>
      <c r="X337" s="14">
        <v>174.8</v>
      </c>
      <c r="Y337" s="14">
        <v>163</v>
      </c>
      <c r="Z337" s="14">
        <v>165.1</v>
      </c>
      <c r="AA337" s="14">
        <v>167.9</v>
      </c>
      <c r="AB337" s="14">
        <v>168.4</v>
      </c>
      <c r="AC337" s="14">
        <v>167.5</v>
      </c>
      <c r="AD337" s="15">
        <v>171.7</v>
      </c>
      <c r="AF337" s="13">
        <f>SUM('Working sheet'!$D337:$P337)</f>
        <v>2238.9000000000005</v>
      </c>
      <c r="AG337" s="14">
        <f>SUM('Working sheet'!$Q337)</f>
        <v>194.1</v>
      </c>
      <c r="AH337" s="14">
        <f>SUM('Working sheet'!$R337:$T337)</f>
        <v>518.6</v>
      </c>
      <c r="AI337" s="14">
        <f>SUM('Working sheet'!$U337)</f>
        <v>167.5</v>
      </c>
      <c r="AJ337" s="14">
        <f>SUM('Working sheet'!$V337)</f>
        <v>174.6</v>
      </c>
      <c r="AK337" s="15">
        <f>SUM('Working sheet'!$W337:$AC337)</f>
        <v>1171.9000000000001</v>
      </c>
    </row>
    <row r="338" spans="1:37" hidden="1" x14ac:dyDescent="0.25">
      <c r="A338" s="16" t="s">
        <v>28</v>
      </c>
      <c r="B338" s="17">
        <v>2022</v>
      </c>
      <c r="C338" s="17" t="s">
        <v>36</v>
      </c>
      <c r="D338" s="17">
        <v>153.80000000000001</v>
      </c>
      <c r="E338" s="17">
        <v>217.2</v>
      </c>
      <c r="F338" s="17">
        <v>169.6</v>
      </c>
      <c r="G338" s="17">
        <v>165.4</v>
      </c>
      <c r="H338" s="17">
        <v>208.1</v>
      </c>
      <c r="I338" s="17">
        <v>165.8</v>
      </c>
      <c r="J338" s="17">
        <v>167.3</v>
      </c>
      <c r="K338" s="17">
        <v>164.6</v>
      </c>
      <c r="L338" s="17">
        <v>119.1</v>
      </c>
      <c r="M338" s="17">
        <v>188.9</v>
      </c>
      <c r="N338" s="17">
        <v>174.2</v>
      </c>
      <c r="O338" s="17">
        <v>181.9</v>
      </c>
      <c r="P338" s="17">
        <v>172.4</v>
      </c>
      <c r="Q338" s="17">
        <v>192.9</v>
      </c>
      <c r="R338" s="17">
        <v>180.7</v>
      </c>
      <c r="S338" s="17">
        <v>178.7</v>
      </c>
      <c r="T338" s="17">
        <v>180.4</v>
      </c>
      <c r="U338" s="17">
        <v>167.3</v>
      </c>
      <c r="V338" s="17">
        <v>176.7</v>
      </c>
      <c r="W338" s="17">
        <v>170.3</v>
      </c>
      <c r="X338" s="17">
        <v>178.2</v>
      </c>
      <c r="Y338" s="17">
        <v>165.5</v>
      </c>
      <c r="Z338" s="17">
        <v>168</v>
      </c>
      <c r="AA338" s="17">
        <v>172.6</v>
      </c>
      <c r="AB338" s="17">
        <v>169.5</v>
      </c>
      <c r="AC338" s="17">
        <v>171</v>
      </c>
      <c r="AD338" s="18">
        <v>173.6</v>
      </c>
      <c r="AF338" s="16">
        <f>SUM('Working sheet'!$D338:$P338)</f>
        <v>2248.3000000000002</v>
      </c>
      <c r="AG338" s="17">
        <f>SUM('Working sheet'!$Q338)</f>
        <v>192.9</v>
      </c>
      <c r="AH338" s="17">
        <f>SUM('Working sheet'!$R338:$T338)</f>
        <v>539.79999999999995</v>
      </c>
      <c r="AI338" s="17">
        <f>SUM('Working sheet'!$U338)</f>
        <v>167.3</v>
      </c>
      <c r="AJ338" s="17">
        <f>SUM('Working sheet'!$V338)</f>
        <v>176.7</v>
      </c>
      <c r="AK338" s="18">
        <f>SUM('Working sheet'!$W338:$AC338)</f>
        <v>1195.0999999999999</v>
      </c>
    </row>
    <row r="339" spans="1:37" hidden="1" x14ac:dyDescent="0.25">
      <c r="A339" s="13" t="s">
        <v>30</v>
      </c>
      <c r="B339" s="14">
        <v>2022</v>
      </c>
      <c r="C339" s="14" t="s">
        <v>36</v>
      </c>
      <c r="D339" s="14">
        <v>157.5</v>
      </c>
      <c r="E339" s="14">
        <v>223.4</v>
      </c>
      <c r="F339" s="14">
        <v>172.8</v>
      </c>
      <c r="G339" s="14">
        <v>166.4</v>
      </c>
      <c r="H339" s="14">
        <v>188.6</v>
      </c>
      <c r="I339" s="14">
        <v>174.1</v>
      </c>
      <c r="J339" s="14">
        <v>211.5</v>
      </c>
      <c r="K339" s="14">
        <v>163.6</v>
      </c>
      <c r="L339" s="14">
        <v>121.4</v>
      </c>
      <c r="M339" s="14">
        <v>183.5</v>
      </c>
      <c r="N339" s="14">
        <v>159.1</v>
      </c>
      <c r="O339" s="14">
        <v>186.3</v>
      </c>
      <c r="P339" s="14">
        <v>179.3</v>
      </c>
      <c r="Q339" s="14">
        <v>198.3</v>
      </c>
      <c r="R339" s="14">
        <v>171.6</v>
      </c>
      <c r="S339" s="14">
        <v>157.4</v>
      </c>
      <c r="T339" s="14">
        <v>169.4</v>
      </c>
      <c r="U339" s="14">
        <v>166.8</v>
      </c>
      <c r="V339" s="14">
        <v>174.9</v>
      </c>
      <c r="W339" s="14">
        <v>162.1</v>
      </c>
      <c r="X339" s="14">
        <v>170.9</v>
      </c>
      <c r="Y339" s="14">
        <v>157.19999999999999</v>
      </c>
      <c r="Z339" s="14">
        <v>164.1</v>
      </c>
      <c r="AA339" s="14">
        <v>166.5</v>
      </c>
      <c r="AB339" s="14">
        <v>169.2</v>
      </c>
      <c r="AC339" s="14">
        <v>163.80000000000001</v>
      </c>
      <c r="AD339" s="15">
        <v>171.4</v>
      </c>
      <c r="AF339" s="13">
        <f>SUM('Working sheet'!$D339:$P339)</f>
        <v>2287.5</v>
      </c>
      <c r="AG339" s="14">
        <f>SUM('Working sheet'!$Q339)</f>
        <v>198.3</v>
      </c>
      <c r="AH339" s="14">
        <f>SUM('Working sheet'!$R339:$T339)</f>
        <v>498.4</v>
      </c>
      <c r="AI339" s="14">
        <f>SUM('Working sheet'!$U339)</f>
        <v>166.8</v>
      </c>
      <c r="AJ339" s="14">
        <f>SUM('Working sheet'!$V339)</f>
        <v>174.9</v>
      </c>
      <c r="AK339" s="15">
        <f>SUM('Working sheet'!$W339:$AC339)</f>
        <v>1153.8</v>
      </c>
    </row>
    <row r="340" spans="1:37" x14ac:dyDescent="0.25">
      <c r="A340" s="16" t="s">
        <v>31</v>
      </c>
      <c r="B340" s="17">
        <v>2022</v>
      </c>
      <c r="C340" s="17" t="s">
        <v>36</v>
      </c>
      <c r="D340" s="17">
        <v>155</v>
      </c>
      <c r="E340" s="17">
        <v>219.4</v>
      </c>
      <c r="F340" s="17">
        <v>170.8</v>
      </c>
      <c r="G340" s="17">
        <v>165.8</v>
      </c>
      <c r="H340" s="17">
        <v>200.9</v>
      </c>
      <c r="I340" s="17">
        <v>169.7</v>
      </c>
      <c r="J340" s="17">
        <v>182.3</v>
      </c>
      <c r="K340" s="17">
        <v>164.3</v>
      </c>
      <c r="L340" s="17">
        <v>119.9</v>
      </c>
      <c r="M340" s="17">
        <v>187.1</v>
      </c>
      <c r="N340" s="17">
        <v>167.9</v>
      </c>
      <c r="O340" s="17">
        <v>183.9</v>
      </c>
      <c r="P340" s="17">
        <v>174.9</v>
      </c>
      <c r="Q340" s="17">
        <v>194.3</v>
      </c>
      <c r="R340" s="17">
        <v>177.1</v>
      </c>
      <c r="S340" s="17">
        <v>169.9</v>
      </c>
      <c r="T340" s="17">
        <v>176</v>
      </c>
      <c r="U340" s="17">
        <v>166.8</v>
      </c>
      <c r="V340" s="17">
        <v>176</v>
      </c>
      <c r="W340" s="17">
        <v>166.4</v>
      </c>
      <c r="X340" s="17">
        <v>175.4</v>
      </c>
      <c r="Y340" s="17">
        <v>161.1</v>
      </c>
      <c r="Z340" s="17">
        <v>165.8</v>
      </c>
      <c r="AA340" s="17">
        <v>169</v>
      </c>
      <c r="AB340" s="17">
        <v>169.4</v>
      </c>
      <c r="AC340" s="17">
        <v>167.5</v>
      </c>
      <c r="AD340" s="18">
        <v>172.6</v>
      </c>
      <c r="AF340" s="16">
        <f>SUM('Working sheet'!$D340:$P340)</f>
        <v>2261.9</v>
      </c>
      <c r="AG340" s="17">
        <f>SUM('Working sheet'!$Q340)</f>
        <v>194.3</v>
      </c>
      <c r="AH340" s="17">
        <f>SUM('Working sheet'!$R340:$T340)</f>
        <v>523</v>
      </c>
      <c r="AI340" s="17">
        <f>SUM('Working sheet'!$U340)</f>
        <v>166.8</v>
      </c>
      <c r="AJ340" s="17">
        <f>SUM('Working sheet'!$V340)</f>
        <v>176</v>
      </c>
      <c r="AK340" s="18">
        <f>SUM('Working sheet'!$W340:$AC340)</f>
        <v>1174.5999999999999</v>
      </c>
    </row>
    <row r="341" spans="1:37" hidden="1" x14ac:dyDescent="0.25">
      <c r="A341" s="13" t="s">
        <v>28</v>
      </c>
      <c r="B341" s="14">
        <v>2022</v>
      </c>
      <c r="C341" s="14" t="s">
        <v>37</v>
      </c>
      <c r="D341" s="14">
        <v>155.19999999999999</v>
      </c>
      <c r="E341" s="14">
        <v>210.8</v>
      </c>
      <c r="F341" s="14">
        <v>174.3</v>
      </c>
      <c r="G341" s="14">
        <v>166.3</v>
      </c>
      <c r="H341" s="14">
        <v>202.2</v>
      </c>
      <c r="I341" s="14">
        <v>169.6</v>
      </c>
      <c r="J341" s="14">
        <v>168.6</v>
      </c>
      <c r="K341" s="14">
        <v>164.4</v>
      </c>
      <c r="L341" s="14">
        <v>119.2</v>
      </c>
      <c r="M341" s="14">
        <v>191.8</v>
      </c>
      <c r="N341" s="14">
        <v>174.5</v>
      </c>
      <c r="O341" s="14">
        <v>183.1</v>
      </c>
      <c r="P341" s="14">
        <v>172.5</v>
      </c>
      <c r="Q341" s="14">
        <v>193.2</v>
      </c>
      <c r="R341" s="14">
        <v>182</v>
      </c>
      <c r="S341" s="14">
        <v>180.3</v>
      </c>
      <c r="T341" s="14">
        <v>181.7</v>
      </c>
      <c r="U341" s="14">
        <v>168.4</v>
      </c>
      <c r="V341" s="14">
        <v>179.6</v>
      </c>
      <c r="W341" s="14">
        <v>171.3</v>
      </c>
      <c r="X341" s="14">
        <v>178.8</v>
      </c>
      <c r="Y341" s="14">
        <v>166.3</v>
      </c>
      <c r="Z341" s="14">
        <v>168.6</v>
      </c>
      <c r="AA341" s="14">
        <v>174.7</v>
      </c>
      <c r="AB341" s="14">
        <v>169.7</v>
      </c>
      <c r="AC341" s="14">
        <v>171.8</v>
      </c>
      <c r="AD341" s="15">
        <v>174.3</v>
      </c>
      <c r="AF341" s="13">
        <f>SUM('Working sheet'!$D341:$P341)</f>
        <v>2252.5</v>
      </c>
      <c r="AG341" s="14">
        <f>SUM('Working sheet'!$Q341)</f>
        <v>193.2</v>
      </c>
      <c r="AH341" s="14">
        <f>SUM('Working sheet'!$R341:$T341)</f>
        <v>544</v>
      </c>
      <c r="AI341" s="14">
        <f>SUM('Working sheet'!$U341)</f>
        <v>168.4</v>
      </c>
      <c r="AJ341" s="14">
        <f>SUM('Working sheet'!$V341)</f>
        <v>179.6</v>
      </c>
      <c r="AK341" s="15">
        <f>SUM('Working sheet'!$W341:$AC341)</f>
        <v>1201.2</v>
      </c>
    </row>
    <row r="342" spans="1:37" hidden="1" x14ac:dyDescent="0.25">
      <c r="A342" s="16" t="s">
        <v>30</v>
      </c>
      <c r="B342" s="17">
        <v>2022</v>
      </c>
      <c r="C342" s="17" t="s">
        <v>37</v>
      </c>
      <c r="D342" s="17">
        <v>159.30000000000001</v>
      </c>
      <c r="E342" s="17">
        <v>217.1</v>
      </c>
      <c r="F342" s="17">
        <v>176.6</v>
      </c>
      <c r="G342" s="17">
        <v>167.1</v>
      </c>
      <c r="H342" s="17">
        <v>184.8</v>
      </c>
      <c r="I342" s="17">
        <v>179.5</v>
      </c>
      <c r="J342" s="17">
        <v>208.5</v>
      </c>
      <c r="K342" s="17">
        <v>164</v>
      </c>
      <c r="L342" s="17">
        <v>121.5</v>
      </c>
      <c r="M342" s="17">
        <v>186.3</v>
      </c>
      <c r="N342" s="17">
        <v>159.80000000000001</v>
      </c>
      <c r="O342" s="17">
        <v>187.7</v>
      </c>
      <c r="P342" s="17">
        <v>179.4</v>
      </c>
      <c r="Q342" s="17">
        <v>198.6</v>
      </c>
      <c r="R342" s="17">
        <v>172.7</v>
      </c>
      <c r="S342" s="17">
        <v>158.69999999999999</v>
      </c>
      <c r="T342" s="17">
        <v>170.6</v>
      </c>
      <c r="U342" s="17">
        <v>167.8</v>
      </c>
      <c r="V342" s="17">
        <v>179.5</v>
      </c>
      <c r="W342" s="17">
        <v>163.1</v>
      </c>
      <c r="X342" s="17">
        <v>171.7</v>
      </c>
      <c r="Y342" s="17">
        <v>157.4</v>
      </c>
      <c r="Z342" s="17">
        <v>164.6</v>
      </c>
      <c r="AA342" s="17">
        <v>169.1</v>
      </c>
      <c r="AB342" s="17">
        <v>169.8</v>
      </c>
      <c r="AC342" s="17">
        <v>164.7</v>
      </c>
      <c r="AD342" s="18">
        <v>172.3</v>
      </c>
      <c r="AF342" s="16">
        <f>SUM('Working sheet'!$D342:$P342)</f>
        <v>2291.6</v>
      </c>
      <c r="AG342" s="17">
        <f>SUM('Working sheet'!$Q342)</f>
        <v>198.6</v>
      </c>
      <c r="AH342" s="17">
        <f>SUM('Working sheet'!$R342:$T342)</f>
        <v>502</v>
      </c>
      <c r="AI342" s="17">
        <f>SUM('Working sheet'!$U342)</f>
        <v>167.8</v>
      </c>
      <c r="AJ342" s="17">
        <f>SUM('Working sheet'!$V342)</f>
        <v>179.5</v>
      </c>
      <c r="AK342" s="18">
        <f>SUM('Working sheet'!$W342:$AC342)</f>
        <v>1160.4000000000001</v>
      </c>
    </row>
    <row r="343" spans="1:37" x14ac:dyDescent="0.25">
      <c r="A343" s="13" t="s">
        <v>31</v>
      </c>
      <c r="B343" s="14">
        <v>2022</v>
      </c>
      <c r="C343" s="14" t="s">
        <v>37</v>
      </c>
      <c r="D343" s="14">
        <v>156.5</v>
      </c>
      <c r="E343" s="14">
        <v>213</v>
      </c>
      <c r="F343" s="14">
        <v>175.2</v>
      </c>
      <c r="G343" s="14">
        <v>166.6</v>
      </c>
      <c r="H343" s="14">
        <v>195.8</v>
      </c>
      <c r="I343" s="14">
        <v>174.2</v>
      </c>
      <c r="J343" s="14">
        <v>182.1</v>
      </c>
      <c r="K343" s="14">
        <v>164.3</v>
      </c>
      <c r="L343" s="14">
        <v>120</v>
      </c>
      <c r="M343" s="14">
        <v>190</v>
      </c>
      <c r="N343" s="14">
        <v>168.4</v>
      </c>
      <c r="O343" s="14">
        <v>185.2</v>
      </c>
      <c r="P343" s="14">
        <v>175</v>
      </c>
      <c r="Q343" s="14">
        <v>194.6</v>
      </c>
      <c r="R343" s="14">
        <v>178.3</v>
      </c>
      <c r="S343" s="14">
        <v>171.3</v>
      </c>
      <c r="T343" s="14">
        <v>177.3</v>
      </c>
      <c r="U343" s="14">
        <v>167.8</v>
      </c>
      <c r="V343" s="14">
        <v>179.6</v>
      </c>
      <c r="W343" s="14">
        <v>167.4</v>
      </c>
      <c r="X343" s="14">
        <v>176.1</v>
      </c>
      <c r="Y343" s="14">
        <v>161.6</v>
      </c>
      <c r="Z343" s="14">
        <v>166.3</v>
      </c>
      <c r="AA343" s="14">
        <v>171.4</v>
      </c>
      <c r="AB343" s="14">
        <v>169.7</v>
      </c>
      <c r="AC343" s="14">
        <v>168.4</v>
      </c>
      <c r="AD343" s="15">
        <v>173.4</v>
      </c>
      <c r="AF343" s="13">
        <f>SUM('Working sheet'!$D343:$P343)</f>
        <v>2266.3000000000002</v>
      </c>
      <c r="AG343" s="14">
        <f>SUM('Working sheet'!$Q343)</f>
        <v>194.6</v>
      </c>
      <c r="AH343" s="14">
        <f>SUM('Working sheet'!$R343:$T343)</f>
        <v>526.90000000000009</v>
      </c>
      <c r="AI343" s="14">
        <f>SUM('Working sheet'!$U343)</f>
        <v>167.8</v>
      </c>
      <c r="AJ343" s="14">
        <f>SUM('Working sheet'!$V343)</f>
        <v>179.6</v>
      </c>
      <c r="AK343" s="15">
        <f>SUM('Working sheet'!$W343:$AC343)</f>
        <v>1180.9000000000001</v>
      </c>
    </row>
    <row r="344" spans="1:37" hidden="1" x14ac:dyDescent="0.25">
      <c r="A344" s="16" t="s">
        <v>28</v>
      </c>
      <c r="B344" s="17">
        <v>2022</v>
      </c>
      <c r="C344" s="17" t="s">
        <v>38</v>
      </c>
      <c r="D344" s="17">
        <v>159.5</v>
      </c>
      <c r="E344" s="17">
        <v>204.1</v>
      </c>
      <c r="F344" s="17">
        <v>168.3</v>
      </c>
      <c r="G344" s="17">
        <v>167.9</v>
      </c>
      <c r="H344" s="17">
        <v>198.1</v>
      </c>
      <c r="I344" s="17">
        <v>169.2</v>
      </c>
      <c r="J344" s="17">
        <v>173.1</v>
      </c>
      <c r="K344" s="17">
        <v>167.1</v>
      </c>
      <c r="L344" s="17">
        <v>120.2</v>
      </c>
      <c r="M344" s="17">
        <v>195.6</v>
      </c>
      <c r="N344" s="17">
        <v>174.8</v>
      </c>
      <c r="O344" s="17">
        <v>184</v>
      </c>
      <c r="P344" s="17">
        <v>173.9</v>
      </c>
      <c r="Q344" s="17">
        <v>193.7</v>
      </c>
      <c r="R344" s="17">
        <v>183.2</v>
      </c>
      <c r="S344" s="17">
        <v>181.7</v>
      </c>
      <c r="T344" s="17">
        <v>183</v>
      </c>
      <c r="U344" s="17">
        <v>169.3</v>
      </c>
      <c r="V344" s="17">
        <v>179.1</v>
      </c>
      <c r="W344" s="17">
        <v>172.3</v>
      </c>
      <c r="X344" s="17">
        <v>179.4</v>
      </c>
      <c r="Y344" s="17">
        <v>166.6</v>
      </c>
      <c r="Z344" s="17">
        <v>169.3</v>
      </c>
      <c r="AA344" s="17">
        <v>175.7</v>
      </c>
      <c r="AB344" s="17">
        <v>171.1</v>
      </c>
      <c r="AC344" s="17">
        <v>172.6</v>
      </c>
      <c r="AD344" s="18">
        <v>175.3</v>
      </c>
      <c r="AF344" s="16">
        <f>SUM('Working sheet'!$D344:$P344)</f>
        <v>2255.7999999999997</v>
      </c>
      <c r="AG344" s="17">
        <f>SUM('Working sheet'!$Q344)</f>
        <v>193.7</v>
      </c>
      <c r="AH344" s="17">
        <f>SUM('Working sheet'!$R344:$T344)</f>
        <v>547.9</v>
      </c>
      <c r="AI344" s="17">
        <f>SUM('Working sheet'!$U344)</f>
        <v>169.3</v>
      </c>
      <c r="AJ344" s="17">
        <f>SUM('Working sheet'!$V344)</f>
        <v>179.1</v>
      </c>
      <c r="AK344" s="18">
        <f>SUM('Working sheet'!$W344:$AC344)</f>
        <v>1207</v>
      </c>
    </row>
    <row r="345" spans="1:37" hidden="1" x14ac:dyDescent="0.25">
      <c r="A345" s="13" t="s">
        <v>30</v>
      </c>
      <c r="B345" s="14">
        <v>2022</v>
      </c>
      <c r="C345" s="14" t="s">
        <v>38</v>
      </c>
      <c r="D345" s="14">
        <v>162.1</v>
      </c>
      <c r="E345" s="14">
        <v>210.9</v>
      </c>
      <c r="F345" s="14">
        <v>170.6</v>
      </c>
      <c r="G345" s="14">
        <v>168.4</v>
      </c>
      <c r="H345" s="14">
        <v>182.5</v>
      </c>
      <c r="I345" s="14">
        <v>177.1</v>
      </c>
      <c r="J345" s="14">
        <v>213.1</v>
      </c>
      <c r="K345" s="14">
        <v>167.3</v>
      </c>
      <c r="L345" s="14">
        <v>122.2</v>
      </c>
      <c r="M345" s="14">
        <v>189.7</v>
      </c>
      <c r="N345" s="14">
        <v>160.5</v>
      </c>
      <c r="O345" s="14">
        <v>188.9</v>
      </c>
      <c r="P345" s="14">
        <v>180.4</v>
      </c>
      <c r="Q345" s="14">
        <v>198.7</v>
      </c>
      <c r="R345" s="14">
        <v>173.7</v>
      </c>
      <c r="S345" s="14">
        <v>160</v>
      </c>
      <c r="T345" s="14">
        <v>171.6</v>
      </c>
      <c r="U345" s="14">
        <v>169</v>
      </c>
      <c r="V345" s="14">
        <v>178.4</v>
      </c>
      <c r="W345" s="14">
        <v>164.2</v>
      </c>
      <c r="X345" s="14">
        <v>172.6</v>
      </c>
      <c r="Y345" s="14">
        <v>157.69999999999999</v>
      </c>
      <c r="Z345" s="14">
        <v>165.1</v>
      </c>
      <c r="AA345" s="14">
        <v>169.9</v>
      </c>
      <c r="AB345" s="14">
        <v>171.4</v>
      </c>
      <c r="AC345" s="14">
        <v>165.4</v>
      </c>
      <c r="AD345" s="15">
        <v>173.1</v>
      </c>
      <c r="AF345" s="13">
        <f>SUM('Working sheet'!$D345:$P345)</f>
        <v>2293.6999999999998</v>
      </c>
      <c r="AG345" s="14">
        <f>SUM('Working sheet'!$Q345)</f>
        <v>198.7</v>
      </c>
      <c r="AH345" s="14">
        <f>SUM('Working sheet'!$R345:$T345)</f>
        <v>505.29999999999995</v>
      </c>
      <c r="AI345" s="14">
        <f>SUM('Working sheet'!$U345)</f>
        <v>169</v>
      </c>
      <c r="AJ345" s="14">
        <f>SUM('Working sheet'!$V345)</f>
        <v>178.4</v>
      </c>
      <c r="AK345" s="15">
        <f>SUM('Working sheet'!$W345:$AC345)</f>
        <v>1166.3</v>
      </c>
    </row>
    <row r="346" spans="1:37" x14ac:dyDescent="0.25">
      <c r="A346" s="16" t="s">
        <v>31</v>
      </c>
      <c r="B346" s="17">
        <v>2022</v>
      </c>
      <c r="C346" s="17" t="s">
        <v>38</v>
      </c>
      <c r="D346" s="17">
        <v>160.30000000000001</v>
      </c>
      <c r="E346" s="17">
        <v>206.5</v>
      </c>
      <c r="F346" s="17">
        <v>169.2</v>
      </c>
      <c r="G346" s="17">
        <v>168.1</v>
      </c>
      <c r="H346" s="17">
        <v>192.4</v>
      </c>
      <c r="I346" s="17">
        <v>172.9</v>
      </c>
      <c r="J346" s="17">
        <v>186.7</v>
      </c>
      <c r="K346" s="17">
        <v>167.2</v>
      </c>
      <c r="L346" s="17">
        <v>120.9</v>
      </c>
      <c r="M346" s="17">
        <v>193.6</v>
      </c>
      <c r="N346" s="17">
        <v>168.8</v>
      </c>
      <c r="O346" s="17">
        <v>186.3</v>
      </c>
      <c r="P346" s="17">
        <v>176.3</v>
      </c>
      <c r="Q346" s="17">
        <v>195</v>
      </c>
      <c r="R346" s="17">
        <v>179.5</v>
      </c>
      <c r="S346" s="17">
        <v>172.7</v>
      </c>
      <c r="T346" s="17">
        <v>178.5</v>
      </c>
      <c r="U346" s="17">
        <v>169</v>
      </c>
      <c r="V346" s="17">
        <v>178.8</v>
      </c>
      <c r="W346" s="17">
        <v>168.5</v>
      </c>
      <c r="X346" s="17">
        <v>176.8</v>
      </c>
      <c r="Y346" s="17">
        <v>161.9</v>
      </c>
      <c r="Z346" s="17">
        <v>166.9</v>
      </c>
      <c r="AA346" s="17">
        <v>172.3</v>
      </c>
      <c r="AB346" s="17">
        <v>171.2</v>
      </c>
      <c r="AC346" s="17">
        <v>169.1</v>
      </c>
      <c r="AD346" s="18">
        <v>174.3</v>
      </c>
      <c r="AF346" s="16">
        <f>SUM('Working sheet'!$D346:$P346)</f>
        <v>2269.2000000000003</v>
      </c>
      <c r="AG346" s="17">
        <f>SUM('Working sheet'!$Q346)</f>
        <v>195</v>
      </c>
      <c r="AH346" s="17">
        <f>SUM('Working sheet'!$R346:$T346)</f>
        <v>530.70000000000005</v>
      </c>
      <c r="AI346" s="17">
        <f>SUM('Working sheet'!$U346)</f>
        <v>169</v>
      </c>
      <c r="AJ346" s="17">
        <f>SUM('Working sheet'!$V346)</f>
        <v>178.8</v>
      </c>
      <c r="AK346" s="18">
        <f>SUM('Working sheet'!$W346:$AC346)</f>
        <v>1186.7</v>
      </c>
    </row>
    <row r="347" spans="1:37" hidden="1" x14ac:dyDescent="0.25">
      <c r="A347" s="13" t="s">
        <v>28</v>
      </c>
      <c r="B347" s="14">
        <v>2022</v>
      </c>
      <c r="C347" s="14" t="s">
        <v>39</v>
      </c>
      <c r="D347" s="14">
        <v>162.9</v>
      </c>
      <c r="E347" s="14">
        <v>206.7</v>
      </c>
      <c r="F347" s="14">
        <v>169</v>
      </c>
      <c r="G347" s="14">
        <v>169.5</v>
      </c>
      <c r="H347" s="14">
        <v>194.1</v>
      </c>
      <c r="I347" s="14">
        <v>164.1</v>
      </c>
      <c r="J347" s="14">
        <v>176.9</v>
      </c>
      <c r="K347" s="14">
        <v>169</v>
      </c>
      <c r="L347" s="14">
        <v>120.8</v>
      </c>
      <c r="M347" s="14">
        <v>199.1</v>
      </c>
      <c r="N347" s="14">
        <v>175.4</v>
      </c>
      <c r="O347" s="14">
        <v>184.8</v>
      </c>
      <c r="P347" s="14">
        <v>175.5</v>
      </c>
      <c r="Q347" s="14">
        <v>194.5</v>
      </c>
      <c r="R347" s="14">
        <v>184.7</v>
      </c>
      <c r="S347" s="14">
        <v>183.3</v>
      </c>
      <c r="T347" s="14">
        <v>184.5</v>
      </c>
      <c r="U347" s="14">
        <v>170.4</v>
      </c>
      <c r="V347" s="14">
        <v>179.7</v>
      </c>
      <c r="W347" s="14">
        <v>173.6</v>
      </c>
      <c r="X347" s="14">
        <v>180.2</v>
      </c>
      <c r="Y347" s="14">
        <v>166.9</v>
      </c>
      <c r="Z347" s="14">
        <v>170</v>
      </c>
      <c r="AA347" s="14">
        <v>176.2</v>
      </c>
      <c r="AB347" s="14">
        <v>170.8</v>
      </c>
      <c r="AC347" s="14">
        <v>173.1</v>
      </c>
      <c r="AD347" s="15">
        <v>176.4</v>
      </c>
      <c r="AF347" s="13">
        <f>SUM('Working sheet'!$D347:$P347)</f>
        <v>2267.8000000000002</v>
      </c>
      <c r="AG347" s="14">
        <f>SUM('Working sheet'!$Q347)</f>
        <v>194.5</v>
      </c>
      <c r="AH347" s="14">
        <f>SUM('Working sheet'!$R347:$T347)</f>
        <v>552.5</v>
      </c>
      <c r="AI347" s="14">
        <f>SUM('Working sheet'!$U347)</f>
        <v>170.4</v>
      </c>
      <c r="AJ347" s="14">
        <f>SUM('Working sheet'!$V347)</f>
        <v>179.7</v>
      </c>
      <c r="AK347" s="15">
        <f>SUM('Working sheet'!$W347:$AC347)</f>
        <v>1210.7999999999997</v>
      </c>
    </row>
    <row r="348" spans="1:37" hidden="1" x14ac:dyDescent="0.25">
      <c r="A348" s="16" t="s">
        <v>30</v>
      </c>
      <c r="B348" s="17">
        <v>2022</v>
      </c>
      <c r="C348" s="17" t="s">
        <v>39</v>
      </c>
      <c r="D348" s="17">
        <v>164.9</v>
      </c>
      <c r="E348" s="17">
        <v>213.7</v>
      </c>
      <c r="F348" s="17">
        <v>170.9</v>
      </c>
      <c r="G348" s="17">
        <v>170.1</v>
      </c>
      <c r="H348" s="17">
        <v>179.3</v>
      </c>
      <c r="I348" s="17">
        <v>167.5</v>
      </c>
      <c r="J348" s="17">
        <v>220.8</v>
      </c>
      <c r="K348" s="17">
        <v>169.2</v>
      </c>
      <c r="L348" s="17">
        <v>123.1</v>
      </c>
      <c r="M348" s="17">
        <v>193.6</v>
      </c>
      <c r="N348" s="17">
        <v>161.1</v>
      </c>
      <c r="O348" s="17">
        <v>190.4</v>
      </c>
      <c r="P348" s="17">
        <v>181.8</v>
      </c>
      <c r="Q348" s="17">
        <v>199.7</v>
      </c>
      <c r="R348" s="17">
        <v>175</v>
      </c>
      <c r="S348" s="17">
        <v>161.69999999999999</v>
      </c>
      <c r="T348" s="17">
        <v>173</v>
      </c>
      <c r="U348" s="17">
        <v>169.5</v>
      </c>
      <c r="V348" s="17">
        <v>179.2</v>
      </c>
      <c r="W348" s="17">
        <v>165</v>
      </c>
      <c r="X348" s="17">
        <v>173.8</v>
      </c>
      <c r="Y348" s="17">
        <v>158.19999999999999</v>
      </c>
      <c r="Z348" s="17">
        <v>165.8</v>
      </c>
      <c r="AA348" s="17">
        <v>170.9</v>
      </c>
      <c r="AB348" s="17">
        <v>171.1</v>
      </c>
      <c r="AC348" s="17">
        <v>166.1</v>
      </c>
      <c r="AD348" s="18">
        <v>174.1</v>
      </c>
      <c r="AF348" s="16">
        <f>SUM('Working sheet'!$D348:$P348)</f>
        <v>2306.4</v>
      </c>
      <c r="AG348" s="17">
        <f>SUM('Working sheet'!$Q348)</f>
        <v>199.7</v>
      </c>
      <c r="AH348" s="17">
        <f>SUM('Working sheet'!$R348:$T348)</f>
        <v>509.7</v>
      </c>
      <c r="AI348" s="17">
        <f>SUM('Working sheet'!$U348)</f>
        <v>169.5</v>
      </c>
      <c r="AJ348" s="17">
        <f>SUM('Working sheet'!$V348)</f>
        <v>179.2</v>
      </c>
      <c r="AK348" s="18">
        <f>SUM('Working sheet'!$W348:$AC348)</f>
        <v>1170.8999999999999</v>
      </c>
    </row>
    <row r="349" spans="1:37" x14ac:dyDescent="0.25">
      <c r="A349" s="13" t="s">
        <v>31</v>
      </c>
      <c r="B349" s="14">
        <v>2022</v>
      </c>
      <c r="C349" s="14" t="s">
        <v>39</v>
      </c>
      <c r="D349" s="14">
        <v>163.5</v>
      </c>
      <c r="E349" s="14">
        <v>209.2</v>
      </c>
      <c r="F349" s="14">
        <v>169.7</v>
      </c>
      <c r="G349" s="14">
        <v>169.7</v>
      </c>
      <c r="H349" s="14">
        <v>188.7</v>
      </c>
      <c r="I349" s="14">
        <v>165.7</v>
      </c>
      <c r="J349" s="14">
        <v>191.8</v>
      </c>
      <c r="K349" s="14">
        <v>169.1</v>
      </c>
      <c r="L349" s="14">
        <v>121.6</v>
      </c>
      <c r="M349" s="14">
        <v>197.3</v>
      </c>
      <c r="N349" s="14">
        <v>169.4</v>
      </c>
      <c r="O349" s="14">
        <v>187.4</v>
      </c>
      <c r="P349" s="14">
        <v>177.8</v>
      </c>
      <c r="Q349" s="14">
        <v>195.9</v>
      </c>
      <c r="R349" s="14">
        <v>180.9</v>
      </c>
      <c r="S349" s="14">
        <v>174.3</v>
      </c>
      <c r="T349" s="14">
        <v>179.9</v>
      </c>
      <c r="U349" s="14">
        <v>169.5</v>
      </c>
      <c r="V349" s="14">
        <v>179.5</v>
      </c>
      <c r="W349" s="14">
        <v>169.5</v>
      </c>
      <c r="X349" s="14">
        <v>177.8</v>
      </c>
      <c r="Y349" s="14">
        <v>162.30000000000001</v>
      </c>
      <c r="Z349" s="14">
        <v>167.6</v>
      </c>
      <c r="AA349" s="14">
        <v>173.1</v>
      </c>
      <c r="AB349" s="14">
        <v>170.9</v>
      </c>
      <c r="AC349" s="14">
        <v>169.7</v>
      </c>
      <c r="AD349" s="15">
        <v>175.3</v>
      </c>
      <c r="AF349" s="13">
        <f>SUM('Working sheet'!$D349:$P349)</f>
        <v>2280.9</v>
      </c>
      <c r="AG349" s="14">
        <f>SUM('Working sheet'!$Q349)</f>
        <v>195.9</v>
      </c>
      <c r="AH349" s="14">
        <f>SUM('Working sheet'!$R349:$T349)</f>
        <v>535.1</v>
      </c>
      <c r="AI349" s="14">
        <f>SUM('Working sheet'!$U349)</f>
        <v>169.5</v>
      </c>
      <c r="AJ349" s="14">
        <f>SUM('Working sheet'!$V349)</f>
        <v>179.5</v>
      </c>
      <c r="AK349" s="15">
        <f>SUM('Working sheet'!$W349:$AC349)</f>
        <v>1190.9000000000001</v>
      </c>
    </row>
    <row r="350" spans="1:37" hidden="1" x14ac:dyDescent="0.25">
      <c r="A350" s="16" t="s">
        <v>28</v>
      </c>
      <c r="B350" s="17">
        <v>2022</v>
      </c>
      <c r="C350" s="17" t="s">
        <v>40</v>
      </c>
      <c r="D350" s="17">
        <v>164.7</v>
      </c>
      <c r="E350" s="17">
        <v>208.8</v>
      </c>
      <c r="F350" s="17">
        <v>170.3</v>
      </c>
      <c r="G350" s="17">
        <v>170.9</v>
      </c>
      <c r="H350" s="17">
        <v>191.6</v>
      </c>
      <c r="I350" s="17">
        <v>162.19999999999999</v>
      </c>
      <c r="J350" s="17">
        <v>184.8</v>
      </c>
      <c r="K350" s="17">
        <v>169.7</v>
      </c>
      <c r="L350" s="17">
        <v>121.1</v>
      </c>
      <c r="M350" s="17">
        <v>201.6</v>
      </c>
      <c r="N350" s="17">
        <v>175.8</v>
      </c>
      <c r="O350" s="17">
        <v>185.6</v>
      </c>
      <c r="P350" s="17">
        <v>177.4</v>
      </c>
      <c r="Q350" s="17">
        <v>194.9</v>
      </c>
      <c r="R350" s="17">
        <v>186.1</v>
      </c>
      <c r="S350" s="17">
        <v>184.4</v>
      </c>
      <c r="T350" s="17">
        <v>185.9</v>
      </c>
      <c r="U350" s="17">
        <v>171.5</v>
      </c>
      <c r="V350" s="17">
        <v>180.8</v>
      </c>
      <c r="W350" s="17">
        <v>174.4</v>
      </c>
      <c r="X350" s="17">
        <v>181.2</v>
      </c>
      <c r="Y350" s="17">
        <v>167.4</v>
      </c>
      <c r="Z350" s="17">
        <v>170.6</v>
      </c>
      <c r="AA350" s="17">
        <v>176.5</v>
      </c>
      <c r="AB350" s="17">
        <v>172</v>
      </c>
      <c r="AC350" s="17">
        <v>173.9</v>
      </c>
      <c r="AD350" s="18">
        <v>177.9</v>
      </c>
      <c r="AF350" s="16">
        <f>SUM('Working sheet'!$D350:$P350)</f>
        <v>2284.5</v>
      </c>
      <c r="AG350" s="17">
        <f>SUM('Working sheet'!$Q350)</f>
        <v>194.9</v>
      </c>
      <c r="AH350" s="17">
        <f>SUM('Working sheet'!$R350:$T350)</f>
        <v>556.4</v>
      </c>
      <c r="AI350" s="17">
        <f>SUM('Working sheet'!$U350)</f>
        <v>171.5</v>
      </c>
      <c r="AJ350" s="17">
        <f>SUM('Working sheet'!$V350)</f>
        <v>180.8</v>
      </c>
      <c r="AK350" s="18">
        <f>SUM('Working sheet'!$W350:$AC350)</f>
        <v>1216</v>
      </c>
    </row>
    <row r="351" spans="1:37" hidden="1" x14ac:dyDescent="0.25">
      <c r="A351" s="13" t="s">
        <v>30</v>
      </c>
      <c r="B351" s="14">
        <v>2022</v>
      </c>
      <c r="C351" s="14" t="s">
        <v>40</v>
      </c>
      <c r="D351" s="14">
        <v>166.4</v>
      </c>
      <c r="E351" s="14">
        <v>214.9</v>
      </c>
      <c r="F351" s="14">
        <v>171.9</v>
      </c>
      <c r="G351" s="14">
        <v>171</v>
      </c>
      <c r="H351" s="14">
        <v>177.7</v>
      </c>
      <c r="I351" s="14">
        <v>165.7</v>
      </c>
      <c r="J351" s="14">
        <v>228.6</v>
      </c>
      <c r="K351" s="14">
        <v>169.9</v>
      </c>
      <c r="L351" s="14">
        <v>123.4</v>
      </c>
      <c r="M351" s="14">
        <v>196.4</v>
      </c>
      <c r="N351" s="14">
        <v>161.6</v>
      </c>
      <c r="O351" s="14">
        <v>191.5</v>
      </c>
      <c r="P351" s="14">
        <v>183.3</v>
      </c>
      <c r="Q351" s="14">
        <v>200.1</v>
      </c>
      <c r="R351" s="14">
        <v>175.5</v>
      </c>
      <c r="S351" s="14">
        <v>162.6</v>
      </c>
      <c r="T351" s="14">
        <v>173.6</v>
      </c>
      <c r="U351" s="14">
        <v>171.2</v>
      </c>
      <c r="V351" s="14">
        <v>180</v>
      </c>
      <c r="W351" s="14">
        <v>166</v>
      </c>
      <c r="X351" s="14">
        <v>174.7</v>
      </c>
      <c r="Y351" s="14">
        <v>158.80000000000001</v>
      </c>
      <c r="Z351" s="14">
        <v>166.3</v>
      </c>
      <c r="AA351" s="14">
        <v>171.2</v>
      </c>
      <c r="AB351" s="14">
        <v>172.3</v>
      </c>
      <c r="AC351" s="14">
        <v>166.8</v>
      </c>
      <c r="AD351" s="15">
        <v>175.3</v>
      </c>
      <c r="AF351" s="13">
        <f>SUM('Working sheet'!$D351:$P351)</f>
        <v>2322.3000000000002</v>
      </c>
      <c r="AG351" s="14">
        <f>SUM('Working sheet'!$Q351)</f>
        <v>200.1</v>
      </c>
      <c r="AH351" s="14">
        <f>SUM('Working sheet'!$R351:$T351)</f>
        <v>511.70000000000005</v>
      </c>
      <c r="AI351" s="14">
        <f>SUM('Working sheet'!$U351)</f>
        <v>171.2</v>
      </c>
      <c r="AJ351" s="14">
        <f>SUM('Working sheet'!$V351)</f>
        <v>180</v>
      </c>
      <c r="AK351" s="15">
        <f>SUM('Working sheet'!$W351:$AC351)</f>
        <v>1176.0999999999999</v>
      </c>
    </row>
    <row r="352" spans="1:37" x14ac:dyDescent="0.25">
      <c r="A352" s="16" t="s">
        <v>31</v>
      </c>
      <c r="B352" s="17">
        <v>2022</v>
      </c>
      <c r="C352" s="17" t="s">
        <v>40</v>
      </c>
      <c r="D352" s="17">
        <v>165.2</v>
      </c>
      <c r="E352" s="17">
        <v>210.9</v>
      </c>
      <c r="F352" s="17">
        <v>170.9</v>
      </c>
      <c r="G352" s="17">
        <v>170.9</v>
      </c>
      <c r="H352" s="17">
        <v>186.5</v>
      </c>
      <c r="I352" s="17">
        <v>163.80000000000001</v>
      </c>
      <c r="J352" s="17">
        <v>199.7</v>
      </c>
      <c r="K352" s="17">
        <v>169.8</v>
      </c>
      <c r="L352" s="17">
        <v>121.9</v>
      </c>
      <c r="M352" s="17">
        <v>199.9</v>
      </c>
      <c r="N352" s="17">
        <v>169.9</v>
      </c>
      <c r="O352" s="17">
        <v>188.3</v>
      </c>
      <c r="P352" s="17">
        <v>179.6</v>
      </c>
      <c r="Q352" s="17">
        <v>196.3</v>
      </c>
      <c r="R352" s="17">
        <v>181.9</v>
      </c>
      <c r="S352" s="17">
        <v>175.3</v>
      </c>
      <c r="T352" s="17">
        <v>181</v>
      </c>
      <c r="U352" s="17">
        <v>171.2</v>
      </c>
      <c r="V352" s="17">
        <v>180.5</v>
      </c>
      <c r="W352" s="17">
        <v>170.4</v>
      </c>
      <c r="X352" s="17">
        <v>178.7</v>
      </c>
      <c r="Y352" s="17">
        <v>162.9</v>
      </c>
      <c r="Z352" s="17">
        <v>168.2</v>
      </c>
      <c r="AA352" s="17">
        <v>173.4</v>
      </c>
      <c r="AB352" s="17">
        <v>172.1</v>
      </c>
      <c r="AC352" s="17">
        <v>170.5</v>
      </c>
      <c r="AD352" s="18">
        <v>176.7</v>
      </c>
      <c r="AF352" s="16">
        <f>SUM('Working sheet'!$D352:$P352)</f>
        <v>2297.3000000000002</v>
      </c>
      <c r="AG352" s="17">
        <f>SUM('Working sheet'!$Q352)</f>
        <v>196.3</v>
      </c>
      <c r="AH352" s="17">
        <f>SUM('Working sheet'!$R352:$T352)</f>
        <v>538.20000000000005</v>
      </c>
      <c r="AI352" s="17">
        <f>SUM('Working sheet'!$U352)</f>
        <v>171.2</v>
      </c>
      <c r="AJ352" s="17">
        <f>SUM('Working sheet'!$V352)</f>
        <v>180.5</v>
      </c>
      <c r="AK352" s="18">
        <f>SUM('Working sheet'!$W352:$AC352)</f>
        <v>1196.2</v>
      </c>
    </row>
    <row r="353" spans="1:37" hidden="1" x14ac:dyDescent="0.25">
      <c r="A353" s="13" t="s">
        <v>28</v>
      </c>
      <c r="B353" s="14">
        <v>2022</v>
      </c>
      <c r="C353" s="14" t="s">
        <v>42</v>
      </c>
      <c r="D353" s="14">
        <v>166.9</v>
      </c>
      <c r="E353" s="14">
        <v>207.2</v>
      </c>
      <c r="F353" s="14">
        <v>180.2</v>
      </c>
      <c r="G353" s="14">
        <v>172.3</v>
      </c>
      <c r="H353" s="14">
        <v>194</v>
      </c>
      <c r="I353" s="14">
        <v>159.1</v>
      </c>
      <c r="J353" s="14">
        <v>171.6</v>
      </c>
      <c r="K353" s="14">
        <v>170.2</v>
      </c>
      <c r="L353" s="14">
        <v>121.5</v>
      </c>
      <c r="M353" s="14">
        <v>204.8</v>
      </c>
      <c r="N353" s="14">
        <v>176.4</v>
      </c>
      <c r="O353" s="14">
        <v>186.9</v>
      </c>
      <c r="P353" s="14">
        <v>176.6</v>
      </c>
      <c r="Q353" s="14">
        <v>195.5</v>
      </c>
      <c r="R353" s="14">
        <v>187.2</v>
      </c>
      <c r="S353" s="14">
        <v>185.2</v>
      </c>
      <c r="T353" s="14">
        <v>186.9</v>
      </c>
      <c r="U353" s="14">
        <v>171.3</v>
      </c>
      <c r="V353" s="14">
        <v>181.9</v>
      </c>
      <c r="W353" s="14">
        <v>175.5</v>
      </c>
      <c r="X353" s="14">
        <v>182.3</v>
      </c>
      <c r="Y353" s="14">
        <v>167.5</v>
      </c>
      <c r="Z353" s="14">
        <v>170.8</v>
      </c>
      <c r="AA353" s="14">
        <v>176.9</v>
      </c>
      <c r="AB353" s="14">
        <v>173.4</v>
      </c>
      <c r="AC353" s="14">
        <v>174.6</v>
      </c>
      <c r="AD353" s="15">
        <v>177.8</v>
      </c>
      <c r="AF353" s="13">
        <f>SUM('Working sheet'!$D353:$P353)</f>
        <v>2287.6999999999998</v>
      </c>
      <c r="AG353" s="14">
        <f>SUM('Working sheet'!$Q353)</f>
        <v>195.5</v>
      </c>
      <c r="AH353" s="14">
        <f>SUM('Working sheet'!$R353:$T353)</f>
        <v>559.29999999999995</v>
      </c>
      <c r="AI353" s="14">
        <f>SUM('Working sheet'!$U353)</f>
        <v>171.3</v>
      </c>
      <c r="AJ353" s="14">
        <f>SUM('Working sheet'!$V353)</f>
        <v>181.9</v>
      </c>
      <c r="AK353" s="15">
        <f>SUM('Working sheet'!$W353:$AC353)</f>
        <v>1220.9999999999998</v>
      </c>
    </row>
    <row r="354" spans="1:37" hidden="1" x14ac:dyDescent="0.25">
      <c r="A354" s="16" t="s">
        <v>30</v>
      </c>
      <c r="B354" s="17">
        <v>2022</v>
      </c>
      <c r="C354" s="17" t="s">
        <v>42</v>
      </c>
      <c r="D354" s="17">
        <v>168.4</v>
      </c>
      <c r="E354" s="17">
        <v>213.4</v>
      </c>
      <c r="F354" s="17">
        <v>183.2</v>
      </c>
      <c r="G354" s="17">
        <v>172.3</v>
      </c>
      <c r="H354" s="17">
        <v>180</v>
      </c>
      <c r="I354" s="17">
        <v>162.6</v>
      </c>
      <c r="J354" s="17">
        <v>205.5</v>
      </c>
      <c r="K354" s="17">
        <v>171</v>
      </c>
      <c r="L354" s="17">
        <v>123.4</v>
      </c>
      <c r="M354" s="17">
        <v>198.8</v>
      </c>
      <c r="N354" s="17">
        <v>162.1</v>
      </c>
      <c r="O354" s="17">
        <v>192.4</v>
      </c>
      <c r="P354" s="17">
        <v>181.3</v>
      </c>
      <c r="Q354" s="17">
        <v>200.6</v>
      </c>
      <c r="R354" s="17">
        <v>176.7</v>
      </c>
      <c r="S354" s="17">
        <v>163.5</v>
      </c>
      <c r="T354" s="17">
        <v>174.7</v>
      </c>
      <c r="U354" s="17">
        <v>171.8</v>
      </c>
      <c r="V354" s="17">
        <v>180.3</v>
      </c>
      <c r="W354" s="17">
        <v>166.9</v>
      </c>
      <c r="X354" s="17">
        <v>175.8</v>
      </c>
      <c r="Y354" s="17">
        <v>158.9</v>
      </c>
      <c r="Z354" s="17">
        <v>166.7</v>
      </c>
      <c r="AA354" s="17">
        <v>171.5</v>
      </c>
      <c r="AB354" s="17">
        <v>173.8</v>
      </c>
      <c r="AC354" s="17">
        <v>167.4</v>
      </c>
      <c r="AD354" s="18">
        <v>174.1</v>
      </c>
      <c r="AF354" s="16">
        <f>SUM('Working sheet'!$D354:$P354)</f>
        <v>2314.4</v>
      </c>
      <c r="AG354" s="17">
        <f>SUM('Working sheet'!$Q354)</f>
        <v>200.6</v>
      </c>
      <c r="AH354" s="17">
        <f>SUM('Working sheet'!$R354:$T354)</f>
        <v>514.9</v>
      </c>
      <c r="AI354" s="17">
        <f>SUM('Working sheet'!$U354)</f>
        <v>171.8</v>
      </c>
      <c r="AJ354" s="17">
        <f>SUM('Working sheet'!$V354)</f>
        <v>180.3</v>
      </c>
      <c r="AK354" s="18">
        <f>SUM('Working sheet'!$W354:$AC354)</f>
        <v>1181</v>
      </c>
    </row>
    <row r="355" spans="1:37" x14ac:dyDescent="0.25">
      <c r="A355" s="13" t="s">
        <v>31</v>
      </c>
      <c r="B355" s="14">
        <v>2022</v>
      </c>
      <c r="C355" s="14" t="s">
        <v>42</v>
      </c>
      <c r="D355" s="14">
        <v>167.4</v>
      </c>
      <c r="E355" s="14">
        <v>209.4</v>
      </c>
      <c r="F355" s="14">
        <v>181.4</v>
      </c>
      <c r="G355" s="14">
        <v>172.3</v>
      </c>
      <c r="H355" s="14">
        <v>188.9</v>
      </c>
      <c r="I355" s="14">
        <v>160.69999999999999</v>
      </c>
      <c r="J355" s="14">
        <v>183.1</v>
      </c>
      <c r="K355" s="14">
        <v>170.5</v>
      </c>
      <c r="L355" s="14">
        <v>122.1</v>
      </c>
      <c r="M355" s="14">
        <v>202.8</v>
      </c>
      <c r="N355" s="14">
        <v>170.4</v>
      </c>
      <c r="O355" s="14">
        <v>189.5</v>
      </c>
      <c r="P355" s="14">
        <v>178.3</v>
      </c>
      <c r="Q355" s="14">
        <v>196.9</v>
      </c>
      <c r="R355" s="14">
        <v>183.1</v>
      </c>
      <c r="S355" s="14">
        <v>176.2</v>
      </c>
      <c r="T355" s="14">
        <v>182.1</v>
      </c>
      <c r="U355" s="14">
        <v>171.8</v>
      </c>
      <c r="V355" s="14">
        <v>181.3</v>
      </c>
      <c r="W355" s="14">
        <v>171.4</v>
      </c>
      <c r="X355" s="14">
        <v>179.8</v>
      </c>
      <c r="Y355" s="14">
        <v>163</v>
      </c>
      <c r="Z355" s="14">
        <v>168.5</v>
      </c>
      <c r="AA355" s="14">
        <v>173.7</v>
      </c>
      <c r="AB355" s="14">
        <v>173.6</v>
      </c>
      <c r="AC355" s="14">
        <v>171.1</v>
      </c>
      <c r="AD355" s="15">
        <v>176.5</v>
      </c>
      <c r="AF355" s="13">
        <f>SUM('Working sheet'!$D355:$P355)</f>
        <v>2296.8000000000002</v>
      </c>
      <c r="AG355" s="14">
        <f>SUM('Working sheet'!$Q355)</f>
        <v>196.9</v>
      </c>
      <c r="AH355" s="14">
        <f>SUM('Working sheet'!$R355:$T355)</f>
        <v>541.4</v>
      </c>
      <c r="AI355" s="14">
        <f>SUM('Working sheet'!$U355)</f>
        <v>171.8</v>
      </c>
      <c r="AJ355" s="14">
        <f>SUM('Working sheet'!$V355)</f>
        <v>181.3</v>
      </c>
      <c r="AK355" s="15">
        <f>SUM('Working sheet'!$W355:$AC355)</f>
        <v>1201.0999999999999</v>
      </c>
    </row>
    <row r="356" spans="1:37" hidden="1" x14ac:dyDescent="0.25">
      <c r="A356" s="16" t="s">
        <v>28</v>
      </c>
      <c r="B356" s="17">
        <v>2022</v>
      </c>
      <c r="C356" s="17" t="s">
        <v>43</v>
      </c>
      <c r="D356" s="17">
        <v>168.8</v>
      </c>
      <c r="E356" s="17">
        <v>206.9</v>
      </c>
      <c r="F356" s="17">
        <v>189.1</v>
      </c>
      <c r="G356" s="17">
        <v>173.4</v>
      </c>
      <c r="H356" s="17">
        <v>193.9</v>
      </c>
      <c r="I356" s="17">
        <v>156.69999999999999</v>
      </c>
      <c r="J356" s="17">
        <v>150.19999999999999</v>
      </c>
      <c r="K356" s="17">
        <v>170.5</v>
      </c>
      <c r="L356" s="17">
        <v>121.2</v>
      </c>
      <c r="M356" s="17">
        <v>207.5</v>
      </c>
      <c r="N356" s="17">
        <v>176.8</v>
      </c>
      <c r="O356" s="17">
        <v>187.7</v>
      </c>
      <c r="P356" s="17">
        <v>174.4</v>
      </c>
      <c r="Q356" s="17">
        <v>195.9</v>
      </c>
      <c r="R356" s="17">
        <v>188.1</v>
      </c>
      <c r="S356" s="17">
        <v>185.9</v>
      </c>
      <c r="T356" s="17">
        <v>187.8</v>
      </c>
      <c r="U356" s="17">
        <v>171.4</v>
      </c>
      <c r="V356" s="17">
        <v>182.8</v>
      </c>
      <c r="W356" s="17">
        <v>176.4</v>
      </c>
      <c r="X356" s="17">
        <v>183.5</v>
      </c>
      <c r="Y356" s="17">
        <v>167.8</v>
      </c>
      <c r="Z356" s="17">
        <v>171.2</v>
      </c>
      <c r="AA356" s="17">
        <v>177.3</v>
      </c>
      <c r="AB356" s="17">
        <v>175.7</v>
      </c>
      <c r="AC356" s="17">
        <v>175.5</v>
      </c>
      <c r="AD356" s="18">
        <v>177.1</v>
      </c>
      <c r="AF356" s="16">
        <f>SUM('Working sheet'!$D356:$P356)</f>
        <v>2277.1</v>
      </c>
      <c r="AG356" s="17">
        <f>SUM('Working sheet'!$Q356)</f>
        <v>195.9</v>
      </c>
      <c r="AH356" s="17">
        <f>SUM('Working sheet'!$R356:$T356)</f>
        <v>561.79999999999995</v>
      </c>
      <c r="AI356" s="17">
        <f>SUM('Working sheet'!$U356)</f>
        <v>171.4</v>
      </c>
      <c r="AJ356" s="17">
        <f>SUM('Working sheet'!$V356)</f>
        <v>182.8</v>
      </c>
      <c r="AK356" s="18">
        <f>SUM('Working sheet'!$W356:$AC356)</f>
        <v>1227.4000000000001</v>
      </c>
    </row>
    <row r="357" spans="1:37" hidden="1" x14ac:dyDescent="0.25">
      <c r="A357" s="13" t="s">
        <v>30</v>
      </c>
      <c r="B357" s="14">
        <v>2022</v>
      </c>
      <c r="C357" s="14" t="s">
        <v>43</v>
      </c>
      <c r="D357" s="14">
        <v>170.2</v>
      </c>
      <c r="E357" s="14">
        <v>212.9</v>
      </c>
      <c r="F357" s="14">
        <v>191.9</v>
      </c>
      <c r="G357" s="14">
        <v>173.9</v>
      </c>
      <c r="H357" s="14">
        <v>179.1</v>
      </c>
      <c r="I357" s="14">
        <v>159.5</v>
      </c>
      <c r="J357" s="14">
        <v>178.7</v>
      </c>
      <c r="K357" s="14">
        <v>171.3</v>
      </c>
      <c r="L357" s="14">
        <v>123.1</v>
      </c>
      <c r="M357" s="14">
        <v>200.5</v>
      </c>
      <c r="N357" s="14">
        <v>162.80000000000001</v>
      </c>
      <c r="O357" s="14">
        <v>193.3</v>
      </c>
      <c r="P357" s="14">
        <v>178.6</v>
      </c>
      <c r="Q357" s="14">
        <v>201.1</v>
      </c>
      <c r="R357" s="14">
        <v>177.7</v>
      </c>
      <c r="S357" s="14">
        <v>164.5</v>
      </c>
      <c r="T357" s="14">
        <v>175.7</v>
      </c>
      <c r="U357" s="14">
        <v>170.7</v>
      </c>
      <c r="V357" s="14">
        <v>180.6</v>
      </c>
      <c r="W357" s="14">
        <v>167.3</v>
      </c>
      <c r="X357" s="14">
        <v>177.2</v>
      </c>
      <c r="Y357" s="14">
        <v>159.4</v>
      </c>
      <c r="Z357" s="14">
        <v>167.1</v>
      </c>
      <c r="AA357" s="14">
        <v>171.8</v>
      </c>
      <c r="AB357" s="14">
        <v>176</v>
      </c>
      <c r="AC357" s="14">
        <v>168.2</v>
      </c>
      <c r="AD357" s="15">
        <v>174.1</v>
      </c>
      <c r="AF357" s="13">
        <f>SUM('Working sheet'!$D357:$P357)</f>
        <v>2295.7999999999997</v>
      </c>
      <c r="AG357" s="14">
        <f>SUM('Working sheet'!$Q357)</f>
        <v>201.1</v>
      </c>
      <c r="AH357" s="14">
        <f>SUM('Working sheet'!$R357:$T357)</f>
        <v>517.9</v>
      </c>
      <c r="AI357" s="14">
        <f>SUM('Working sheet'!$U357)</f>
        <v>170.7</v>
      </c>
      <c r="AJ357" s="14">
        <f>SUM('Working sheet'!$V357)</f>
        <v>180.6</v>
      </c>
      <c r="AK357" s="15">
        <f>SUM('Working sheet'!$W357:$AC357)</f>
        <v>1187</v>
      </c>
    </row>
    <row r="358" spans="1:37" x14ac:dyDescent="0.25">
      <c r="A358" s="16" t="s">
        <v>31</v>
      </c>
      <c r="B358" s="17">
        <v>2022</v>
      </c>
      <c r="C358" s="17" t="s">
        <v>43</v>
      </c>
      <c r="D358" s="17">
        <v>169.2</v>
      </c>
      <c r="E358" s="17">
        <v>209</v>
      </c>
      <c r="F358" s="17">
        <v>190.2</v>
      </c>
      <c r="G358" s="17">
        <v>173.6</v>
      </c>
      <c r="H358" s="17">
        <v>188.5</v>
      </c>
      <c r="I358" s="17">
        <v>158</v>
      </c>
      <c r="J358" s="17">
        <v>159.9</v>
      </c>
      <c r="K358" s="17">
        <v>170.8</v>
      </c>
      <c r="L358" s="17">
        <v>121.8</v>
      </c>
      <c r="M358" s="17">
        <v>205.2</v>
      </c>
      <c r="N358" s="17">
        <v>171</v>
      </c>
      <c r="O358" s="17">
        <v>190.3</v>
      </c>
      <c r="P358" s="17">
        <v>175.9</v>
      </c>
      <c r="Q358" s="17">
        <v>197.3</v>
      </c>
      <c r="R358" s="17">
        <v>184</v>
      </c>
      <c r="S358" s="17">
        <v>177</v>
      </c>
      <c r="T358" s="17">
        <v>183</v>
      </c>
      <c r="U358" s="17">
        <v>170.7</v>
      </c>
      <c r="V358" s="17">
        <v>182</v>
      </c>
      <c r="W358" s="17">
        <v>172.1</v>
      </c>
      <c r="X358" s="17">
        <v>181.1</v>
      </c>
      <c r="Y358" s="17">
        <v>163.4</v>
      </c>
      <c r="Z358" s="17">
        <v>168.9</v>
      </c>
      <c r="AA358" s="17">
        <v>174.1</v>
      </c>
      <c r="AB358" s="17">
        <v>175.8</v>
      </c>
      <c r="AC358" s="17">
        <v>172</v>
      </c>
      <c r="AD358" s="18">
        <v>175.7</v>
      </c>
      <c r="AF358" s="16">
        <f>SUM('Working sheet'!$D358:$P358)</f>
        <v>2283.4</v>
      </c>
      <c r="AG358" s="17">
        <f>SUM('Working sheet'!$Q358)</f>
        <v>197.3</v>
      </c>
      <c r="AH358" s="17">
        <f>SUM('Working sheet'!$R358:$T358)</f>
        <v>544</v>
      </c>
      <c r="AI358" s="17">
        <f>SUM('Working sheet'!$U358)</f>
        <v>170.7</v>
      </c>
      <c r="AJ358" s="17">
        <f>SUM('Working sheet'!$V358)</f>
        <v>182</v>
      </c>
      <c r="AK358" s="18">
        <f>SUM('Working sheet'!$W358:$AC358)</f>
        <v>1207.4000000000001</v>
      </c>
    </row>
    <row r="359" spans="1:37" hidden="1" x14ac:dyDescent="0.25">
      <c r="A359" s="13" t="s">
        <v>28</v>
      </c>
      <c r="B359" s="14">
        <v>2023</v>
      </c>
      <c r="C359" s="14" t="s">
        <v>29</v>
      </c>
      <c r="D359" s="14">
        <v>174</v>
      </c>
      <c r="E359" s="14">
        <v>208.3</v>
      </c>
      <c r="F359" s="14">
        <v>192.9</v>
      </c>
      <c r="G359" s="14">
        <v>174.3</v>
      </c>
      <c r="H359" s="14">
        <v>192.6</v>
      </c>
      <c r="I359" s="14">
        <v>156.30000000000001</v>
      </c>
      <c r="J359" s="14">
        <v>142.9</v>
      </c>
      <c r="K359" s="14">
        <v>170.7</v>
      </c>
      <c r="L359" s="14">
        <v>120.3</v>
      </c>
      <c r="M359" s="14">
        <v>210.5</v>
      </c>
      <c r="N359" s="14">
        <v>176.9</v>
      </c>
      <c r="O359" s="14">
        <v>188.5</v>
      </c>
      <c r="P359" s="14">
        <v>175</v>
      </c>
      <c r="Q359" s="14">
        <v>196.9</v>
      </c>
      <c r="R359" s="14">
        <v>189</v>
      </c>
      <c r="S359" s="14">
        <v>186.3</v>
      </c>
      <c r="T359" s="14">
        <v>188.6</v>
      </c>
      <c r="U359" s="14">
        <v>172.8</v>
      </c>
      <c r="V359" s="14">
        <v>183.2</v>
      </c>
      <c r="W359" s="14">
        <v>177.2</v>
      </c>
      <c r="X359" s="14">
        <v>184.7</v>
      </c>
      <c r="Y359" s="14">
        <v>168.2</v>
      </c>
      <c r="Z359" s="14">
        <v>171.8</v>
      </c>
      <c r="AA359" s="14">
        <v>177.8</v>
      </c>
      <c r="AB359" s="14">
        <v>178.4</v>
      </c>
      <c r="AC359" s="14">
        <v>176.5</v>
      </c>
      <c r="AD359" s="15">
        <v>177.8</v>
      </c>
      <c r="AF359" s="13">
        <f>SUM('Working sheet'!$D359:$P359)</f>
        <v>2283.2000000000003</v>
      </c>
      <c r="AG359" s="14">
        <f>SUM('Working sheet'!$Q359)</f>
        <v>196.9</v>
      </c>
      <c r="AH359" s="14">
        <f>SUM('Working sheet'!$R359:$T359)</f>
        <v>563.9</v>
      </c>
      <c r="AI359" s="14">
        <f>SUM('Working sheet'!$U359)</f>
        <v>172.8</v>
      </c>
      <c r="AJ359" s="14">
        <f>SUM('Working sheet'!$V359)</f>
        <v>183.2</v>
      </c>
      <c r="AK359" s="15">
        <f>SUM('Working sheet'!$W359:$AC359)</f>
        <v>1234.5999999999999</v>
      </c>
    </row>
    <row r="360" spans="1:37" hidden="1" x14ac:dyDescent="0.25">
      <c r="A360" s="16" t="s">
        <v>30</v>
      </c>
      <c r="B360" s="17">
        <v>2023</v>
      </c>
      <c r="C360" s="17" t="s">
        <v>29</v>
      </c>
      <c r="D360" s="17">
        <v>173.3</v>
      </c>
      <c r="E360" s="17">
        <v>215.2</v>
      </c>
      <c r="F360" s="17">
        <v>197</v>
      </c>
      <c r="G360" s="17">
        <v>175.2</v>
      </c>
      <c r="H360" s="17">
        <v>178</v>
      </c>
      <c r="I360" s="17">
        <v>160.5</v>
      </c>
      <c r="J360" s="17">
        <v>175.3</v>
      </c>
      <c r="K360" s="17">
        <v>171.2</v>
      </c>
      <c r="L360" s="17">
        <v>122.7</v>
      </c>
      <c r="M360" s="17">
        <v>204.3</v>
      </c>
      <c r="N360" s="17">
        <v>163.69999999999999</v>
      </c>
      <c r="O360" s="17">
        <v>194.3</v>
      </c>
      <c r="P360" s="17">
        <v>179.5</v>
      </c>
      <c r="Q360" s="17">
        <v>201.6</v>
      </c>
      <c r="R360" s="17">
        <v>178.7</v>
      </c>
      <c r="S360" s="17">
        <v>165.3</v>
      </c>
      <c r="T360" s="17">
        <v>176.6</v>
      </c>
      <c r="U360" s="17">
        <v>172.1</v>
      </c>
      <c r="V360" s="17">
        <v>180.1</v>
      </c>
      <c r="W360" s="17">
        <v>168</v>
      </c>
      <c r="X360" s="17">
        <v>178.5</v>
      </c>
      <c r="Y360" s="17">
        <v>159.5</v>
      </c>
      <c r="Z360" s="17">
        <v>167.8</v>
      </c>
      <c r="AA360" s="17">
        <v>171.8</v>
      </c>
      <c r="AB360" s="17">
        <v>178.8</v>
      </c>
      <c r="AC360" s="17">
        <v>168.9</v>
      </c>
      <c r="AD360" s="18">
        <v>174.9</v>
      </c>
      <c r="AF360" s="16">
        <f>SUM('Working sheet'!$D360:$P360)</f>
        <v>2310.2000000000003</v>
      </c>
      <c r="AG360" s="17">
        <f>SUM('Working sheet'!$Q360)</f>
        <v>201.6</v>
      </c>
      <c r="AH360" s="17">
        <f>SUM('Working sheet'!$R360:$T360)</f>
        <v>520.6</v>
      </c>
      <c r="AI360" s="17">
        <f>SUM('Working sheet'!$U360)</f>
        <v>172.1</v>
      </c>
      <c r="AJ360" s="17">
        <f>SUM('Working sheet'!$V360)</f>
        <v>180.1</v>
      </c>
      <c r="AK360" s="18">
        <f>SUM('Working sheet'!$W360:$AC360)</f>
        <v>1193.3</v>
      </c>
    </row>
    <row r="361" spans="1:37" x14ac:dyDescent="0.25">
      <c r="A361" s="13" t="s">
        <v>31</v>
      </c>
      <c r="B361" s="14">
        <v>2023</v>
      </c>
      <c r="C361" s="14" t="s">
        <v>29</v>
      </c>
      <c r="D361" s="14">
        <v>173.8</v>
      </c>
      <c r="E361" s="14">
        <v>210.7</v>
      </c>
      <c r="F361" s="14">
        <v>194.5</v>
      </c>
      <c r="G361" s="14">
        <v>174.6</v>
      </c>
      <c r="H361" s="14">
        <v>187.2</v>
      </c>
      <c r="I361" s="14">
        <v>158.30000000000001</v>
      </c>
      <c r="J361" s="14">
        <v>153.9</v>
      </c>
      <c r="K361" s="14">
        <v>170.9</v>
      </c>
      <c r="L361" s="14">
        <v>121.1</v>
      </c>
      <c r="M361" s="14">
        <v>208.4</v>
      </c>
      <c r="N361" s="14">
        <v>171.4</v>
      </c>
      <c r="O361" s="14">
        <v>191.2</v>
      </c>
      <c r="P361" s="14">
        <v>176.7</v>
      </c>
      <c r="Q361" s="14">
        <v>198.2</v>
      </c>
      <c r="R361" s="14">
        <v>184.9</v>
      </c>
      <c r="S361" s="14">
        <v>177.6</v>
      </c>
      <c r="T361" s="14">
        <v>183.8</v>
      </c>
      <c r="U361" s="14">
        <v>172.1</v>
      </c>
      <c r="V361" s="14">
        <v>182</v>
      </c>
      <c r="W361" s="14">
        <v>172.9</v>
      </c>
      <c r="X361" s="14">
        <v>182.3</v>
      </c>
      <c r="Y361" s="14">
        <v>163.6</v>
      </c>
      <c r="Z361" s="14">
        <v>169.5</v>
      </c>
      <c r="AA361" s="14">
        <v>174.3</v>
      </c>
      <c r="AB361" s="14">
        <v>178.6</v>
      </c>
      <c r="AC361" s="14">
        <v>172.8</v>
      </c>
      <c r="AD361" s="15">
        <v>176.5</v>
      </c>
      <c r="AF361" s="13">
        <f>SUM('Working sheet'!$D361:$P361)</f>
        <v>2292.6999999999998</v>
      </c>
      <c r="AG361" s="14">
        <f>SUM('Working sheet'!$Q361)</f>
        <v>198.2</v>
      </c>
      <c r="AH361" s="14">
        <f>SUM('Working sheet'!$R361:$T361)</f>
        <v>546.29999999999995</v>
      </c>
      <c r="AI361" s="14">
        <f>SUM('Working sheet'!$U361)</f>
        <v>172.1</v>
      </c>
      <c r="AJ361" s="14">
        <f>SUM('Working sheet'!$V361)</f>
        <v>182</v>
      </c>
      <c r="AK361" s="15">
        <f>SUM('Working sheet'!$W361:$AC361)</f>
        <v>1214</v>
      </c>
    </row>
    <row r="362" spans="1:37" hidden="1" x14ac:dyDescent="0.25">
      <c r="A362" s="16" t="s">
        <v>28</v>
      </c>
      <c r="B362" s="17">
        <v>2023</v>
      </c>
      <c r="C362" s="17" t="s">
        <v>32</v>
      </c>
      <c r="D362" s="17">
        <v>174.2</v>
      </c>
      <c r="E362" s="17">
        <v>205.2</v>
      </c>
      <c r="F362" s="17">
        <v>173.9</v>
      </c>
      <c r="G362" s="17">
        <v>177</v>
      </c>
      <c r="H362" s="17">
        <v>183.4</v>
      </c>
      <c r="I362" s="17">
        <v>167.2</v>
      </c>
      <c r="J362" s="17">
        <v>140.9</v>
      </c>
      <c r="K362" s="17">
        <v>170.4</v>
      </c>
      <c r="L362" s="17">
        <v>119.1</v>
      </c>
      <c r="M362" s="17">
        <v>212.1</v>
      </c>
      <c r="N362" s="17">
        <v>177.6</v>
      </c>
      <c r="O362" s="17">
        <v>189.9</v>
      </c>
      <c r="P362" s="17">
        <v>174.8</v>
      </c>
      <c r="Q362" s="17">
        <v>198.3</v>
      </c>
      <c r="R362" s="17">
        <v>190</v>
      </c>
      <c r="S362" s="17">
        <v>187</v>
      </c>
      <c r="T362" s="17">
        <v>189.6</v>
      </c>
      <c r="U362" s="17">
        <v>173.5</v>
      </c>
      <c r="V362" s="17">
        <v>181.6</v>
      </c>
      <c r="W362" s="17">
        <v>178.6</v>
      </c>
      <c r="X362" s="17">
        <v>186.6</v>
      </c>
      <c r="Y362" s="17">
        <v>169</v>
      </c>
      <c r="Z362" s="17">
        <v>172.8</v>
      </c>
      <c r="AA362" s="17">
        <v>178.5</v>
      </c>
      <c r="AB362" s="17">
        <v>180.7</v>
      </c>
      <c r="AC362" s="17">
        <v>177.9</v>
      </c>
      <c r="AD362" s="18">
        <v>178</v>
      </c>
      <c r="AF362" s="16">
        <f>SUM('Working sheet'!$D362:$P362)</f>
        <v>2265.6999999999998</v>
      </c>
      <c r="AG362" s="17">
        <f>SUM('Working sheet'!$Q362)</f>
        <v>198.3</v>
      </c>
      <c r="AH362" s="17">
        <f>SUM('Working sheet'!$R362:$T362)</f>
        <v>566.6</v>
      </c>
      <c r="AI362" s="17">
        <f>SUM('Working sheet'!$U362)</f>
        <v>173.5</v>
      </c>
      <c r="AJ362" s="17">
        <f>SUM('Working sheet'!$V362)</f>
        <v>181.6</v>
      </c>
      <c r="AK362" s="18">
        <f>SUM('Working sheet'!$W362:$AC362)</f>
        <v>1244.1000000000001</v>
      </c>
    </row>
    <row r="363" spans="1:37" hidden="1" x14ac:dyDescent="0.25">
      <c r="A363" s="13" t="s">
        <v>30</v>
      </c>
      <c r="B363" s="14">
        <v>2023</v>
      </c>
      <c r="C363" s="14" t="s">
        <v>32</v>
      </c>
      <c r="D363" s="14">
        <v>174.7</v>
      </c>
      <c r="E363" s="14">
        <v>212.2</v>
      </c>
      <c r="F363" s="14">
        <v>177.2</v>
      </c>
      <c r="G363" s="14">
        <v>177.9</v>
      </c>
      <c r="H363" s="14">
        <v>172.2</v>
      </c>
      <c r="I363" s="14">
        <v>172.1</v>
      </c>
      <c r="J363" s="14">
        <v>175.8</v>
      </c>
      <c r="K363" s="14">
        <v>172.2</v>
      </c>
      <c r="L363" s="14">
        <v>121.9</v>
      </c>
      <c r="M363" s="14">
        <v>204.8</v>
      </c>
      <c r="N363" s="14">
        <v>164.9</v>
      </c>
      <c r="O363" s="14">
        <v>196.6</v>
      </c>
      <c r="P363" s="14">
        <v>180.7</v>
      </c>
      <c r="Q363" s="14">
        <v>202.7</v>
      </c>
      <c r="R363" s="14">
        <v>180.3</v>
      </c>
      <c r="S363" s="14">
        <v>167</v>
      </c>
      <c r="T363" s="14">
        <v>178.2</v>
      </c>
      <c r="U363" s="14">
        <v>173.5</v>
      </c>
      <c r="V363" s="14">
        <v>182.8</v>
      </c>
      <c r="W363" s="14">
        <v>169.2</v>
      </c>
      <c r="X363" s="14">
        <v>180.8</v>
      </c>
      <c r="Y363" s="14">
        <v>159.80000000000001</v>
      </c>
      <c r="Z363" s="14">
        <v>168.4</v>
      </c>
      <c r="AA363" s="14">
        <v>172.5</v>
      </c>
      <c r="AB363" s="14">
        <v>181.4</v>
      </c>
      <c r="AC363" s="14">
        <v>170</v>
      </c>
      <c r="AD363" s="15">
        <v>176.3</v>
      </c>
      <c r="AF363" s="13">
        <f>SUM('Working sheet'!$D363:$P363)</f>
        <v>2303.1999999999998</v>
      </c>
      <c r="AG363" s="14">
        <f>SUM('Working sheet'!$Q363)</f>
        <v>202.7</v>
      </c>
      <c r="AH363" s="14">
        <f>SUM('Working sheet'!$R363:$T363)</f>
        <v>525.5</v>
      </c>
      <c r="AI363" s="14">
        <f>SUM('Working sheet'!$U363)</f>
        <v>173.5</v>
      </c>
      <c r="AJ363" s="14">
        <f>SUM('Working sheet'!$V363)</f>
        <v>182.8</v>
      </c>
      <c r="AK363" s="15">
        <f>SUM('Working sheet'!$W363:$AC363)</f>
        <v>1202.1000000000001</v>
      </c>
    </row>
    <row r="364" spans="1:37" x14ac:dyDescent="0.25">
      <c r="A364" s="16" t="s">
        <v>31</v>
      </c>
      <c r="B364" s="17">
        <v>2023</v>
      </c>
      <c r="C364" s="17" t="s">
        <v>32</v>
      </c>
      <c r="D364" s="17">
        <v>174.4</v>
      </c>
      <c r="E364" s="17">
        <v>207.7</v>
      </c>
      <c r="F364" s="17">
        <v>175.2</v>
      </c>
      <c r="G364" s="17">
        <v>177.3</v>
      </c>
      <c r="H364" s="17">
        <v>179.3</v>
      </c>
      <c r="I364" s="17">
        <v>169.5</v>
      </c>
      <c r="J364" s="17">
        <v>152.69999999999999</v>
      </c>
      <c r="K364" s="17">
        <v>171</v>
      </c>
      <c r="L364" s="17">
        <v>120</v>
      </c>
      <c r="M364" s="17">
        <v>209.7</v>
      </c>
      <c r="N364" s="17">
        <v>172.3</v>
      </c>
      <c r="O364" s="17">
        <v>193</v>
      </c>
      <c r="P364" s="17">
        <v>177</v>
      </c>
      <c r="Q364" s="17">
        <v>199.5</v>
      </c>
      <c r="R364" s="17">
        <v>186.2</v>
      </c>
      <c r="S364" s="17">
        <v>178.7</v>
      </c>
      <c r="T364" s="17">
        <v>185.1</v>
      </c>
      <c r="U364" s="17">
        <v>173.5</v>
      </c>
      <c r="V364" s="17">
        <v>182.1</v>
      </c>
      <c r="W364" s="17">
        <v>174.2</v>
      </c>
      <c r="X364" s="17">
        <v>184.4</v>
      </c>
      <c r="Y364" s="17">
        <v>164.2</v>
      </c>
      <c r="Z364" s="17">
        <v>170.3</v>
      </c>
      <c r="AA364" s="17">
        <v>175</v>
      </c>
      <c r="AB364" s="17">
        <v>181</v>
      </c>
      <c r="AC364" s="17">
        <v>174.1</v>
      </c>
      <c r="AD364" s="18">
        <v>177.2</v>
      </c>
      <c r="AF364" s="16">
        <f>SUM('Working sheet'!$D364:$P364)</f>
        <v>2279.1</v>
      </c>
      <c r="AG364" s="17">
        <f>SUM('Working sheet'!$Q364)</f>
        <v>199.5</v>
      </c>
      <c r="AH364" s="17">
        <f>SUM('Working sheet'!$R364:$T364)</f>
        <v>550</v>
      </c>
      <c r="AI364" s="17">
        <f>SUM('Working sheet'!$U364)</f>
        <v>173.5</v>
      </c>
      <c r="AJ364" s="17">
        <f>SUM('Working sheet'!$V364)</f>
        <v>182.1</v>
      </c>
      <c r="AK364" s="18">
        <f>SUM('Working sheet'!$W364:$AC364)</f>
        <v>1223.1999999999998</v>
      </c>
    </row>
    <row r="365" spans="1:37" hidden="1" x14ac:dyDescent="0.25">
      <c r="A365" s="13" t="s">
        <v>28</v>
      </c>
      <c r="B365" s="14">
        <v>2023</v>
      </c>
      <c r="C365" s="14" t="s">
        <v>33</v>
      </c>
      <c r="D365" s="14">
        <v>174.3</v>
      </c>
      <c r="E365" s="14">
        <v>205.2</v>
      </c>
      <c r="F365" s="14">
        <v>173.9</v>
      </c>
      <c r="G365" s="14">
        <v>177</v>
      </c>
      <c r="H365" s="14">
        <v>183.3</v>
      </c>
      <c r="I365" s="14">
        <v>167.2</v>
      </c>
      <c r="J365" s="14">
        <v>140.9</v>
      </c>
      <c r="K365" s="14">
        <v>170.5</v>
      </c>
      <c r="L365" s="14">
        <v>119.1</v>
      </c>
      <c r="M365" s="14">
        <v>212.1</v>
      </c>
      <c r="N365" s="14">
        <v>177.6</v>
      </c>
      <c r="O365" s="14">
        <v>189.9</v>
      </c>
      <c r="P365" s="14">
        <v>174.8</v>
      </c>
      <c r="Q365" s="14">
        <v>198.4</v>
      </c>
      <c r="R365" s="14">
        <v>190</v>
      </c>
      <c r="S365" s="14">
        <v>187</v>
      </c>
      <c r="T365" s="14">
        <v>189.6</v>
      </c>
      <c r="U365" s="14">
        <v>174.4</v>
      </c>
      <c r="V365" s="14">
        <v>181.4</v>
      </c>
      <c r="W365" s="14">
        <v>178.6</v>
      </c>
      <c r="X365" s="14">
        <v>186.6</v>
      </c>
      <c r="Y365" s="14">
        <v>169</v>
      </c>
      <c r="Z365" s="14">
        <v>172.8</v>
      </c>
      <c r="AA365" s="14">
        <v>178.5</v>
      </c>
      <c r="AB365" s="14">
        <v>180.7</v>
      </c>
      <c r="AC365" s="14">
        <v>177.9</v>
      </c>
      <c r="AD365" s="15">
        <v>178</v>
      </c>
      <c r="AF365" s="13">
        <f>SUM('Working sheet'!$D365:$P365)</f>
        <v>2265.8000000000002</v>
      </c>
      <c r="AG365" s="14">
        <f>SUM('Working sheet'!$Q365)</f>
        <v>198.4</v>
      </c>
      <c r="AH365" s="14">
        <f>SUM('Working sheet'!$R365:$T365)</f>
        <v>566.6</v>
      </c>
      <c r="AI365" s="14">
        <f>SUM('Working sheet'!$U365)</f>
        <v>174.4</v>
      </c>
      <c r="AJ365" s="14">
        <f>SUM('Working sheet'!$V365)</f>
        <v>181.4</v>
      </c>
      <c r="AK365" s="15">
        <f>SUM('Working sheet'!$W365:$AC365)</f>
        <v>1244.1000000000001</v>
      </c>
    </row>
    <row r="366" spans="1:37" hidden="1" x14ac:dyDescent="0.25">
      <c r="A366" s="16" t="s">
        <v>30</v>
      </c>
      <c r="B366" s="17">
        <v>2023</v>
      </c>
      <c r="C366" s="17" t="s">
        <v>33</v>
      </c>
      <c r="D366" s="17">
        <v>174.7</v>
      </c>
      <c r="E366" s="17">
        <v>212.2</v>
      </c>
      <c r="F366" s="17">
        <v>177.2</v>
      </c>
      <c r="G366" s="17">
        <v>177.9</v>
      </c>
      <c r="H366" s="17">
        <v>172.2</v>
      </c>
      <c r="I366" s="17">
        <v>172.1</v>
      </c>
      <c r="J366" s="17">
        <v>175.9</v>
      </c>
      <c r="K366" s="17">
        <v>172.2</v>
      </c>
      <c r="L366" s="17">
        <v>121.9</v>
      </c>
      <c r="M366" s="17">
        <v>204.8</v>
      </c>
      <c r="N366" s="17">
        <v>164.9</v>
      </c>
      <c r="O366" s="17">
        <v>196.6</v>
      </c>
      <c r="P366" s="17">
        <v>180.8</v>
      </c>
      <c r="Q366" s="17">
        <v>202.7</v>
      </c>
      <c r="R366" s="17">
        <v>180.2</v>
      </c>
      <c r="S366" s="17">
        <v>167</v>
      </c>
      <c r="T366" s="17">
        <v>178.2</v>
      </c>
      <c r="U366" s="17">
        <v>173.5</v>
      </c>
      <c r="V366" s="17">
        <v>182.6</v>
      </c>
      <c r="W366" s="17">
        <v>169.2</v>
      </c>
      <c r="X366" s="17">
        <v>180.8</v>
      </c>
      <c r="Y366" s="17">
        <v>159.80000000000001</v>
      </c>
      <c r="Z366" s="17">
        <v>168.4</v>
      </c>
      <c r="AA366" s="17">
        <v>172.5</v>
      </c>
      <c r="AB366" s="17">
        <v>181.5</v>
      </c>
      <c r="AC366" s="17">
        <v>170</v>
      </c>
      <c r="AD366" s="18">
        <v>176.3</v>
      </c>
      <c r="AF366" s="16">
        <f>SUM('Working sheet'!$D366:$P366)</f>
        <v>2303.4</v>
      </c>
      <c r="AG366" s="17">
        <f>SUM('Working sheet'!$Q366)</f>
        <v>202.7</v>
      </c>
      <c r="AH366" s="17">
        <f>SUM('Working sheet'!$R366:$T366)</f>
        <v>525.4</v>
      </c>
      <c r="AI366" s="17">
        <f>SUM('Working sheet'!$U366)</f>
        <v>173.5</v>
      </c>
      <c r="AJ366" s="17">
        <f>SUM('Working sheet'!$V366)</f>
        <v>182.6</v>
      </c>
      <c r="AK366" s="18">
        <f>SUM('Working sheet'!$W366:$AC366)</f>
        <v>1202.2</v>
      </c>
    </row>
    <row r="367" spans="1:37" x14ac:dyDescent="0.25">
      <c r="A367" s="13" t="s">
        <v>31</v>
      </c>
      <c r="B367" s="14">
        <v>2023</v>
      </c>
      <c r="C367" s="14" t="s">
        <v>33</v>
      </c>
      <c r="D367" s="14">
        <v>174.4</v>
      </c>
      <c r="E367" s="14">
        <v>207.7</v>
      </c>
      <c r="F367" s="14">
        <v>175.2</v>
      </c>
      <c r="G367" s="14">
        <v>177.3</v>
      </c>
      <c r="H367" s="14">
        <v>179.2</v>
      </c>
      <c r="I367" s="14">
        <v>169.5</v>
      </c>
      <c r="J367" s="14">
        <v>152.80000000000001</v>
      </c>
      <c r="K367" s="14">
        <v>171.1</v>
      </c>
      <c r="L367" s="14">
        <v>120</v>
      </c>
      <c r="M367" s="14">
        <v>209.7</v>
      </c>
      <c r="N367" s="14">
        <v>172.3</v>
      </c>
      <c r="O367" s="14">
        <v>193</v>
      </c>
      <c r="P367" s="14">
        <v>177</v>
      </c>
      <c r="Q367" s="14">
        <v>199.5</v>
      </c>
      <c r="R367" s="14">
        <v>186.1</v>
      </c>
      <c r="S367" s="14">
        <v>178.7</v>
      </c>
      <c r="T367" s="14">
        <v>185.1</v>
      </c>
      <c r="U367" s="14">
        <v>173.5</v>
      </c>
      <c r="V367" s="14">
        <v>181.9</v>
      </c>
      <c r="W367" s="14">
        <v>174.2</v>
      </c>
      <c r="X367" s="14">
        <v>184.4</v>
      </c>
      <c r="Y367" s="14">
        <v>164.2</v>
      </c>
      <c r="Z367" s="14">
        <v>170.3</v>
      </c>
      <c r="AA367" s="14">
        <v>175</v>
      </c>
      <c r="AB367" s="14">
        <v>181</v>
      </c>
      <c r="AC367" s="14">
        <v>174.1</v>
      </c>
      <c r="AD367" s="15">
        <v>177.2</v>
      </c>
      <c r="AF367" s="13">
        <f>SUM('Working sheet'!$D367:$P367)</f>
        <v>2279.1999999999998</v>
      </c>
      <c r="AG367" s="14">
        <f>SUM('Working sheet'!$Q367)</f>
        <v>199.5</v>
      </c>
      <c r="AH367" s="14">
        <f>SUM('Working sheet'!$R367:$T367)</f>
        <v>549.9</v>
      </c>
      <c r="AI367" s="14">
        <f>SUM('Working sheet'!$U367)</f>
        <v>173.5</v>
      </c>
      <c r="AJ367" s="14">
        <f>SUM('Working sheet'!$V367)</f>
        <v>181.9</v>
      </c>
      <c r="AK367" s="15">
        <f>SUM('Working sheet'!$W367:$AC367)</f>
        <v>1223.1999999999998</v>
      </c>
    </row>
    <row r="368" spans="1:37" hidden="1" x14ac:dyDescent="0.25">
      <c r="A368" s="16" t="s">
        <v>28</v>
      </c>
      <c r="B368" s="17">
        <v>2023</v>
      </c>
      <c r="C368" s="17" t="s">
        <v>34</v>
      </c>
      <c r="D368" s="17">
        <v>173.3</v>
      </c>
      <c r="E368" s="17">
        <v>206.9</v>
      </c>
      <c r="F368" s="17">
        <v>167.9</v>
      </c>
      <c r="G368" s="17">
        <v>178.2</v>
      </c>
      <c r="H368" s="17">
        <v>178.5</v>
      </c>
      <c r="I368" s="17">
        <v>173.7</v>
      </c>
      <c r="J368" s="17">
        <v>142.80000000000001</v>
      </c>
      <c r="K368" s="17">
        <v>172.8</v>
      </c>
      <c r="L368" s="17">
        <v>120.4</v>
      </c>
      <c r="M368" s="17">
        <v>215.5</v>
      </c>
      <c r="N368" s="17">
        <v>178.2</v>
      </c>
      <c r="O368" s="17">
        <v>190.5</v>
      </c>
      <c r="P368" s="17">
        <v>175.5</v>
      </c>
      <c r="Q368" s="17">
        <v>199.5</v>
      </c>
      <c r="R368" s="17">
        <v>190.7</v>
      </c>
      <c r="S368" s="17">
        <v>187.3</v>
      </c>
      <c r="T368" s="17">
        <v>190.2</v>
      </c>
      <c r="U368" s="17">
        <v>174.4</v>
      </c>
      <c r="V368" s="17">
        <v>181.5</v>
      </c>
      <c r="W368" s="17">
        <v>179.1</v>
      </c>
      <c r="X368" s="17">
        <v>187.2</v>
      </c>
      <c r="Y368" s="17">
        <v>169.4</v>
      </c>
      <c r="Z368" s="17">
        <v>173.2</v>
      </c>
      <c r="AA368" s="17">
        <v>179.4</v>
      </c>
      <c r="AB368" s="17">
        <v>183.8</v>
      </c>
      <c r="AC368" s="17">
        <v>178.9</v>
      </c>
      <c r="AD368" s="18">
        <v>178.8</v>
      </c>
      <c r="AF368" s="16">
        <f>SUM('Working sheet'!$D368:$P368)</f>
        <v>2274.1999999999998</v>
      </c>
      <c r="AG368" s="17">
        <f>SUM('Working sheet'!$Q368)</f>
        <v>199.5</v>
      </c>
      <c r="AH368" s="17">
        <f>SUM('Working sheet'!$R368:$T368)</f>
        <v>568.20000000000005</v>
      </c>
      <c r="AI368" s="17">
        <f>SUM('Working sheet'!$U368)</f>
        <v>174.4</v>
      </c>
      <c r="AJ368" s="17">
        <f>SUM('Working sheet'!$V368)</f>
        <v>181.5</v>
      </c>
      <c r="AK368" s="18">
        <f>SUM('Working sheet'!$W368:$AC368)</f>
        <v>1251</v>
      </c>
    </row>
    <row r="369" spans="1:37" hidden="1" x14ac:dyDescent="0.25">
      <c r="A369" s="13" t="s">
        <v>30</v>
      </c>
      <c r="B369" s="14">
        <v>2023</v>
      </c>
      <c r="C369" s="14" t="s">
        <v>34</v>
      </c>
      <c r="D369" s="14">
        <v>174.8</v>
      </c>
      <c r="E369" s="14">
        <v>213.7</v>
      </c>
      <c r="F369" s="14">
        <v>172.4</v>
      </c>
      <c r="G369" s="14">
        <v>178.8</v>
      </c>
      <c r="H369" s="14">
        <v>168.7</v>
      </c>
      <c r="I369" s="14">
        <v>179.2</v>
      </c>
      <c r="J369" s="14">
        <v>179.9</v>
      </c>
      <c r="K369" s="14">
        <v>174.7</v>
      </c>
      <c r="L369" s="14">
        <v>123.1</v>
      </c>
      <c r="M369" s="14">
        <v>207.8</v>
      </c>
      <c r="N369" s="14">
        <v>165.5</v>
      </c>
      <c r="O369" s="14">
        <v>197</v>
      </c>
      <c r="P369" s="14">
        <v>182.1</v>
      </c>
      <c r="Q369" s="14">
        <v>203.5</v>
      </c>
      <c r="R369" s="14">
        <v>181</v>
      </c>
      <c r="S369" s="14">
        <v>167.7</v>
      </c>
      <c r="T369" s="14">
        <v>178.9</v>
      </c>
      <c r="U369" s="14">
        <v>175.2</v>
      </c>
      <c r="V369" s="14">
        <v>182.1</v>
      </c>
      <c r="W369" s="14">
        <v>169.6</v>
      </c>
      <c r="X369" s="14">
        <v>181.5</v>
      </c>
      <c r="Y369" s="14">
        <v>160.1</v>
      </c>
      <c r="Z369" s="14">
        <v>168.8</v>
      </c>
      <c r="AA369" s="14">
        <v>174.2</v>
      </c>
      <c r="AB369" s="14">
        <v>184.4</v>
      </c>
      <c r="AC369" s="14">
        <v>170.9</v>
      </c>
      <c r="AD369" s="15">
        <v>177.4</v>
      </c>
      <c r="AF369" s="13">
        <f>SUM('Working sheet'!$D369:$P369)</f>
        <v>2317.7000000000003</v>
      </c>
      <c r="AG369" s="14">
        <f>SUM('Working sheet'!$Q369)</f>
        <v>203.5</v>
      </c>
      <c r="AH369" s="14">
        <f>SUM('Working sheet'!$R369:$T369)</f>
        <v>527.6</v>
      </c>
      <c r="AI369" s="14">
        <f>SUM('Working sheet'!$U369)</f>
        <v>175.2</v>
      </c>
      <c r="AJ369" s="14">
        <f>SUM('Working sheet'!$V369)</f>
        <v>182.1</v>
      </c>
      <c r="AK369" s="15">
        <f>SUM('Working sheet'!$W369:$AC369)</f>
        <v>1209.5000000000002</v>
      </c>
    </row>
    <row r="370" spans="1:37" x14ac:dyDescent="0.25">
      <c r="A370" s="16" t="s">
        <v>31</v>
      </c>
      <c r="B370" s="17">
        <v>2023</v>
      </c>
      <c r="C370" s="17" t="s">
        <v>34</v>
      </c>
      <c r="D370" s="17">
        <v>173.8</v>
      </c>
      <c r="E370" s="17">
        <v>209.3</v>
      </c>
      <c r="F370" s="17">
        <v>169.6</v>
      </c>
      <c r="G370" s="17">
        <v>178.4</v>
      </c>
      <c r="H370" s="17">
        <v>174.9</v>
      </c>
      <c r="I370" s="17">
        <v>176.3</v>
      </c>
      <c r="J370" s="17">
        <v>155.4</v>
      </c>
      <c r="K370" s="17">
        <v>173.4</v>
      </c>
      <c r="L370" s="17">
        <v>121.3</v>
      </c>
      <c r="M370" s="17">
        <v>212.9</v>
      </c>
      <c r="N370" s="17">
        <v>172.9</v>
      </c>
      <c r="O370" s="17">
        <v>193.5</v>
      </c>
      <c r="P370" s="17">
        <v>177.9</v>
      </c>
      <c r="Q370" s="17">
        <v>200.6</v>
      </c>
      <c r="R370" s="17">
        <v>186.9</v>
      </c>
      <c r="S370" s="17">
        <v>179.2</v>
      </c>
      <c r="T370" s="17">
        <v>185.7</v>
      </c>
      <c r="U370" s="17">
        <v>175.2</v>
      </c>
      <c r="V370" s="17">
        <v>181.7</v>
      </c>
      <c r="W370" s="17">
        <v>174.6</v>
      </c>
      <c r="X370" s="17">
        <v>185</v>
      </c>
      <c r="Y370" s="17">
        <v>164.5</v>
      </c>
      <c r="Z370" s="17">
        <v>170.7</v>
      </c>
      <c r="AA370" s="17">
        <v>176.4</v>
      </c>
      <c r="AB370" s="17">
        <v>184</v>
      </c>
      <c r="AC370" s="17">
        <v>175</v>
      </c>
      <c r="AD370" s="18">
        <v>178.1</v>
      </c>
      <c r="AF370" s="16">
        <f>SUM('Working sheet'!$D370:$P370)</f>
        <v>2289.6000000000004</v>
      </c>
      <c r="AG370" s="17">
        <f>SUM('Working sheet'!$Q370)</f>
        <v>200.6</v>
      </c>
      <c r="AH370" s="17">
        <f>SUM('Working sheet'!$R370:$T370)</f>
        <v>551.79999999999995</v>
      </c>
      <c r="AI370" s="17">
        <f>SUM('Working sheet'!$U370)</f>
        <v>175.2</v>
      </c>
      <c r="AJ370" s="17">
        <f>SUM('Working sheet'!$V370)</f>
        <v>181.7</v>
      </c>
      <c r="AK370" s="18">
        <f>SUM('Working sheet'!$W370:$AC370)</f>
        <v>1230.1999999999998</v>
      </c>
    </row>
    <row r="371" spans="1:37" hidden="1" x14ac:dyDescent="0.25">
      <c r="A371" s="13" t="s">
        <v>28</v>
      </c>
      <c r="B371" s="14">
        <v>2023</v>
      </c>
      <c r="C371" s="14" t="s">
        <v>35</v>
      </c>
      <c r="D371" s="14">
        <v>173.2</v>
      </c>
      <c r="E371" s="14">
        <v>211.5</v>
      </c>
      <c r="F371" s="14">
        <v>171</v>
      </c>
      <c r="G371" s="14">
        <v>179.6</v>
      </c>
      <c r="H371" s="14">
        <v>173.3</v>
      </c>
      <c r="I371" s="14">
        <v>169</v>
      </c>
      <c r="J371" s="14">
        <v>148.69999999999999</v>
      </c>
      <c r="K371" s="14">
        <v>174.9</v>
      </c>
      <c r="L371" s="14">
        <v>121.9</v>
      </c>
      <c r="M371" s="14">
        <v>221</v>
      </c>
      <c r="N371" s="14">
        <v>178.7</v>
      </c>
      <c r="O371" s="14">
        <v>191.1</v>
      </c>
      <c r="P371" s="14">
        <v>176.8</v>
      </c>
      <c r="Q371" s="14">
        <v>199.9</v>
      </c>
      <c r="R371" s="14">
        <v>191.2</v>
      </c>
      <c r="S371" s="14">
        <v>187.9</v>
      </c>
      <c r="T371" s="14">
        <v>190.8</v>
      </c>
      <c r="U371" s="14">
        <v>175.3</v>
      </c>
      <c r="V371" s="14">
        <v>182.5</v>
      </c>
      <c r="W371" s="14">
        <v>179.8</v>
      </c>
      <c r="X371" s="14">
        <v>187.8</v>
      </c>
      <c r="Y371" s="14">
        <v>169.7</v>
      </c>
      <c r="Z371" s="14">
        <v>173.8</v>
      </c>
      <c r="AA371" s="14">
        <v>180.3</v>
      </c>
      <c r="AB371" s="14">
        <v>184.9</v>
      </c>
      <c r="AC371" s="14">
        <v>179.5</v>
      </c>
      <c r="AD371" s="15">
        <v>179.8</v>
      </c>
      <c r="AF371" s="13">
        <f>SUM('Working sheet'!$D371:$P371)</f>
        <v>2290.7000000000007</v>
      </c>
      <c r="AG371" s="14">
        <f>SUM('Working sheet'!$Q371)</f>
        <v>199.9</v>
      </c>
      <c r="AH371" s="14">
        <f>SUM('Working sheet'!$R371:$T371)</f>
        <v>569.90000000000009</v>
      </c>
      <c r="AI371" s="14">
        <f>SUM('Working sheet'!$U371)</f>
        <v>175.3</v>
      </c>
      <c r="AJ371" s="14">
        <f>SUM('Working sheet'!$V371)</f>
        <v>182.5</v>
      </c>
      <c r="AK371" s="15">
        <f>SUM('Working sheet'!$W371:$AC371)</f>
        <v>1255.8</v>
      </c>
    </row>
    <row r="372" spans="1:37" hidden="1" x14ac:dyDescent="0.25">
      <c r="A372" s="16" t="s">
        <v>30</v>
      </c>
      <c r="B372" s="17">
        <v>2023</v>
      </c>
      <c r="C372" s="17" t="s">
        <v>35</v>
      </c>
      <c r="D372" s="17">
        <v>174.7</v>
      </c>
      <c r="E372" s="17">
        <v>219.4</v>
      </c>
      <c r="F372" s="17">
        <v>176.7</v>
      </c>
      <c r="G372" s="17">
        <v>179.4</v>
      </c>
      <c r="H372" s="17">
        <v>164.4</v>
      </c>
      <c r="I372" s="17">
        <v>175.8</v>
      </c>
      <c r="J372" s="17">
        <v>185</v>
      </c>
      <c r="K372" s="17">
        <v>176.9</v>
      </c>
      <c r="L372" s="17">
        <v>124.2</v>
      </c>
      <c r="M372" s="17">
        <v>211.9</v>
      </c>
      <c r="N372" s="17">
        <v>165.9</v>
      </c>
      <c r="O372" s="17">
        <v>197.7</v>
      </c>
      <c r="P372" s="17">
        <v>183.1</v>
      </c>
      <c r="Q372" s="17">
        <v>204.2</v>
      </c>
      <c r="R372" s="17">
        <v>181.3</v>
      </c>
      <c r="S372" s="17">
        <v>168.1</v>
      </c>
      <c r="T372" s="17">
        <v>179.3</v>
      </c>
      <c r="U372" s="17">
        <v>175.6</v>
      </c>
      <c r="V372" s="17">
        <v>183.4</v>
      </c>
      <c r="W372" s="17">
        <v>170.1</v>
      </c>
      <c r="X372" s="17">
        <v>182.2</v>
      </c>
      <c r="Y372" s="17">
        <v>160.4</v>
      </c>
      <c r="Z372" s="17">
        <v>169.2</v>
      </c>
      <c r="AA372" s="17">
        <v>174.8</v>
      </c>
      <c r="AB372" s="17">
        <v>185.6</v>
      </c>
      <c r="AC372" s="17">
        <v>171.6</v>
      </c>
      <c r="AD372" s="18">
        <v>178.2</v>
      </c>
      <c r="AF372" s="16">
        <f>SUM('Working sheet'!$D372:$P372)</f>
        <v>2335.1</v>
      </c>
      <c r="AG372" s="17">
        <f>SUM('Working sheet'!$Q372)</f>
        <v>204.2</v>
      </c>
      <c r="AH372" s="17">
        <f>SUM('Working sheet'!$R372:$T372)</f>
        <v>528.70000000000005</v>
      </c>
      <c r="AI372" s="17">
        <f>SUM('Working sheet'!$U372)</f>
        <v>175.6</v>
      </c>
      <c r="AJ372" s="17">
        <f>SUM('Working sheet'!$V372)</f>
        <v>183.4</v>
      </c>
      <c r="AK372" s="18">
        <f>SUM('Working sheet'!$W372:$AC372)</f>
        <v>1213.8999999999996</v>
      </c>
    </row>
    <row r="373" spans="1:37" x14ac:dyDescent="0.25">
      <c r="A373" s="3" t="s">
        <v>31</v>
      </c>
      <c r="B373" s="4">
        <v>2023</v>
      </c>
      <c r="C373" s="4" t="s">
        <v>35</v>
      </c>
      <c r="D373" s="4">
        <v>173.7</v>
      </c>
      <c r="E373" s="4">
        <v>214.3</v>
      </c>
      <c r="F373" s="4">
        <v>173.2</v>
      </c>
      <c r="G373" s="4">
        <v>179.5</v>
      </c>
      <c r="H373" s="4">
        <v>170</v>
      </c>
      <c r="I373" s="4">
        <v>172.2</v>
      </c>
      <c r="J373" s="4">
        <v>161</v>
      </c>
      <c r="K373" s="4">
        <v>175.6</v>
      </c>
      <c r="L373" s="4">
        <v>122.7</v>
      </c>
      <c r="M373" s="4">
        <v>218</v>
      </c>
      <c r="N373" s="4">
        <v>173.4</v>
      </c>
      <c r="O373" s="4">
        <v>194.2</v>
      </c>
      <c r="P373" s="4">
        <v>179.1</v>
      </c>
      <c r="Q373" s="4">
        <v>201</v>
      </c>
      <c r="R373" s="4">
        <v>187.3</v>
      </c>
      <c r="S373" s="4">
        <v>179.7</v>
      </c>
      <c r="T373" s="4">
        <v>186.2</v>
      </c>
      <c r="U373" s="4">
        <v>175.6</v>
      </c>
      <c r="V373" s="4">
        <v>182.8</v>
      </c>
      <c r="W373" s="4">
        <v>175.2</v>
      </c>
      <c r="X373" s="4">
        <v>185.7</v>
      </c>
      <c r="Y373" s="4">
        <v>164.8</v>
      </c>
      <c r="Z373" s="4">
        <v>171.2</v>
      </c>
      <c r="AA373" s="4">
        <v>177.1</v>
      </c>
      <c r="AB373" s="4">
        <v>185.2</v>
      </c>
      <c r="AC373" s="4">
        <v>175.7</v>
      </c>
      <c r="AD373" s="5">
        <v>179.1</v>
      </c>
      <c r="AF373" s="3">
        <f>SUM('Working sheet'!$D373:$P373)</f>
        <v>2306.9</v>
      </c>
      <c r="AG373" s="4">
        <f>SUM('Working sheet'!$Q373)</f>
        <v>201</v>
      </c>
      <c r="AH373" s="4">
        <f>SUM('Working sheet'!$R373:$T373)</f>
        <v>553.20000000000005</v>
      </c>
      <c r="AI373" s="4">
        <f>SUM('Working sheet'!$U373)</f>
        <v>175.6</v>
      </c>
      <c r="AJ373" s="4">
        <f>SUM('Working sheet'!$V373)</f>
        <v>182.8</v>
      </c>
      <c r="AK373" s="5">
        <f>SUM('Working sheet'!$W373:$AC373)</f>
        <v>1234.9000000000001</v>
      </c>
    </row>
    <row r="376" spans="1:37" x14ac:dyDescent="0.25">
      <c r="A376">
        <v>1</v>
      </c>
      <c r="B376" t="s">
        <v>61</v>
      </c>
    </row>
    <row r="377" spans="1:37" x14ac:dyDescent="0.25">
      <c r="A377">
        <v>2</v>
      </c>
      <c r="B377" t="s">
        <v>93</v>
      </c>
    </row>
  </sheetData>
  <sheetProtection algorithmName="SHA-512" hashValue="jtb32xXlU2UPosSu34DqvBF44XAQrjY9dO/AqY2gM/syrS0hrTpjUf8ozwN7EOeU3iIwqi0gN79O0XmqX+2xlw==" saltValue="AjFLnMmDx2R+EjZt048uug==" spinCount="100000" sheet="1" objects="1" scenarios="1"/>
  <autoFilter ref="A1:AK373" xr:uid="{751C81BC-A5F2-4E85-AB04-EE2565619A44}">
    <filterColumn colId="0">
      <filters>
        <filter val="Rural+Urban"/>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1246E-AE25-4340-91D4-93DCDD3B8487}">
  <dimension ref="A1:J373"/>
  <sheetViews>
    <sheetView workbookViewId="0">
      <selection activeCell="B4" sqref="B4"/>
    </sheetView>
  </sheetViews>
  <sheetFormatPr defaultRowHeight="15" x14ac:dyDescent="0.25"/>
  <cols>
    <col min="4" max="4" width="19" customWidth="1"/>
    <col min="5" max="5" width="27" customWidth="1"/>
    <col min="6" max="6" width="21.28515625" customWidth="1"/>
    <col min="7" max="7" width="10.5703125" customWidth="1"/>
    <col min="8" max="8" width="13.5703125" customWidth="1"/>
    <col min="9" max="9" width="16.140625" customWidth="1"/>
    <col min="10" max="10" width="16" bestFit="1" customWidth="1"/>
  </cols>
  <sheetData>
    <row r="1" spans="1:10" x14ac:dyDescent="0.25">
      <c r="A1" s="20" t="s">
        <v>0</v>
      </c>
      <c r="B1" s="20" t="s">
        <v>1</v>
      </c>
      <c r="C1" s="20" t="s">
        <v>2</v>
      </c>
      <c r="D1" s="8" t="s">
        <v>48</v>
      </c>
      <c r="E1" s="8" t="s">
        <v>49</v>
      </c>
      <c r="F1" s="8" t="s">
        <v>50</v>
      </c>
      <c r="G1" s="8" t="s">
        <v>19</v>
      </c>
      <c r="H1" s="8" t="s">
        <v>51</v>
      </c>
      <c r="I1" s="8" t="s">
        <v>26</v>
      </c>
      <c r="J1" s="24" t="s">
        <v>27</v>
      </c>
    </row>
    <row r="2" spans="1:10" x14ac:dyDescent="0.25">
      <c r="A2" s="17" t="s">
        <v>28</v>
      </c>
      <c r="B2" s="17">
        <v>2013</v>
      </c>
      <c r="C2" s="17" t="s">
        <v>29</v>
      </c>
      <c r="D2" s="10">
        <f>SUM('Working sheet'!$D2:$P2)</f>
        <v>1371.6999999999998</v>
      </c>
      <c r="E2" s="11">
        <f>SUM('Working sheet'!$Q2)</f>
        <v>105.1</v>
      </c>
      <c r="F2" s="11">
        <f>SUM('Working sheet'!$R2:$T2)</f>
        <v>318.70000000000005</v>
      </c>
      <c r="G2" s="11">
        <f>SUM('Working sheet'!$U2)</f>
        <v>100.4</v>
      </c>
      <c r="H2" s="11">
        <f>SUM('Working sheet'!$V2)</f>
        <v>105.5</v>
      </c>
      <c r="I2" s="11">
        <f>SUM('Working sheet'!$W2:$AC2)</f>
        <v>728</v>
      </c>
      <c r="J2" s="25">
        <v>105.1</v>
      </c>
    </row>
    <row r="3" spans="1:10" x14ac:dyDescent="0.25">
      <c r="A3" s="14" t="s">
        <v>30</v>
      </c>
      <c r="B3" s="14">
        <v>2013</v>
      </c>
      <c r="C3" s="14" t="s">
        <v>29</v>
      </c>
      <c r="D3" s="13">
        <f>SUM('Working sheet'!$D3:$P3)</f>
        <v>1376.4</v>
      </c>
      <c r="E3" s="14">
        <f>SUM('Working sheet'!$Q3)</f>
        <v>105.2</v>
      </c>
      <c r="F3" s="14">
        <f>SUM('Working sheet'!$R3:$T3)</f>
        <v>316.7</v>
      </c>
      <c r="G3" s="14">
        <f>SUM('Working sheet'!$U3)</f>
        <v>100.3</v>
      </c>
      <c r="H3" s="14">
        <f>SUM('Working sheet'!$V3)</f>
        <v>105.4</v>
      </c>
      <c r="I3" s="14">
        <f>SUM('Working sheet'!$W3:$AC3)</f>
        <v>726.5</v>
      </c>
      <c r="J3" s="26">
        <v>104</v>
      </c>
    </row>
    <row r="4" spans="1:10" x14ac:dyDescent="0.25">
      <c r="A4" s="17" t="s">
        <v>31</v>
      </c>
      <c r="B4" s="17">
        <v>2013</v>
      </c>
      <c r="C4" s="17" t="s">
        <v>29</v>
      </c>
      <c r="D4" s="16">
        <f>SUM('Working sheet'!$D4:$P4)</f>
        <v>1373.3000000000002</v>
      </c>
      <c r="E4" s="17">
        <f>SUM('Working sheet'!$Q4)</f>
        <v>105.1</v>
      </c>
      <c r="F4" s="17">
        <f>SUM('Working sheet'!$R4:$T4)</f>
        <v>318</v>
      </c>
      <c r="G4" s="17">
        <f>SUM('Working sheet'!$U4)</f>
        <v>100.3</v>
      </c>
      <c r="H4" s="17">
        <f>SUM('Working sheet'!$V4)</f>
        <v>105.5</v>
      </c>
      <c r="I4" s="17">
        <f>SUM('Working sheet'!$W4:$AC4)</f>
        <v>727.1</v>
      </c>
      <c r="J4" s="25">
        <v>104.6</v>
      </c>
    </row>
    <row r="5" spans="1:10" x14ac:dyDescent="0.25">
      <c r="A5" s="14" t="s">
        <v>28</v>
      </c>
      <c r="B5" s="14">
        <v>2013</v>
      </c>
      <c r="C5" s="14" t="s">
        <v>32</v>
      </c>
      <c r="D5" s="13">
        <f>SUM('Working sheet'!$D5:$P5)</f>
        <v>1380.3999999999999</v>
      </c>
      <c r="E5" s="14">
        <f>SUM('Working sheet'!$Q5)</f>
        <v>105.6</v>
      </c>
      <c r="F5" s="14">
        <f>SUM('Working sheet'!$R5:$T5)</f>
        <v>320.39999999999998</v>
      </c>
      <c r="G5" s="14">
        <f>SUM('Working sheet'!$U5)</f>
        <v>100.4</v>
      </c>
      <c r="H5" s="14">
        <f>SUM('Working sheet'!$V5)</f>
        <v>106.2</v>
      </c>
      <c r="I5" s="14">
        <f>SUM('Working sheet'!$W5:$AC5)</f>
        <v>730.6</v>
      </c>
      <c r="J5" s="26">
        <v>105.8</v>
      </c>
    </row>
    <row r="6" spans="1:10" x14ac:dyDescent="0.25">
      <c r="A6" s="17" t="s">
        <v>30</v>
      </c>
      <c r="B6" s="17">
        <v>2013</v>
      </c>
      <c r="C6" s="17" t="s">
        <v>32</v>
      </c>
      <c r="D6" s="16">
        <f>SUM('Working sheet'!$D6:$P6)</f>
        <v>1390.6000000000001</v>
      </c>
      <c r="E6" s="17">
        <f>SUM('Working sheet'!$Q6)</f>
        <v>106</v>
      </c>
      <c r="F6" s="17">
        <f>SUM('Working sheet'!$R6:$T6)</f>
        <v>318.5</v>
      </c>
      <c r="G6" s="17">
        <f>SUM('Working sheet'!$U6)</f>
        <v>100.4</v>
      </c>
      <c r="H6" s="17">
        <f>SUM('Working sheet'!$V6)</f>
        <v>105.7</v>
      </c>
      <c r="I6" s="17">
        <f>SUM('Working sheet'!$W6:$AC6)</f>
        <v>729.9</v>
      </c>
      <c r="J6" s="25">
        <v>104.7</v>
      </c>
    </row>
    <row r="7" spans="1:10" x14ac:dyDescent="0.25">
      <c r="A7" s="14" t="s">
        <v>31</v>
      </c>
      <c r="B7" s="14">
        <v>2013</v>
      </c>
      <c r="C7" s="14" t="s">
        <v>32</v>
      </c>
      <c r="D7" s="13">
        <f>SUM('Working sheet'!$D7:$P7)</f>
        <v>1384.2</v>
      </c>
      <c r="E7" s="14">
        <f>SUM('Working sheet'!$Q7)</f>
        <v>105.7</v>
      </c>
      <c r="F7" s="14">
        <f>SUM('Working sheet'!$R7:$T7)</f>
        <v>319.7</v>
      </c>
      <c r="G7" s="14">
        <f>SUM('Working sheet'!$U7)</f>
        <v>100.4</v>
      </c>
      <c r="H7" s="14">
        <f>SUM('Working sheet'!$V7)</f>
        <v>106</v>
      </c>
      <c r="I7" s="14">
        <f>SUM('Working sheet'!$W7:$AC7)</f>
        <v>730.3</v>
      </c>
      <c r="J7" s="26">
        <v>105.3</v>
      </c>
    </row>
    <row r="8" spans="1:10" x14ac:dyDescent="0.25">
      <c r="A8" s="17" t="s">
        <v>28</v>
      </c>
      <c r="B8" s="17">
        <v>2013</v>
      </c>
      <c r="C8" s="17" t="s">
        <v>33</v>
      </c>
      <c r="D8" s="16">
        <f>SUM('Working sheet'!$D8:$P8)</f>
        <v>1382.2</v>
      </c>
      <c r="E8" s="17">
        <f>SUM('Working sheet'!$Q8)</f>
        <v>106.5</v>
      </c>
      <c r="F8" s="17">
        <f>SUM('Working sheet'!$R8:$T8)</f>
        <v>321.89999999999998</v>
      </c>
      <c r="G8" s="17">
        <f>SUM('Working sheet'!$U8)</f>
        <v>100.5</v>
      </c>
      <c r="H8" s="17">
        <f>SUM('Working sheet'!$V8)</f>
        <v>106.1</v>
      </c>
      <c r="I8" s="17">
        <f>SUM('Working sheet'!$W8:$AC8)</f>
        <v>732.09999999999991</v>
      </c>
      <c r="J8" s="25">
        <v>106</v>
      </c>
    </row>
    <row r="9" spans="1:10" x14ac:dyDescent="0.25">
      <c r="A9" s="14" t="s">
        <v>30</v>
      </c>
      <c r="B9" s="14">
        <v>2013</v>
      </c>
      <c r="C9" s="14" t="s">
        <v>33</v>
      </c>
      <c r="D9" s="13">
        <f>SUM('Working sheet'!$D9:$P9)</f>
        <v>1386.8</v>
      </c>
      <c r="E9" s="14">
        <f>SUM('Working sheet'!$Q9)</f>
        <v>106.8</v>
      </c>
      <c r="F9" s="14">
        <f>SUM('Working sheet'!$R9:$T9)</f>
        <v>320.2</v>
      </c>
      <c r="G9" s="14">
        <f>SUM('Working sheet'!$U9)</f>
        <v>100.4</v>
      </c>
      <c r="H9" s="14">
        <f>SUM('Working sheet'!$V9)</f>
        <v>106</v>
      </c>
      <c r="I9" s="14">
        <f>SUM('Working sheet'!$W9:$AC9)</f>
        <v>732.8</v>
      </c>
      <c r="J9" s="26">
        <v>105</v>
      </c>
    </row>
    <row r="10" spans="1:10" x14ac:dyDescent="0.25">
      <c r="A10" s="17" t="s">
        <v>31</v>
      </c>
      <c r="B10" s="17">
        <v>2013</v>
      </c>
      <c r="C10" s="17" t="s">
        <v>33</v>
      </c>
      <c r="D10" s="16">
        <f>SUM('Working sheet'!$D10:$P10)</f>
        <v>1384.0000000000002</v>
      </c>
      <c r="E10" s="17">
        <f>SUM('Working sheet'!$Q10)</f>
        <v>106.6</v>
      </c>
      <c r="F10" s="17">
        <f>SUM('Working sheet'!$R10:$T10)</f>
        <v>321.2</v>
      </c>
      <c r="G10" s="17">
        <f>SUM('Working sheet'!$U10)</f>
        <v>100.4</v>
      </c>
      <c r="H10" s="17">
        <f>SUM('Working sheet'!$V10)</f>
        <v>106.1</v>
      </c>
      <c r="I10" s="17">
        <f>SUM('Working sheet'!$W10:$AC10)</f>
        <v>732.3</v>
      </c>
      <c r="J10" s="25">
        <v>105.5</v>
      </c>
    </row>
    <row r="11" spans="1:10" x14ac:dyDescent="0.25">
      <c r="A11" s="14" t="s">
        <v>28</v>
      </c>
      <c r="B11" s="14">
        <v>2013</v>
      </c>
      <c r="C11" s="14" t="s">
        <v>34</v>
      </c>
      <c r="D11" s="13">
        <f>SUM('Working sheet'!$D11:$P11)</f>
        <v>1385.8</v>
      </c>
      <c r="E11" s="14">
        <f>SUM('Working sheet'!$Q11)</f>
        <v>107.1</v>
      </c>
      <c r="F11" s="14">
        <f>SUM('Working sheet'!$R11:$T11)</f>
        <v>323.5</v>
      </c>
      <c r="G11" s="14">
        <f>SUM('Working sheet'!$U11)</f>
        <v>100.5</v>
      </c>
      <c r="H11" s="14">
        <f>SUM('Working sheet'!$V11)</f>
        <v>106.5</v>
      </c>
      <c r="I11" s="14">
        <f>SUM('Working sheet'!$W11:$AC11)</f>
        <v>732.2</v>
      </c>
      <c r="J11" s="26">
        <v>106.4</v>
      </c>
    </row>
    <row r="12" spans="1:10" x14ac:dyDescent="0.25">
      <c r="A12" s="17" t="s">
        <v>30</v>
      </c>
      <c r="B12" s="17">
        <v>2013</v>
      </c>
      <c r="C12" s="17" t="s">
        <v>34</v>
      </c>
      <c r="D12" s="16">
        <f>SUM('Working sheet'!$D12:$P12)</f>
        <v>1397.6999999999998</v>
      </c>
      <c r="E12" s="17">
        <f>SUM('Working sheet'!$Q12)</f>
        <v>108.5</v>
      </c>
      <c r="F12" s="17">
        <f>SUM('Working sheet'!$R12:$T12)</f>
        <v>322</v>
      </c>
      <c r="G12" s="17">
        <f>SUM('Working sheet'!$U12)</f>
        <v>100.5</v>
      </c>
      <c r="H12" s="17">
        <f>SUM('Working sheet'!$V12)</f>
        <v>106.4</v>
      </c>
      <c r="I12" s="17">
        <f>SUM('Working sheet'!$W12:$AC12)</f>
        <v>734.7</v>
      </c>
      <c r="J12" s="25">
        <v>105.7</v>
      </c>
    </row>
    <row r="13" spans="1:10" x14ac:dyDescent="0.25">
      <c r="A13" s="14" t="s">
        <v>31</v>
      </c>
      <c r="B13" s="14">
        <v>2013</v>
      </c>
      <c r="C13" s="14" t="s">
        <v>34</v>
      </c>
      <c r="D13" s="13">
        <f>SUM('Working sheet'!$D13:$P13)</f>
        <v>1390.2</v>
      </c>
      <c r="E13" s="14">
        <f>SUM('Working sheet'!$Q13)</f>
        <v>107.5</v>
      </c>
      <c r="F13" s="14">
        <f>SUM('Working sheet'!$R13:$T13)</f>
        <v>322.89999999999998</v>
      </c>
      <c r="G13" s="14">
        <f>SUM('Working sheet'!$U13)</f>
        <v>100.5</v>
      </c>
      <c r="H13" s="14">
        <f>SUM('Working sheet'!$V13)</f>
        <v>106.5</v>
      </c>
      <c r="I13" s="14">
        <f>SUM('Working sheet'!$W13:$AC13)</f>
        <v>733.19999999999993</v>
      </c>
      <c r="J13" s="26">
        <v>106.1</v>
      </c>
    </row>
    <row r="14" spans="1:10" x14ac:dyDescent="0.25">
      <c r="A14" s="17" t="s">
        <v>28</v>
      </c>
      <c r="B14" s="17">
        <v>2013</v>
      </c>
      <c r="C14" s="17" t="s">
        <v>35</v>
      </c>
      <c r="D14" s="16">
        <f>SUM('Working sheet'!$D14:$P14)</f>
        <v>1394</v>
      </c>
      <c r="E14" s="17">
        <f>SUM('Working sheet'!$Q14)</f>
        <v>108.1</v>
      </c>
      <c r="F14" s="17">
        <f>SUM('Working sheet'!$R14:$T14)</f>
        <v>325.29999999999995</v>
      </c>
      <c r="G14" s="17">
        <f>SUM('Working sheet'!$U14)</f>
        <v>103.6</v>
      </c>
      <c r="H14" s="17">
        <f>SUM('Working sheet'!$V14)</f>
        <v>107.5</v>
      </c>
      <c r="I14" s="17">
        <f>SUM('Working sheet'!$W14:$AC14)</f>
        <v>734</v>
      </c>
      <c r="J14" s="25">
        <v>107.2</v>
      </c>
    </row>
    <row r="15" spans="1:10" x14ac:dyDescent="0.25">
      <c r="A15" s="14" t="s">
        <v>30</v>
      </c>
      <c r="B15" s="14">
        <v>2013</v>
      </c>
      <c r="C15" s="14" t="s">
        <v>35</v>
      </c>
      <c r="D15" s="13">
        <f>SUM('Working sheet'!$D15:$P15)</f>
        <v>1417.1999999999998</v>
      </c>
      <c r="E15" s="14">
        <f>SUM('Working sheet'!$Q15)</f>
        <v>109.8</v>
      </c>
      <c r="F15" s="14">
        <f>SUM('Working sheet'!$R15:$T15)</f>
        <v>323.5</v>
      </c>
      <c r="G15" s="14">
        <f>SUM('Working sheet'!$U15)</f>
        <v>100.5</v>
      </c>
      <c r="H15" s="14">
        <f>SUM('Working sheet'!$V15)</f>
        <v>107.2</v>
      </c>
      <c r="I15" s="14">
        <f>SUM('Working sheet'!$W15:$AC15)</f>
        <v>735.00000000000011</v>
      </c>
      <c r="J15" s="26">
        <v>106.6</v>
      </c>
    </row>
    <row r="16" spans="1:10" x14ac:dyDescent="0.25">
      <c r="A16" s="17" t="s">
        <v>31</v>
      </c>
      <c r="B16" s="17">
        <v>2013</v>
      </c>
      <c r="C16" s="17" t="s">
        <v>35</v>
      </c>
      <c r="D16" s="16">
        <f>SUM('Working sheet'!$D16:$P16)</f>
        <v>1402.1999999999998</v>
      </c>
      <c r="E16" s="17">
        <f>SUM('Working sheet'!$Q16)</f>
        <v>108.6</v>
      </c>
      <c r="F16" s="17">
        <f>SUM('Working sheet'!$R16:$T16)</f>
        <v>324.60000000000002</v>
      </c>
      <c r="G16" s="17">
        <f>SUM('Working sheet'!$U16)</f>
        <v>100.5</v>
      </c>
      <c r="H16" s="17">
        <f>SUM('Working sheet'!$V16)</f>
        <v>107.4</v>
      </c>
      <c r="I16" s="17">
        <f>SUM('Working sheet'!$W16:$AC16)</f>
        <v>734.3</v>
      </c>
      <c r="J16" s="25">
        <v>106.9</v>
      </c>
    </row>
    <row r="17" spans="1:10" x14ac:dyDescent="0.25">
      <c r="A17" s="14" t="s">
        <v>28</v>
      </c>
      <c r="B17" s="14">
        <v>2013</v>
      </c>
      <c r="C17" s="14" t="s">
        <v>36</v>
      </c>
      <c r="D17" s="13">
        <f>SUM('Working sheet'!$D17:$P17)</f>
        <v>1420</v>
      </c>
      <c r="E17" s="14">
        <f>SUM('Working sheet'!$Q17)</f>
        <v>109</v>
      </c>
      <c r="F17" s="14">
        <f>SUM('Working sheet'!$R17:$T17)</f>
        <v>328</v>
      </c>
      <c r="G17" s="14">
        <f>SUM('Working sheet'!$U17)</f>
        <v>107.2</v>
      </c>
      <c r="H17" s="14">
        <f>SUM('Working sheet'!$V17)</f>
        <v>108.5</v>
      </c>
      <c r="I17" s="14">
        <f>SUM('Working sheet'!$W17:$AC17)</f>
        <v>738.9</v>
      </c>
      <c r="J17" s="26">
        <v>108.9</v>
      </c>
    </row>
    <row r="18" spans="1:10" x14ac:dyDescent="0.25">
      <c r="A18" s="17" t="s">
        <v>30</v>
      </c>
      <c r="B18" s="17">
        <v>2013</v>
      </c>
      <c r="C18" s="17" t="s">
        <v>36</v>
      </c>
      <c r="D18" s="16">
        <f>SUM('Working sheet'!$D18:$P18)</f>
        <v>1464.6000000000001</v>
      </c>
      <c r="E18" s="17">
        <f>SUM('Working sheet'!$Q18)</f>
        <v>110.9</v>
      </c>
      <c r="F18" s="17">
        <f>SUM('Working sheet'!$R18:$T18)</f>
        <v>325.3</v>
      </c>
      <c r="G18" s="17">
        <f>SUM('Working sheet'!$U18)</f>
        <v>106.6</v>
      </c>
      <c r="H18" s="17">
        <f>SUM('Working sheet'!$V18)</f>
        <v>108</v>
      </c>
      <c r="I18" s="17">
        <f>SUM('Working sheet'!$W18:$AC18)</f>
        <v>742.09999999999991</v>
      </c>
      <c r="J18" s="25">
        <v>109.7</v>
      </c>
    </row>
    <row r="19" spans="1:10" x14ac:dyDescent="0.25">
      <c r="A19" s="14" t="s">
        <v>31</v>
      </c>
      <c r="B19" s="14">
        <v>2013</v>
      </c>
      <c r="C19" s="14" t="s">
        <v>36</v>
      </c>
      <c r="D19" s="13">
        <f>SUM('Working sheet'!$D19:$P19)</f>
        <v>1436</v>
      </c>
      <c r="E19" s="14">
        <f>SUM('Working sheet'!$Q19)</f>
        <v>109.5</v>
      </c>
      <c r="F19" s="14">
        <f>SUM('Working sheet'!$R19:$T19)</f>
        <v>326.89999999999998</v>
      </c>
      <c r="G19" s="14">
        <f>SUM('Working sheet'!$U19)</f>
        <v>106.6</v>
      </c>
      <c r="H19" s="14">
        <f>SUM('Working sheet'!$V19)</f>
        <v>108.3</v>
      </c>
      <c r="I19" s="14">
        <f>SUM('Working sheet'!$W19:$AC19)</f>
        <v>740.49999999999989</v>
      </c>
      <c r="J19" s="26">
        <v>109.3</v>
      </c>
    </row>
    <row r="20" spans="1:10" x14ac:dyDescent="0.25">
      <c r="A20" s="17" t="s">
        <v>28</v>
      </c>
      <c r="B20" s="17">
        <v>2013</v>
      </c>
      <c r="C20" s="17" t="s">
        <v>37</v>
      </c>
      <c r="D20" s="16">
        <f>SUM('Working sheet'!$D20:$P20)</f>
        <v>1445.8999999999996</v>
      </c>
      <c r="E20" s="17">
        <f>SUM('Working sheet'!$Q20)</f>
        <v>109.8</v>
      </c>
      <c r="F20" s="17">
        <f>SUM('Working sheet'!$R20:$T20)</f>
        <v>330.3</v>
      </c>
      <c r="G20" s="17">
        <f>SUM('Working sheet'!$U20)</f>
        <v>108.3</v>
      </c>
      <c r="H20" s="17">
        <f>SUM('Working sheet'!$V20)</f>
        <v>109.5</v>
      </c>
      <c r="I20" s="17">
        <f>SUM('Working sheet'!$W20:$AC20)</f>
        <v>745.19999999999993</v>
      </c>
      <c r="J20" s="25">
        <v>110.7</v>
      </c>
    </row>
    <row r="21" spans="1:10" x14ac:dyDescent="0.25">
      <c r="A21" s="14" t="s">
        <v>30</v>
      </c>
      <c r="B21" s="14">
        <v>2013</v>
      </c>
      <c r="C21" s="14" t="s">
        <v>37</v>
      </c>
      <c r="D21" s="13">
        <f>SUM('Working sheet'!$D21:$P21)</f>
        <v>1489.4</v>
      </c>
      <c r="E21" s="14">
        <f>SUM('Working sheet'!$Q21)</f>
        <v>111.7</v>
      </c>
      <c r="F21" s="14">
        <f>SUM('Working sheet'!$R21:$T21)</f>
        <v>327.10000000000002</v>
      </c>
      <c r="G21" s="14">
        <f>SUM('Working sheet'!$U21)</f>
        <v>107.7</v>
      </c>
      <c r="H21" s="14">
        <f>SUM('Working sheet'!$V21)</f>
        <v>108.6</v>
      </c>
      <c r="I21" s="14">
        <f>SUM('Working sheet'!$W21:$AC21)</f>
        <v>749</v>
      </c>
      <c r="J21" s="26">
        <v>111.4</v>
      </c>
    </row>
    <row r="22" spans="1:10" x14ac:dyDescent="0.25">
      <c r="A22" s="17" t="s">
        <v>31</v>
      </c>
      <c r="B22" s="17">
        <v>2013</v>
      </c>
      <c r="C22" s="17" t="s">
        <v>37</v>
      </c>
      <c r="D22" s="16">
        <f>SUM('Working sheet'!$D22:$P22)</f>
        <v>1461.3999999999999</v>
      </c>
      <c r="E22" s="17">
        <f>SUM('Working sheet'!$Q22)</f>
        <v>110.3</v>
      </c>
      <c r="F22" s="17">
        <f>SUM('Working sheet'!$R22:$T22)</f>
        <v>329</v>
      </c>
      <c r="G22" s="17">
        <f>SUM('Working sheet'!$U22)</f>
        <v>107.7</v>
      </c>
      <c r="H22" s="17">
        <f>SUM('Working sheet'!$V22)</f>
        <v>109.2</v>
      </c>
      <c r="I22" s="17">
        <f>SUM('Working sheet'!$W22:$AC22)</f>
        <v>747.19999999999993</v>
      </c>
      <c r="J22" s="25">
        <v>111</v>
      </c>
    </row>
    <row r="23" spans="1:10" x14ac:dyDescent="0.25">
      <c r="A23" s="14" t="s">
        <v>28</v>
      </c>
      <c r="B23" s="14">
        <v>2013</v>
      </c>
      <c r="C23" s="14" t="s">
        <v>38</v>
      </c>
      <c r="D23" s="13">
        <f>SUM('Working sheet'!$D23:$P23)</f>
        <v>1462.5</v>
      </c>
      <c r="E23" s="14">
        <f>SUM('Working sheet'!$Q23)</f>
        <v>110.7</v>
      </c>
      <c r="F23" s="14">
        <f>SUM('Working sheet'!$R23:$T23)</f>
        <v>332.6</v>
      </c>
      <c r="G23" s="14">
        <f>SUM('Working sheet'!$U23)</f>
        <v>109.3</v>
      </c>
      <c r="H23" s="14">
        <f>SUM('Working sheet'!$V23)</f>
        <v>109.9</v>
      </c>
      <c r="I23" s="14">
        <f>SUM('Working sheet'!$W23:$AC23)</f>
        <v>752</v>
      </c>
      <c r="J23" s="26">
        <v>112.1</v>
      </c>
    </row>
    <row r="24" spans="1:10" x14ac:dyDescent="0.25">
      <c r="A24" s="17" t="s">
        <v>30</v>
      </c>
      <c r="B24" s="17">
        <v>2013</v>
      </c>
      <c r="C24" s="17" t="s">
        <v>38</v>
      </c>
      <c r="D24" s="16">
        <f>SUM('Working sheet'!$D24:$P24)</f>
        <v>1506.1000000000001</v>
      </c>
      <c r="E24" s="17">
        <f>SUM('Working sheet'!$Q24)</f>
        <v>112.4</v>
      </c>
      <c r="F24" s="17">
        <f>SUM('Working sheet'!$R24:$T24)</f>
        <v>329.09999999999997</v>
      </c>
      <c r="G24" s="17">
        <f>SUM('Working sheet'!$U24)</f>
        <v>108.9</v>
      </c>
      <c r="H24" s="17">
        <f>SUM('Working sheet'!$V24)</f>
        <v>109.3</v>
      </c>
      <c r="I24" s="17">
        <f>SUM('Working sheet'!$W24:$AC24)</f>
        <v>755.99999999999989</v>
      </c>
      <c r="J24" s="25">
        <v>112.7</v>
      </c>
    </row>
    <row r="25" spans="1:10" x14ac:dyDescent="0.25">
      <c r="A25" s="14" t="s">
        <v>31</v>
      </c>
      <c r="B25" s="14">
        <v>2013</v>
      </c>
      <c r="C25" s="14" t="s">
        <v>38</v>
      </c>
      <c r="D25" s="13">
        <f>SUM('Working sheet'!$D25:$P25)</f>
        <v>1477.4</v>
      </c>
      <c r="E25" s="14">
        <f>SUM('Working sheet'!$Q25)</f>
        <v>111.2</v>
      </c>
      <c r="F25" s="14">
        <f>SUM('Working sheet'!$R25:$T25)</f>
        <v>331.1</v>
      </c>
      <c r="G25" s="14">
        <f>SUM('Working sheet'!$U25)</f>
        <v>108.9</v>
      </c>
      <c r="H25" s="14">
        <f>SUM('Working sheet'!$V25)</f>
        <v>109.7</v>
      </c>
      <c r="I25" s="14">
        <f>SUM('Working sheet'!$W25:$AC25)</f>
        <v>753.99999999999989</v>
      </c>
      <c r="J25" s="26">
        <v>112.4</v>
      </c>
    </row>
    <row r="26" spans="1:10" x14ac:dyDescent="0.25">
      <c r="A26" s="17" t="s">
        <v>28</v>
      </c>
      <c r="B26" s="17">
        <v>2013</v>
      </c>
      <c r="C26" s="17" t="s">
        <v>39</v>
      </c>
      <c r="D26" s="16">
        <f>SUM('Working sheet'!$D26:$P26)</f>
        <v>1488.5000000000002</v>
      </c>
      <c r="E26" s="17">
        <f>SUM('Working sheet'!$Q26)</f>
        <v>111.7</v>
      </c>
      <c r="F26" s="17">
        <f>SUM('Working sheet'!$R26:$T26)</f>
        <v>336.6</v>
      </c>
      <c r="G26" s="17">
        <f>SUM('Working sheet'!$U26)</f>
        <v>110.1</v>
      </c>
      <c r="H26" s="17">
        <f>SUM('Working sheet'!$V26)</f>
        <v>111.1</v>
      </c>
      <c r="I26" s="17">
        <f>SUM('Working sheet'!$W26:$AC26)</f>
        <v>760.1</v>
      </c>
      <c r="J26" s="25">
        <v>114.2</v>
      </c>
    </row>
    <row r="27" spans="1:10" x14ac:dyDescent="0.25">
      <c r="A27" s="14" t="s">
        <v>30</v>
      </c>
      <c r="B27" s="14">
        <v>2013</v>
      </c>
      <c r="C27" s="14" t="s">
        <v>39</v>
      </c>
      <c r="D27" s="13">
        <f>SUM('Working sheet'!$D27:$P27)</f>
        <v>1500.4</v>
      </c>
      <c r="E27" s="14">
        <f>SUM('Working sheet'!$Q27)</f>
        <v>112.9</v>
      </c>
      <c r="F27" s="14">
        <f>SUM('Working sheet'!$R27:$T27)</f>
        <v>331.5</v>
      </c>
      <c r="G27" s="14">
        <f>SUM('Working sheet'!$U27)</f>
        <v>109.7</v>
      </c>
      <c r="H27" s="14">
        <f>SUM('Working sheet'!$V27)</f>
        <v>109.5</v>
      </c>
      <c r="I27" s="14">
        <f>SUM('Working sheet'!$W27:$AC27)</f>
        <v>762.8</v>
      </c>
      <c r="J27" s="26">
        <v>113.2</v>
      </c>
    </row>
    <row r="28" spans="1:10" x14ac:dyDescent="0.25">
      <c r="A28" s="17" t="s">
        <v>31</v>
      </c>
      <c r="B28" s="17">
        <v>2013</v>
      </c>
      <c r="C28" s="17" t="s">
        <v>39</v>
      </c>
      <c r="D28" s="16">
        <f>SUM('Working sheet'!$D28:$P28)</f>
        <v>1491.6999999999998</v>
      </c>
      <c r="E28" s="17">
        <f>SUM('Working sheet'!$Q28)</f>
        <v>112</v>
      </c>
      <c r="F28" s="17">
        <f>SUM('Working sheet'!$R28:$T28)</f>
        <v>334.5</v>
      </c>
      <c r="G28" s="17">
        <f>SUM('Working sheet'!$U28)</f>
        <v>109.7</v>
      </c>
      <c r="H28" s="17">
        <f>SUM('Working sheet'!$V28)</f>
        <v>110.5</v>
      </c>
      <c r="I28" s="17">
        <f>SUM('Working sheet'!$W28:$AC28)</f>
        <v>761.5</v>
      </c>
      <c r="J28" s="25">
        <v>113.7</v>
      </c>
    </row>
    <row r="29" spans="1:10" x14ac:dyDescent="0.25">
      <c r="A29" s="14" t="s">
        <v>28</v>
      </c>
      <c r="B29" s="14">
        <v>2013</v>
      </c>
      <c r="C29" s="14" t="s">
        <v>40</v>
      </c>
      <c r="D29" s="13">
        <f>SUM('Working sheet'!$D29:$P29)</f>
        <v>1508</v>
      </c>
      <c r="E29" s="14">
        <f>SUM('Working sheet'!$Q29)</f>
        <v>112.2</v>
      </c>
      <c r="F29" s="14">
        <f>SUM('Working sheet'!$R29:$T29)</f>
        <v>339.29999999999995</v>
      </c>
      <c r="G29" s="14">
        <f>SUM('Working sheet'!$U29)</f>
        <v>110.8</v>
      </c>
      <c r="H29" s="14">
        <f>SUM('Working sheet'!$V29)</f>
        <v>111.6</v>
      </c>
      <c r="I29" s="14">
        <f>SUM('Working sheet'!$W29:$AC29)</f>
        <v>763.7</v>
      </c>
      <c r="J29" s="26">
        <v>115.5</v>
      </c>
    </row>
    <row r="30" spans="1:10" x14ac:dyDescent="0.25">
      <c r="A30" s="17" t="s">
        <v>30</v>
      </c>
      <c r="B30" s="17">
        <v>2013</v>
      </c>
      <c r="C30" s="17" t="s">
        <v>40</v>
      </c>
      <c r="D30" s="16">
        <f>SUM('Working sheet'!$D30:$P30)</f>
        <v>1517.1999999999998</v>
      </c>
      <c r="E30" s="17">
        <f>SUM('Working sheet'!$Q30)</f>
        <v>113.5</v>
      </c>
      <c r="F30" s="17">
        <f>SUM('Working sheet'!$R30:$T30)</f>
        <v>334.2</v>
      </c>
      <c r="G30" s="17">
        <f>SUM('Working sheet'!$U30)</f>
        <v>110.5</v>
      </c>
      <c r="H30" s="17">
        <f>SUM('Working sheet'!$V30)</f>
        <v>109.7</v>
      </c>
      <c r="I30" s="17">
        <f>SUM('Working sheet'!$W30:$AC30)</f>
        <v>764.09999999999991</v>
      </c>
      <c r="J30" s="25">
        <v>114</v>
      </c>
    </row>
    <row r="31" spans="1:10" x14ac:dyDescent="0.25">
      <c r="A31" s="14" t="s">
        <v>31</v>
      </c>
      <c r="B31" s="14">
        <v>2013</v>
      </c>
      <c r="C31" s="14" t="s">
        <v>40</v>
      </c>
      <c r="D31" s="13">
        <f>SUM('Working sheet'!$D31:$P31)</f>
        <v>1510.2000000000003</v>
      </c>
      <c r="E31" s="14">
        <f>SUM('Working sheet'!$Q31)</f>
        <v>112.5</v>
      </c>
      <c r="F31" s="14">
        <f>SUM('Working sheet'!$R31:$T31)</f>
        <v>337.2</v>
      </c>
      <c r="G31" s="14">
        <f>SUM('Working sheet'!$U31)</f>
        <v>110.5</v>
      </c>
      <c r="H31" s="14">
        <f>SUM('Working sheet'!$V31)</f>
        <v>110.9</v>
      </c>
      <c r="I31" s="14">
        <f>SUM('Working sheet'!$W31:$AC31)</f>
        <v>763.9</v>
      </c>
      <c r="J31" s="26">
        <v>114.8</v>
      </c>
    </row>
    <row r="32" spans="1:10" x14ac:dyDescent="0.25">
      <c r="A32" s="17" t="s">
        <v>28</v>
      </c>
      <c r="B32" s="17">
        <v>2013</v>
      </c>
      <c r="C32" s="17" t="s">
        <v>41</v>
      </c>
      <c r="D32" s="16">
        <f>SUM('Working sheet'!$D32:$P32)</f>
        <v>1536.8</v>
      </c>
      <c r="E32" s="17">
        <f>SUM('Working sheet'!$Q32)</f>
        <v>112.8</v>
      </c>
      <c r="F32" s="17">
        <f>SUM('Working sheet'!$R32:$T32)</f>
        <v>342.1</v>
      </c>
      <c r="G32" s="17">
        <f>SUM('Working sheet'!$U32)</f>
        <v>110.9</v>
      </c>
      <c r="H32" s="17">
        <f>SUM('Working sheet'!$V32)</f>
        <v>112.6</v>
      </c>
      <c r="I32" s="17">
        <f>SUM('Working sheet'!$W32:$AC32)</f>
        <v>768.3</v>
      </c>
      <c r="J32" s="25">
        <v>117.4</v>
      </c>
    </row>
    <row r="33" spans="1:10" x14ac:dyDescent="0.25">
      <c r="A33" s="14" t="s">
        <v>30</v>
      </c>
      <c r="B33" s="14">
        <v>2013</v>
      </c>
      <c r="C33" s="14" t="s">
        <v>42</v>
      </c>
      <c r="D33" s="13">
        <f>SUM('Working sheet'!$D33:$P33)</f>
        <v>1544.6</v>
      </c>
      <c r="E33" s="14">
        <f>SUM('Working sheet'!$Q33)</f>
        <v>114.1</v>
      </c>
      <c r="F33" s="14">
        <f>SUM('Working sheet'!$R33:$T33)</f>
        <v>336.8</v>
      </c>
      <c r="G33" s="14">
        <f>SUM('Working sheet'!$U33)</f>
        <v>111.1</v>
      </c>
      <c r="H33" s="14">
        <f>SUM('Working sheet'!$V33)</f>
        <v>110</v>
      </c>
      <c r="I33" s="14">
        <f>SUM('Working sheet'!$W33:$AC33)</f>
        <v>766.3</v>
      </c>
      <c r="J33" s="26">
        <v>115</v>
      </c>
    </row>
    <row r="34" spans="1:10" x14ac:dyDescent="0.25">
      <c r="A34" s="17" t="s">
        <v>31</v>
      </c>
      <c r="B34" s="17">
        <v>2013</v>
      </c>
      <c r="C34" s="17" t="s">
        <v>42</v>
      </c>
      <c r="D34" s="16">
        <f>SUM('Working sheet'!$D34:$P34)</f>
        <v>1538.8</v>
      </c>
      <c r="E34" s="17">
        <f>SUM('Working sheet'!$Q34)</f>
        <v>113.1</v>
      </c>
      <c r="F34" s="17">
        <f>SUM('Working sheet'!$R34:$T34)</f>
        <v>339.90000000000003</v>
      </c>
      <c r="G34" s="17">
        <f>SUM('Working sheet'!$U34)</f>
        <v>111.1</v>
      </c>
      <c r="H34" s="17">
        <f>SUM('Working sheet'!$V34)</f>
        <v>111.6</v>
      </c>
      <c r="I34" s="17">
        <f>SUM('Working sheet'!$W34:$AC34)</f>
        <v>767.50000000000011</v>
      </c>
      <c r="J34" s="25">
        <v>116.3</v>
      </c>
    </row>
    <row r="35" spans="1:10" x14ac:dyDescent="0.25">
      <c r="A35" s="14" t="s">
        <v>28</v>
      </c>
      <c r="B35" s="14">
        <v>2013</v>
      </c>
      <c r="C35" s="14" t="s">
        <v>43</v>
      </c>
      <c r="D35" s="13">
        <f>SUM('Working sheet'!$D35:$P35)</f>
        <v>1509</v>
      </c>
      <c r="E35" s="14">
        <f>SUM('Working sheet'!$Q35)</f>
        <v>113.6</v>
      </c>
      <c r="F35" s="14">
        <f>SUM('Working sheet'!$R35:$T35)</f>
        <v>345.3</v>
      </c>
      <c r="G35" s="14">
        <f>SUM('Working sheet'!$U35)</f>
        <v>111.2</v>
      </c>
      <c r="H35" s="14">
        <f>SUM('Working sheet'!$V35)</f>
        <v>112.8</v>
      </c>
      <c r="I35" s="14">
        <f>SUM('Working sheet'!$W35:$AC35)</f>
        <v>771.1</v>
      </c>
      <c r="J35" s="26">
        <v>115.5</v>
      </c>
    </row>
    <row r="36" spans="1:10" x14ac:dyDescent="0.25">
      <c r="A36" s="17" t="s">
        <v>30</v>
      </c>
      <c r="B36" s="17">
        <v>2013</v>
      </c>
      <c r="C36" s="17" t="s">
        <v>43</v>
      </c>
      <c r="D36" s="16">
        <f>SUM('Working sheet'!$D36:$P36)</f>
        <v>1504.4</v>
      </c>
      <c r="E36" s="17">
        <f>SUM('Working sheet'!$Q36)</f>
        <v>115</v>
      </c>
      <c r="F36" s="17">
        <f>SUM('Working sheet'!$R36:$T36)</f>
        <v>338.8</v>
      </c>
      <c r="G36" s="17">
        <f>SUM('Working sheet'!$U36)</f>
        <v>110.7</v>
      </c>
      <c r="H36" s="17">
        <f>SUM('Working sheet'!$V36)</f>
        <v>110.4</v>
      </c>
      <c r="I36" s="17">
        <f>SUM('Working sheet'!$W36:$AC36)</f>
        <v>767.8</v>
      </c>
      <c r="J36" s="25">
        <v>113.3</v>
      </c>
    </row>
    <row r="37" spans="1:10" x14ac:dyDescent="0.25">
      <c r="A37" s="14" t="s">
        <v>31</v>
      </c>
      <c r="B37" s="14">
        <v>2013</v>
      </c>
      <c r="C37" s="14" t="s">
        <v>43</v>
      </c>
      <c r="D37" s="13">
        <f>SUM('Working sheet'!$D37:$P37)</f>
        <v>1507.3000000000002</v>
      </c>
      <c r="E37" s="14">
        <f>SUM('Working sheet'!$Q37)</f>
        <v>114</v>
      </c>
      <c r="F37" s="14">
        <f>SUM('Working sheet'!$R37:$T37)</f>
        <v>342.7</v>
      </c>
      <c r="G37" s="14">
        <f>SUM('Working sheet'!$U37)</f>
        <v>110.7</v>
      </c>
      <c r="H37" s="14">
        <f>SUM('Working sheet'!$V37)</f>
        <v>111.9</v>
      </c>
      <c r="I37" s="14">
        <f>SUM('Working sheet'!$W37:$AC37)</f>
        <v>769.6</v>
      </c>
      <c r="J37" s="26">
        <v>114.5</v>
      </c>
    </row>
    <row r="38" spans="1:10" x14ac:dyDescent="0.25">
      <c r="A38" s="17" t="s">
        <v>28</v>
      </c>
      <c r="B38" s="17">
        <v>2014</v>
      </c>
      <c r="C38" s="17" t="s">
        <v>29</v>
      </c>
      <c r="D38" s="16">
        <f>SUM('Working sheet'!$D38:$P38)</f>
        <v>1486.6000000000001</v>
      </c>
      <c r="E38" s="17">
        <f>SUM('Working sheet'!$Q38)</f>
        <v>114</v>
      </c>
      <c r="F38" s="17">
        <f>SUM('Working sheet'!$R38:$T38)</f>
        <v>347.2</v>
      </c>
      <c r="G38" s="17">
        <f>SUM('Working sheet'!$U38)</f>
        <v>112.1</v>
      </c>
      <c r="H38" s="17">
        <f>SUM('Working sheet'!$V38)</f>
        <v>113</v>
      </c>
      <c r="I38" s="17">
        <f>SUM('Working sheet'!$W38:$AC38)</f>
        <v>773.99999999999989</v>
      </c>
      <c r="J38" s="25">
        <v>114.2</v>
      </c>
    </row>
    <row r="39" spans="1:10" x14ac:dyDescent="0.25">
      <c r="A39" s="14" t="s">
        <v>30</v>
      </c>
      <c r="B39" s="14">
        <v>2014</v>
      </c>
      <c r="C39" s="14" t="s">
        <v>29</v>
      </c>
      <c r="D39" s="13">
        <f>SUM('Working sheet'!$D39:$P39)</f>
        <v>1484.3</v>
      </c>
      <c r="E39" s="14">
        <f>SUM('Working sheet'!$Q39)</f>
        <v>115.7</v>
      </c>
      <c r="F39" s="14">
        <f>SUM('Working sheet'!$R39:$T39)</f>
        <v>340.4</v>
      </c>
      <c r="G39" s="14">
        <f>SUM('Working sheet'!$U39)</f>
        <v>111.6</v>
      </c>
      <c r="H39" s="14">
        <f>SUM('Working sheet'!$V39)</f>
        <v>111</v>
      </c>
      <c r="I39" s="14">
        <f>SUM('Working sheet'!$W39:$AC39)</f>
        <v>772.2</v>
      </c>
      <c r="J39" s="26">
        <v>112.9</v>
      </c>
    </row>
    <row r="40" spans="1:10" x14ac:dyDescent="0.25">
      <c r="A40" s="17" t="s">
        <v>31</v>
      </c>
      <c r="B40" s="17">
        <v>2014</v>
      </c>
      <c r="C40" s="17" t="s">
        <v>29</v>
      </c>
      <c r="D40" s="16">
        <f>SUM('Working sheet'!$D40:$P40)</f>
        <v>1485.7999999999997</v>
      </c>
      <c r="E40" s="17">
        <f>SUM('Working sheet'!$Q40)</f>
        <v>114.5</v>
      </c>
      <c r="F40" s="17">
        <f>SUM('Working sheet'!$R40:$T40)</f>
        <v>344.4</v>
      </c>
      <c r="G40" s="17">
        <f>SUM('Working sheet'!$U40)</f>
        <v>111.6</v>
      </c>
      <c r="H40" s="17">
        <f>SUM('Working sheet'!$V40)</f>
        <v>112.2</v>
      </c>
      <c r="I40" s="17">
        <f>SUM('Working sheet'!$W40:$AC40)</f>
        <v>773.40000000000009</v>
      </c>
      <c r="J40" s="25">
        <v>113.6</v>
      </c>
    </row>
    <row r="41" spans="1:10" x14ac:dyDescent="0.25">
      <c r="A41" s="14" t="s">
        <v>28</v>
      </c>
      <c r="B41" s="14">
        <v>2014</v>
      </c>
      <c r="C41" s="14" t="s">
        <v>32</v>
      </c>
      <c r="D41" s="13">
        <f>SUM('Working sheet'!$D41:$P41)</f>
        <v>1482.2</v>
      </c>
      <c r="E41" s="14">
        <f>SUM('Working sheet'!$Q41)</f>
        <v>114.2</v>
      </c>
      <c r="F41" s="14">
        <f>SUM('Working sheet'!$R41:$T41)</f>
        <v>348.3</v>
      </c>
      <c r="G41" s="14">
        <f>SUM('Working sheet'!$U41)</f>
        <v>112.9</v>
      </c>
      <c r="H41" s="14">
        <f>SUM('Working sheet'!$V41)</f>
        <v>113.2</v>
      </c>
      <c r="I41" s="14">
        <f>SUM('Working sheet'!$W41:$AC41)</f>
        <v>776.1</v>
      </c>
      <c r="J41" s="26">
        <v>114</v>
      </c>
    </row>
    <row r="42" spans="1:10" x14ac:dyDescent="0.25">
      <c r="A42" s="17" t="s">
        <v>30</v>
      </c>
      <c r="B42" s="17">
        <v>2014</v>
      </c>
      <c r="C42" s="17" t="s">
        <v>32</v>
      </c>
      <c r="D42" s="16">
        <f>SUM('Working sheet'!$D42:$P42)</f>
        <v>1476</v>
      </c>
      <c r="E42" s="17">
        <f>SUM('Working sheet'!$Q42)</f>
        <v>116.2</v>
      </c>
      <c r="F42" s="17">
        <f>SUM('Working sheet'!$R42:$T42)</f>
        <v>341.7</v>
      </c>
      <c r="G42" s="17">
        <f>SUM('Working sheet'!$U42)</f>
        <v>112.5</v>
      </c>
      <c r="H42" s="17">
        <f>SUM('Working sheet'!$V42)</f>
        <v>111.1</v>
      </c>
      <c r="I42" s="17">
        <f>SUM('Working sheet'!$W42:$AC42)</f>
        <v>775.90000000000009</v>
      </c>
      <c r="J42" s="25">
        <v>113.1</v>
      </c>
    </row>
    <row r="43" spans="1:10" x14ac:dyDescent="0.25">
      <c r="A43" s="14" t="s">
        <v>31</v>
      </c>
      <c r="B43" s="14">
        <v>2014</v>
      </c>
      <c r="C43" s="14" t="s">
        <v>32</v>
      </c>
      <c r="D43" s="13">
        <f>SUM('Working sheet'!$D43:$P43)</f>
        <v>1480.1</v>
      </c>
      <c r="E43" s="14">
        <f>SUM('Working sheet'!$Q43)</f>
        <v>114.7</v>
      </c>
      <c r="F43" s="14">
        <f>SUM('Working sheet'!$R43:$T43)</f>
        <v>345.6</v>
      </c>
      <c r="G43" s="14">
        <f>SUM('Working sheet'!$U43)</f>
        <v>112.5</v>
      </c>
      <c r="H43" s="14">
        <f>SUM('Working sheet'!$V43)</f>
        <v>112.4</v>
      </c>
      <c r="I43" s="14">
        <f>SUM('Working sheet'!$W43:$AC43)</f>
        <v>776.1</v>
      </c>
      <c r="J43" s="26">
        <v>113.6</v>
      </c>
    </row>
    <row r="44" spans="1:10" x14ac:dyDescent="0.25">
      <c r="A44" s="17" t="s">
        <v>28</v>
      </c>
      <c r="B44" s="17">
        <v>2014</v>
      </c>
      <c r="C44" s="17" t="s">
        <v>33</v>
      </c>
      <c r="D44" s="16">
        <f>SUM('Working sheet'!$D44:$P44)</f>
        <v>1491.4</v>
      </c>
      <c r="E44" s="17">
        <f>SUM('Working sheet'!$Q44)</f>
        <v>114.6</v>
      </c>
      <c r="F44" s="17">
        <f>SUM('Working sheet'!$R44:$T44)</f>
        <v>349.6</v>
      </c>
      <c r="G44" s="17">
        <f>SUM('Working sheet'!$U44)</f>
        <v>113.6</v>
      </c>
      <c r="H44" s="17">
        <f>SUM('Working sheet'!$V44)</f>
        <v>113.4</v>
      </c>
      <c r="I44" s="17">
        <f>SUM('Working sheet'!$W44:$AC44)</f>
        <v>778.8</v>
      </c>
      <c r="J44" s="25">
        <v>114.6</v>
      </c>
    </row>
    <row r="45" spans="1:10" x14ac:dyDescent="0.25">
      <c r="A45" s="14" t="s">
        <v>30</v>
      </c>
      <c r="B45" s="14">
        <v>2014</v>
      </c>
      <c r="C45" s="14" t="s">
        <v>33</v>
      </c>
      <c r="D45" s="13">
        <f>SUM('Working sheet'!$D45:$P45)</f>
        <v>1483</v>
      </c>
      <c r="E45" s="14">
        <f>SUM('Working sheet'!$Q45)</f>
        <v>116.7</v>
      </c>
      <c r="F45" s="14">
        <f>SUM('Working sheet'!$R45:$T45)</f>
        <v>343.09999999999997</v>
      </c>
      <c r="G45" s="14">
        <f>SUM('Working sheet'!$U45)</f>
        <v>113.2</v>
      </c>
      <c r="H45" s="14">
        <f>SUM('Working sheet'!$V45)</f>
        <v>110.9</v>
      </c>
      <c r="I45" s="14">
        <f>SUM('Working sheet'!$W45:$AC45)</f>
        <v>778.69999999999993</v>
      </c>
      <c r="J45" s="26">
        <v>113.7</v>
      </c>
    </row>
    <row r="46" spans="1:10" x14ac:dyDescent="0.25">
      <c r="A46" s="17" t="s">
        <v>31</v>
      </c>
      <c r="B46" s="17">
        <v>2014</v>
      </c>
      <c r="C46" s="17" t="s">
        <v>44</v>
      </c>
      <c r="D46" s="16">
        <f>SUM('Working sheet'!$D46:$P46)</f>
        <v>1488.2999999999997</v>
      </c>
      <c r="E46" s="17">
        <f>SUM('Working sheet'!$Q46)</f>
        <v>115.2</v>
      </c>
      <c r="F46" s="17">
        <f>SUM('Working sheet'!$R46:$T46)</f>
        <v>346.9</v>
      </c>
      <c r="G46" s="17">
        <f>SUM('Working sheet'!$U46)</f>
        <v>113.2</v>
      </c>
      <c r="H46" s="17">
        <f>SUM('Working sheet'!$V46)</f>
        <v>112.5</v>
      </c>
      <c r="I46" s="17">
        <f>SUM('Working sheet'!$W46:$AC46)</f>
        <v>778.69999999999993</v>
      </c>
      <c r="J46" s="25">
        <v>114.2</v>
      </c>
    </row>
    <row r="47" spans="1:10" x14ac:dyDescent="0.25">
      <c r="A47" s="14" t="s">
        <v>28</v>
      </c>
      <c r="B47" s="14">
        <v>2014</v>
      </c>
      <c r="C47" s="14" t="s">
        <v>34</v>
      </c>
      <c r="D47" s="13">
        <f>SUM('Working sheet'!$D47:$P47)</f>
        <v>1504.1000000000001</v>
      </c>
      <c r="E47" s="14">
        <f>SUM('Working sheet'!$Q47)</f>
        <v>115.4</v>
      </c>
      <c r="F47" s="14">
        <f>SUM('Working sheet'!$R47:$T47)</f>
        <v>352</v>
      </c>
      <c r="G47" s="14">
        <f>SUM('Working sheet'!$U47)</f>
        <v>114.1</v>
      </c>
      <c r="H47" s="14">
        <f>SUM('Working sheet'!$V47)</f>
        <v>113.4</v>
      </c>
      <c r="I47" s="14">
        <f>SUM('Working sheet'!$W47:$AC47)</f>
        <v>780.6</v>
      </c>
      <c r="J47" s="26">
        <v>115.4</v>
      </c>
    </row>
    <row r="48" spans="1:10" x14ac:dyDescent="0.25">
      <c r="A48" s="17" t="s">
        <v>30</v>
      </c>
      <c r="B48" s="17">
        <v>2014</v>
      </c>
      <c r="C48" s="17" t="s">
        <v>34</v>
      </c>
      <c r="D48" s="16">
        <f>SUM('Working sheet'!$D48:$P48)</f>
        <v>1504.0000000000002</v>
      </c>
      <c r="E48" s="17">
        <f>SUM('Working sheet'!$Q48)</f>
        <v>117.6</v>
      </c>
      <c r="F48" s="17">
        <f>SUM('Working sheet'!$R48:$T48)</f>
        <v>344.5</v>
      </c>
      <c r="G48" s="17">
        <f>SUM('Working sheet'!$U48)</f>
        <v>113.9</v>
      </c>
      <c r="H48" s="17">
        <f>SUM('Working sheet'!$V48)</f>
        <v>110.9</v>
      </c>
      <c r="I48" s="17">
        <f>SUM('Working sheet'!$W48:$AC48)</f>
        <v>779.8</v>
      </c>
      <c r="J48" s="25">
        <v>114.7</v>
      </c>
    </row>
    <row r="49" spans="1:10" x14ac:dyDescent="0.25">
      <c r="A49" s="14" t="s">
        <v>31</v>
      </c>
      <c r="B49" s="14">
        <v>2014</v>
      </c>
      <c r="C49" s="14" t="s">
        <v>34</v>
      </c>
      <c r="D49" s="13">
        <f>SUM('Working sheet'!$D49:$P49)</f>
        <v>1504.1</v>
      </c>
      <c r="E49" s="14">
        <f>SUM('Working sheet'!$Q49)</f>
        <v>116</v>
      </c>
      <c r="F49" s="14">
        <f>SUM('Working sheet'!$R49:$T49)</f>
        <v>349</v>
      </c>
      <c r="G49" s="14">
        <f>SUM('Working sheet'!$U49)</f>
        <v>113.9</v>
      </c>
      <c r="H49" s="14">
        <f>SUM('Working sheet'!$V49)</f>
        <v>112.5</v>
      </c>
      <c r="I49" s="14">
        <f>SUM('Working sheet'!$W49:$AC49)</f>
        <v>780.40000000000009</v>
      </c>
      <c r="J49" s="26">
        <v>115.1</v>
      </c>
    </row>
    <row r="50" spans="1:10" x14ac:dyDescent="0.25">
      <c r="A50" s="17" t="s">
        <v>28</v>
      </c>
      <c r="B50" s="17">
        <v>2014</v>
      </c>
      <c r="C50" s="17" t="s">
        <v>35</v>
      </c>
      <c r="D50" s="16">
        <f>SUM('Working sheet'!$D50:$P50)</f>
        <v>1513.8999999999999</v>
      </c>
      <c r="E50" s="17">
        <f>SUM('Working sheet'!$Q50)</f>
        <v>116.3</v>
      </c>
      <c r="F50" s="17">
        <f>SUM('Working sheet'!$R50:$T50)</f>
        <v>354</v>
      </c>
      <c r="G50" s="17">
        <f>SUM('Working sheet'!$U50)</f>
        <v>114.1</v>
      </c>
      <c r="H50" s="17">
        <f>SUM('Working sheet'!$V50)</f>
        <v>113.4</v>
      </c>
      <c r="I50" s="17">
        <f>SUM('Working sheet'!$W50:$AC50)</f>
        <v>782.3</v>
      </c>
      <c r="J50" s="25">
        <v>116</v>
      </c>
    </row>
    <row r="51" spans="1:10" x14ac:dyDescent="0.25">
      <c r="A51" s="14" t="s">
        <v>30</v>
      </c>
      <c r="B51" s="14">
        <v>2014</v>
      </c>
      <c r="C51" s="14" t="s">
        <v>35</v>
      </c>
      <c r="D51" s="13">
        <f>SUM('Working sheet'!$D51:$P51)</f>
        <v>1525.3000000000002</v>
      </c>
      <c r="E51" s="14">
        <f>SUM('Working sheet'!$Q51)</f>
        <v>118.3</v>
      </c>
      <c r="F51" s="14">
        <f>SUM('Working sheet'!$R51:$T51)</f>
        <v>345.9</v>
      </c>
      <c r="G51" s="14">
        <f>SUM('Working sheet'!$U51)</f>
        <v>114.3</v>
      </c>
      <c r="H51" s="14">
        <f>SUM('Working sheet'!$V51)</f>
        <v>111.1</v>
      </c>
      <c r="I51" s="14">
        <f>SUM('Working sheet'!$W51:$AC51)</f>
        <v>782</v>
      </c>
      <c r="J51" s="26">
        <v>115.6</v>
      </c>
    </row>
    <row r="52" spans="1:10" x14ac:dyDescent="0.25">
      <c r="A52" s="17" t="s">
        <v>31</v>
      </c>
      <c r="B52" s="17">
        <v>2014</v>
      </c>
      <c r="C52" s="17" t="s">
        <v>35</v>
      </c>
      <c r="D52" s="16">
        <f>SUM('Working sheet'!$D52:$P52)</f>
        <v>1518.5000000000005</v>
      </c>
      <c r="E52" s="17">
        <f>SUM('Working sheet'!$Q52)</f>
        <v>116.8</v>
      </c>
      <c r="F52" s="17">
        <f>SUM('Working sheet'!$R52:$T52)</f>
        <v>350.79999999999995</v>
      </c>
      <c r="G52" s="17">
        <f>SUM('Working sheet'!$U52)</f>
        <v>114.3</v>
      </c>
      <c r="H52" s="17">
        <f>SUM('Working sheet'!$V52)</f>
        <v>112.5</v>
      </c>
      <c r="I52" s="17">
        <f>SUM('Working sheet'!$W52:$AC52)</f>
        <v>782.3</v>
      </c>
      <c r="J52" s="25">
        <v>115.8</v>
      </c>
    </row>
    <row r="53" spans="1:10" x14ac:dyDescent="0.25">
      <c r="A53" s="14" t="s">
        <v>28</v>
      </c>
      <c r="B53" s="14">
        <v>2014</v>
      </c>
      <c r="C53" s="14" t="s">
        <v>36</v>
      </c>
      <c r="D53" s="13">
        <f>SUM('Working sheet'!$D53:$P53)</f>
        <v>1525.6999999999998</v>
      </c>
      <c r="E53" s="14">
        <f>SUM('Working sheet'!$Q53)</f>
        <v>117.3</v>
      </c>
      <c r="F53" s="14">
        <f>SUM('Working sheet'!$R53:$T53)</f>
        <v>356.3</v>
      </c>
      <c r="G53" s="14">
        <f>SUM('Working sheet'!$U53)</f>
        <v>114.4</v>
      </c>
      <c r="H53" s="14">
        <f>SUM('Working sheet'!$V53)</f>
        <v>114.4</v>
      </c>
      <c r="I53" s="14">
        <f>SUM('Working sheet'!$W53:$AC53)</f>
        <v>785.89999999999986</v>
      </c>
      <c r="J53" s="26">
        <v>117</v>
      </c>
    </row>
    <row r="54" spans="1:10" x14ac:dyDescent="0.25">
      <c r="A54" s="17" t="s">
        <v>30</v>
      </c>
      <c r="B54" s="17">
        <v>2014</v>
      </c>
      <c r="C54" s="17" t="s">
        <v>36</v>
      </c>
      <c r="D54" s="16">
        <f>SUM('Working sheet'!$D54:$P54)</f>
        <v>1547</v>
      </c>
      <c r="E54" s="17">
        <f>SUM('Working sheet'!$Q54)</f>
        <v>119</v>
      </c>
      <c r="F54" s="17">
        <f>SUM('Working sheet'!$R54:$T54)</f>
        <v>347.3</v>
      </c>
      <c r="G54" s="17">
        <f>SUM('Working sheet'!$U54)</f>
        <v>113.9</v>
      </c>
      <c r="H54" s="17">
        <f>SUM('Working sheet'!$V54)</f>
        <v>111.2</v>
      </c>
      <c r="I54" s="17">
        <f>SUM('Working sheet'!$W54:$AC54)</f>
        <v>785.00000000000011</v>
      </c>
      <c r="J54" s="25">
        <v>116.4</v>
      </c>
    </row>
    <row r="55" spans="1:10" x14ac:dyDescent="0.25">
      <c r="A55" s="14" t="s">
        <v>31</v>
      </c>
      <c r="B55" s="14">
        <v>2014</v>
      </c>
      <c r="C55" s="14" t="s">
        <v>36</v>
      </c>
      <c r="D55" s="13">
        <f>SUM('Working sheet'!$D55:$P55)</f>
        <v>1533.7000000000003</v>
      </c>
      <c r="E55" s="14">
        <f>SUM('Working sheet'!$Q55)</f>
        <v>117.8</v>
      </c>
      <c r="F55" s="14">
        <f>SUM('Working sheet'!$R55:$T55)</f>
        <v>352.7</v>
      </c>
      <c r="G55" s="14">
        <f>SUM('Working sheet'!$U55)</f>
        <v>113.9</v>
      </c>
      <c r="H55" s="14">
        <f>SUM('Working sheet'!$V55)</f>
        <v>113.2</v>
      </c>
      <c r="I55" s="14">
        <f>SUM('Working sheet'!$W55:$AC55)</f>
        <v>785.69999999999982</v>
      </c>
      <c r="J55" s="26">
        <v>116.7</v>
      </c>
    </row>
    <row r="56" spans="1:10" x14ac:dyDescent="0.25">
      <c r="A56" s="17" t="s">
        <v>28</v>
      </c>
      <c r="B56" s="17">
        <v>2014</v>
      </c>
      <c r="C56" s="17" t="s">
        <v>37</v>
      </c>
      <c r="D56" s="16">
        <f>SUM('Working sheet'!$D56:$P56)</f>
        <v>1563.2</v>
      </c>
      <c r="E56" s="17">
        <f>SUM('Working sheet'!$Q56)</f>
        <v>118</v>
      </c>
      <c r="F56" s="17">
        <f>SUM('Working sheet'!$R56:$T56)</f>
        <v>359.3</v>
      </c>
      <c r="G56" s="17">
        <f>SUM('Working sheet'!$U56)</f>
        <v>115.2</v>
      </c>
      <c r="H56" s="17">
        <f>SUM('Working sheet'!$V56)</f>
        <v>115.3</v>
      </c>
      <c r="I56" s="17">
        <f>SUM('Working sheet'!$W56:$AC56)</f>
        <v>791.19999999999993</v>
      </c>
      <c r="J56" s="25">
        <v>119.5</v>
      </c>
    </row>
    <row r="57" spans="1:10" x14ac:dyDescent="0.25">
      <c r="A57" s="14" t="s">
        <v>30</v>
      </c>
      <c r="B57" s="14">
        <v>2014</v>
      </c>
      <c r="C57" s="14" t="s">
        <v>37</v>
      </c>
      <c r="D57" s="13">
        <f>SUM('Working sheet'!$D57:$P57)</f>
        <v>1599.5</v>
      </c>
      <c r="E57" s="14">
        <f>SUM('Working sheet'!$Q57)</f>
        <v>121</v>
      </c>
      <c r="F57" s="14">
        <f>SUM('Working sheet'!$R57:$T57)</f>
        <v>349</v>
      </c>
      <c r="G57" s="14">
        <f>SUM('Working sheet'!$U57)</f>
        <v>114.8</v>
      </c>
      <c r="H57" s="14">
        <f>SUM('Working sheet'!$V57)</f>
        <v>111.6</v>
      </c>
      <c r="I57" s="14">
        <f>SUM('Working sheet'!$W57:$AC57)</f>
        <v>792.8</v>
      </c>
      <c r="J57" s="26">
        <v>118.9</v>
      </c>
    </row>
    <row r="58" spans="1:10" x14ac:dyDescent="0.25">
      <c r="A58" s="17" t="s">
        <v>31</v>
      </c>
      <c r="B58" s="17">
        <v>2014</v>
      </c>
      <c r="C58" s="17" t="s">
        <v>37</v>
      </c>
      <c r="D58" s="16">
        <f>SUM('Working sheet'!$D58:$P58)</f>
        <v>1576.3</v>
      </c>
      <c r="E58" s="17">
        <f>SUM('Working sheet'!$Q58)</f>
        <v>118.8</v>
      </c>
      <c r="F58" s="17">
        <f>SUM('Working sheet'!$R58:$T58)</f>
        <v>355</v>
      </c>
      <c r="G58" s="17">
        <f>SUM('Working sheet'!$U58)</f>
        <v>114.8</v>
      </c>
      <c r="H58" s="17">
        <f>SUM('Working sheet'!$V58)</f>
        <v>113.9</v>
      </c>
      <c r="I58" s="17">
        <f>SUM('Working sheet'!$W58:$AC58)</f>
        <v>792.4</v>
      </c>
      <c r="J58" s="25">
        <v>119.2</v>
      </c>
    </row>
    <row r="59" spans="1:10" x14ac:dyDescent="0.25">
      <c r="A59" s="14" t="s">
        <v>28</v>
      </c>
      <c r="B59" s="14">
        <v>2014</v>
      </c>
      <c r="C59" s="14" t="s">
        <v>38</v>
      </c>
      <c r="D59" s="13">
        <f>SUM('Working sheet'!$D59:$P59)</f>
        <v>1582.2999999999997</v>
      </c>
      <c r="E59" s="14">
        <f>SUM('Working sheet'!$Q59)</f>
        <v>118.8</v>
      </c>
      <c r="F59" s="14">
        <f>SUM('Working sheet'!$R59:$T59)</f>
        <v>360.4</v>
      </c>
      <c r="G59" s="14">
        <f>SUM('Working sheet'!$U59)</f>
        <v>115.8</v>
      </c>
      <c r="H59" s="14">
        <f>SUM('Working sheet'!$V59)</f>
        <v>115.4</v>
      </c>
      <c r="I59" s="14">
        <f>SUM('Working sheet'!$W59:$AC59)</f>
        <v>794.4</v>
      </c>
      <c r="J59" s="26">
        <v>120.7</v>
      </c>
    </row>
    <row r="60" spans="1:10" x14ac:dyDescent="0.25">
      <c r="A60" s="17" t="s">
        <v>30</v>
      </c>
      <c r="B60" s="17">
        <v>2014</v>
      </c>
      <c r="C60" s="17" t="s">
        <v>38</v>
      </c>
      <c r="D60" s="16">
        <f>SUM('Working sheet'!$D60:$P60)</f>
        <v>1617</v>
      </c>
      <c r="E60" s="17">
        <f>SUM('Working sheet'!$Q60)</f>
        <v>123</v>
      </c>
      <c r="F60" s="17">
        <f>SUM('Working sheet'!$R60:$T60)</f>
        <v>350.6</v>
      </c>
      <c r="G60" s="17">
        <f>SUM('Working sheet'!$U60)</f>
        <v>115.5</v>
      </c>
      <c r="H60" s="17">
        <f>SUM('Working sheet'!$V60)</f>
        <v>111.8</v>
      </c>
      <c r="I60" s="17">
        <f>SUM('Working sheet'!$W60:$AC60)</f>
        <v>796.5</v>
      </c>
      <c r="J60" s="25">
        <v>119.9</v>
      </c>
    </row>
    <row r="61" spans="1:10" x14ac:dyDescent="0.25">
      <c r="A61" s="14" t="s">
        <v>31</v>
      </c>
      <c r="B61" s="14">
        <v>2014</v>
      </c>
      <c r="C61" s="14" t="s">
        <v>38</v>
      </c>
      <c r="D61" s="13">
        <f>SUM('Working sheet'!$D61:$P61)</f>
        <v>1594.4999999999998</v>
      </c>
      <c r="E61" s="14">
        <f>SUM('Working sheet'!$Q61)</f>
        <v>119.9</v>
      </c>
      <c r="F61" s="14">
        <f>SUM('Working sheet'!$R61:$T61)</f>
        <v>356.4</v>
      </c>
      <c r="G61" s="14">
        <f>SUM('Working sheet'!$U61)</f>
        <v>115.5</v>
      </c>
      <c r="H61" s="14">
        <f>SUM('Working sheet'!$V61)</f>
        <v>114</v>
      </c>
      <c r="I61" s="14">
        <f>SUM('Working sheet'!$W61:$AC61)</f>
        <v>795.9</v>
      </c>
      <c r="J61" s="26">
        <v>120.3</v>
      </c>
    </row>
    <row r="62" spans="1:10" x14ac:dyDescent="0.25">
      <c r="A62" s="17" t="s">
        <v>28</v>
      </c>
      <c r="B62" s="17">
        <v>2014</v>
      </c>
      <c r="C62" s="17" t="s">
        <v>39</v>
      </c>
      <c r="D62" s="16">
        <f>SUM('Working sheet'!$D62:$P62)</f>
        <v>1583.2</v>
      </c>
      <c r="E62" s="17">
        <f>SUM('Working sheet'!$Q62)</f>
        <v>119.5</v>
      </c>
      <c r="F62" s="17">
        <f>SUM('Working sheet'!$R62:$T62)</f>
        <v>362.2</v>
      </c>
      <c r="G62" s="17">
        <f>SUM('Working sheet'!$U62)</f>
        <v>116.4</v>
      </c>
      <c r="H62" s="17">
        <f>SUM('Working sheet'!$V62)</f>
        <v>115.8</v>
      </c>
      <c r="I62" s="17">
        <f>SUM('Working sheet'!$W62:$AC62)</f>
        <v>796.00000000000011</v>
      </c>
      <c r="J62" s="25">
        <v>120.9</v>
      </c>
    </row>
    <row r="63" spans="1:10" x14ac:dyDescent="0.25">
      <c r="A63" s="14" t="s">
        <v>30</v>
      </c>
      <c r="B63" s="14">
        <v>2014</v>
      </c>
      <c r="C63" s="14" t="s">
        <v>39</v>
      </c>
      <c r="D63" s="13">
        <f>SUM('Working sheet'!$D63:$P63)</f>
        <v>1593.7000000000003</v>
      </c>
      <c r="E63" s="14">
        <f>SUM('Working sheet'!$Q63)</f>
        <v>124.3</v>
      </c>
      <c r="F63" s="14">
        <f>SUM('Working sheet'!$R63:$T63)</f>
        <v>352.1</v>
      </c>
      <c r="G63" s="14">
        <f>SUM('Working sheet'!$U63)</f>
        <v>116.1</v>
      </c>
      <c r="H63" s="14">
        <f>SUM('Working sheet'!$V63)</f>
        <v>111.8</v>
      </c>
      <c r="I63" s="14">
        <f>SUM('Working sheet'!$W63:$AC63)</f>
        <v>796</v>
      </c>
      <c r="J63" s="26">
        <v>119.2</v>
      </c>
    </row>
    <row r="64" spans="1:10" x14ac:dyDescent="0.25">
      <c r="A64" s="17" t="s">
        <v>31</v>
      </c>
      <c r="B64" s="17">
        <v>2014</v>
      </c>
      <c r="C64" s="17" t="s">
        <v>39</v>
      </c>
      <c r="D64" s="16">
        <f>SUM('Working sheet'!$D64:$P64)</f>
        <v>1586.0999999999997</v>
      </c>
      <c r="E64" s="17">
        <f>SUM('Working sheet'!$Q64)</f>
        <v>120.8</v>
      </c>
      <c r="F64" s="17">
        <f>SUM('Working sheet'!$R64:$T64)</f>
        <v>358</v>
      </c>
      <c r="G64" s="17">
        <f>SUM('Working sheet'!$U64)</f>
        <v>116.1</v>
      </c>
      <c r="H64" s="17">
        <f>SUM('Working sheet'!$V64)</f>
        <v>114.3</v>
      </c>
      <c r="I64" s="17">
        <f>SUM('Working sheet'!$W64:$AC64)</f>
        <v>796.7</v>
      </c>
      <c r="J64" s="25">
        <v>120.1</v>
      </c>
    </row>
    <row r="65" spans="1:10" x14ac:dyDescent="0.25">
      <c r="A65" s="14" t="s">
        <v>28</v>
      </c>
      <c r="B65" s="14">
        <v>2014</v>
      </c>
      <c r="C65" s="14" t="s">
        <v>40</v>
      </c>
      <c r="D65" s="13">
        <f>SUM('Working sheet'!$D65:$P65)</f>
        <v>1581.1999999999998</v>
      </c>
      <c r="E65" s="14">
        <f>SUM('Working sheet'!$Q65)</f>
        <v>120</v>
      </c>
      <c r="F65" s="14">
        <f>SUM('Working sheet'!$R65:$T65)</f>
        <v>365.3</v>
      </c>
      <c r="G65" s="14">
        <f>SUM('Working sheet'!$U65)</f>
        <v>116.9</v>
      </c>
      <c r="H65" s="14">
        <f>SUM('Working sheet'!$V65)</f>
        <v>116.4</v>
      </c>
      <c r="I65" s="14">
        <f>SUM('Working sheet'!$W65:$AC65)</f>
        <v>798.59999999999991</v>
      </c>
      <c r="J65" s="26">
        <v>121</v>
      </c>
    </row>
    <row r="66" spans="1:10" x14ac:dyDescent="0.25">
      <c r="A66" s="17" t="s">
        <v>30</v>
      </c>
      <c r="B66" s="17">
        <v>2014</v>
      </c>
      <c r="C66" s="17" t="s">
        <v>40</v>
      </c>
      <c r="D66" s="16">
        <f>SUM('Working sheet'!$D66:$P66)</f>
        <v>1587.5</v>
      </c>
      <c r="E66" s="17">
        <f>SUM('Working sheet'!$Q66)</f>
        <v>124.3</v>
      </c>
      <c r="F66" s="17">
        <f>SUM('Working sheet'!$R66:$T66)</f>
        <v>353.4</v>
      </c>
      <c r="G66" s="17">
        <f>SUM('Working sheet'!$U66)</f>
        <v>116.7</v>
      </c>
      <c r="H66" s="17">
        <f>SUM('Working sheet'!$V66)</f>
        <v>112</v>
      </c>
      <c r="I66" s="17">
        <f>SUM('Working sheet'!$W66:$AC66)</f>
        <v>797.00000000000011</v>
      </c>
      <c r="J66" s="25">
        <v>119.1</v>
      </c>
    </row>
    <row r="67" spans="1:10" x14ac:dyDescent="0.25">
      <c r="A67" s="14" t="s">
        <v>31</v>
      </c>
      <c r="B67" s="14">
        <v>2014</v>
      </c>
      <c r="C67" s="14" t="s">
        <v>40</v>
      </c>
      <c r="D67" s="13">
        <f>SUM('Working sheet'!$D67:$P67)</f>
        <v>1582.7</v>
      </c>
      <c r="E67" s="14">
        <f>SUM('Working sheet'!$Q67)</f>
        <v>121.1</v>
      </c>
      <c r="F67" s="14">
        <f>SUM('Working sheet'!$R67:$T67)</f>
        <v>360.6</v>
      </c>
      <c r="G67" s="14">
        <f>SUM('Working sheet'!$U67)</f>
        <v>116.7</v>
      </c>
      <c r="H67" s="14">
        <f>SUM('Working sheet'!$V67)</f>
        <v>114.7</v>
      </c>
      <c r="I67" s="14">
        <f>SUM('Working sheet'!$W67:$AC67)</f>
        <v>798.4</v>
      </c>
      <c r="J67" s="26">
        <v>120.1</v>
      </c>
    </row>
    <row r="68" spans="1:10" x14ac:dyDescent="0.25">
      <c r="A68" s="17" t="s">
        <v>28</v>
      </c>
      <c r="B68" s="17">
        <v>2014</v>
      </c>
      <c r="C68" s="17" t="s">
        <v>42</v>
      </c>
      <c r="D68" s="16">
        <f>SUM('Working sheet'!$D68:$P68)</f>
        <v>1582</v>
      </c>
      <c r="E68" s="17">
        <f>SUM('Working sheet'!$Q68)</f>
        <v>120.8</v>
      </c>
      <c r="F68" s="17">
        <f>SUM('Working sheet'!$R68:$T68)</f>
        <v>366.70000000000005</v>
      </c>
      <c r="G68" s="17">
        <f>SUM('Working sheet'!$U68)</f>
        <v>116.8</v>
      </c>
      <c r="H68" s="17">
        <f>SUM('Working sheet'!$V68)</f>
        <v>117.3</v>
      </c>
      <c r="I68" s="17">
        <f>SUM('Working sheet'!$W68:$AC68)</f>
        <v>799.4</v>
      </c>
      <c r="J68" s="25">
        <v>121.1</v>
      </c>
    </row>
    <row r="69" spans="1:10" x14ac:dyDescent="0.25">
      <c r="A69" s="14" t="s">
        <v>30</v>
      </c>
      <c r="B69" s="14">
        <v>2014</v>
      </c>
      <c r="C69" s="14" t="s">
        <v>42</v>
      </c>
      <c r="D69" s="13">
        <f>SUM('Working sheet'!$D69:$P69)</f>
        <v>1587.8</v>
      </c>
      <c r="E69" s="14">
        <f>SUM('Working sheet'!$Q69)</f>
        <v>125.8</v>
      </c>
      <c r="F69" s="14">
        <f>SUM('Working sheet'!$R69:$T69)</f>
        <v>355.2</v>
      </c>
      <c r="G69" s="14">
        <f>SUM('Working sheet'!$U69)</f>
        <v>117.1</v>
      </c>
      <c r="H69" s="14">
        <f>SUM('Working sheet'!$V69)</f>
        <v>112.6</v>
      </c>
      <c r="I69" s="14">
        <f>SUM('Working sheet'!$W69:$AC69)</f>
        <v>796.4</v>
      </c>
      <c r="J69" s="26">
        <v>119</v>
      </c>
    </row>
    <row r="70" spans="1:10" x14ac:dyDescent="0.25">
      <c r="A70" s="17" t="s">
        <v>31</v>
      </c>
      <c r="B70" s="17">
        <v>2014</v>
      </c>
      <c r="C70" s="17" t="s">
        <v>42</v>
      </c>
      <c r="D70" s="16">
        <f>SUM('Working sheet'!$D70:$P70)</f>
        <v>1583.2</v>
      </c>
      <c r="E70" s="17">
        <f>SUM('Working sheet'!$Q70)</f>
        <v>122.1</v>
      </c>
      <c r="F70" s="17">
        <f>SUM('Working sheet'!$R70:$T70)</f>
        <v>362.1</v>
      </c>
      <c r="G70" s="17">
        <f>SUM('Working sheet'!$U70)</f>
        <v>117.1</v>
      </c>
      <c r="H70" s="17">
        <f>SUM('Working sheet'!$V70)</f>
        <v>115.5</v>
      </c>
      <c r="I70" s="17">
        <f>SUM('Working sheet'!$W70:$AC70)</f>
        <v>798.49999999999989</v>
      </c>
      <c r="J70" s="25">
        <v>120.1</v>
      </c>
    </row>
    <row r="71" spans="1:10" x14ac:dyDescent="0.25">
      <c r="A71" s="14" t="s">
        <v>28</v>
      </c>
      <c r="B71" s="14">
        <v>2014</v>
      </c>
      <c r="C71" s="14" t="s">
        <v>43</v>
      </c>
      <c r="D71" s="13">
        <f>SUM('Working sheet'!$D71:$P71)</f>
        <v>1569.6</v>
      </c>
      <c r="E71" s="14">
        <f>SUM('Working sheet'!$Q71)</f>
        <v>121.7</v>
      </c>
      <c r="F71" s="14">
        <f>SUM('Working sheet'!$R71:$T71)</f>
        <v>367.7</v>
      </c>
      <c r="G71" s="14">
        <f>SUM('Working sheet'!$U71)</f>
        <v>116.9</v>
      </c>
      <c r="H71" s="14">
        <f>SUM('Working sheet'!$V71)</f>
        <v>117.4</v>
      </c>
      <c r="I71" s="14">
        <f>SUM('Working sheet'!$W71:$AC71)</f>
        <v>800.5</v>
      </c>
      <c r="J71" s="26">
        <v>120.3</v>
      </c>
    </row>
    <row r="72" spans="1:10" x14ac:dyDescent="0.25">
      <c r="A72" s="17" t="s">
        <v>30</v>
      </c>
      <c r="B72" s="17">
        <v>2014</v>
      </c>
      <c r="C72" s="17" t="s">
        <v>43</v>
      </c>
      <c r="D72" s="16">
        <f>SUM('Working sheet'!$D72:$P72)</f>
        <v>1577.1999999999998</v>
      </c>
      <c r="E72" s="17">
        <f>SUM('Working sheet'!$Q72)</f>
        <v>126.4</v>
      </c>
      <c r="F72" s="17">
        <f>SUM('Working sheet'!$R72:$T72)</f>
        <v>356.5</v>
      </c>
      <c r="G72" s="17">
        <f>SUM('Working sheet'!$U72)</f>
        <v>116.5</v>
      </c>
      <c r="H72" s="17">
        <f>SUM('Working sheet'!$V72)</f>
        <v>113</v>
      </c>
      <c r="I72" s="17">
        <f>SUM('Working sheet'!$W72:$AC72)</f>
        <v>797.6</v>
      </c>
      <c r="J72" s="25">
        <v>118.4</v>
      </c>
    </row>
    <row r="73" spans="1:10" x14ac:dyDescent="0.25">
      <c r="A73" s="14" t="s">
        <v>31</v>
      </c>
      <c r="B73" s="14">
        <v>2014</v>
      </c>
      <c r="C73" s="14" t="s">
        <v>43</v>
      </c>
      <c r="D73" s="13">
        <f>SUM('Working sheet'!$D73:$P73)</f>
        <v>1571.6999999999998</v>
      </c>
      <c r="E73" s="14">
        <f>SUM('Working sheet'!$Q73)</f>
        <v>123</v>
      </c>
      <c r="F73" s="14">
        <f>SUM('Working sheet'!$R73:$T73)</f>
        <v>363.2</v>
      </c>
      <c r="G73" s="14">
        <f>SUM('Working sheet'!$U73)</f>
        <v>116.5</v>
      </c>
      <c r="H73" s="14">
        <f>SUM('Working sheet'!$V73)</f>
        <v>115.7</v>
      </c>
      <c r="I73" s="14">
        <f>SUM('Working sheet'!$W73:$AC73)</f>
        <v>799.69999999999993</v>
      </c>
      <c r="J73" s="26">
        <v>119.4</v>
      </c>
    </row>
    <row r="74" spans="1:10" x14ac:dyDescent="0.25">
      <c r="A74" s="17" t="s">
        <v>28</v>
      </c>
      <c r="B74" s="17">
        <v>2015</v>
      </c>
      <c r="C74" s="17" t="s">
        <v>29</v>
      </c>
      <c r="D74" s="16">
        <f>SUM('Working sheet'!$D74:$P74)</f>
        <v>1568.1</v>
      </c>
      <c r="E74" s="17">
        <f>SUM('Working sheet'!$Q74)</f>
        <v>122.7</v>
      </c>
      <c r="F74" s="17">
        <f>SUM('Working sheet'!$R74:$T74)</f>
        <v>370</v>
      </c>
      <c r="G74" s="17">
        <f>SUM('Working sheet'!$U74)</f>
        <v>117.7</v>
      </c>
      <c r="H74" s="17">
        <f>SUM('Working sheet'!$V74)</f>
        <v>118.4</v>
      </c>
      <c r="I74" s="17">
        <f>SUM('Working sheet'!$W74:$AC74)</f>
        <v>803.40000000000009</v>
      </c>
      <c r="J74" s="25">
        <v>120.3</v>
      </c>
    </row>
    <row r="75" spans="1:10" x14ac:dyDescent="0.25">
      <c r="A75" s="14" t="s">
        <v>30</v>
      </c>
      <c r="B75" s="14">
        <v>2015</v>
      </c>
      <c r="C75" s="14" t="s">
        <v>29</v>
      </c>
      <c r="D75" s="13">
        <f>SUM('Working sheet'!$D75:$P75)</f>
        <v>1574.8999999999999</v>
      </c>
      <c r="E75" s="14">
        <f>SUM('Working sheet'!$Q75)</f>
        <v>127.4</v>
      </c>
      <c r="F75" s="14">
        <f>SUM('Working sheet'!$R75:$T75)</f>
        <v>357.3</v>
      </c>
      <c r="G75" s="14">
        <f>SUM('Working sheet'!$U75)</f>
        <v>117.3</v>
      </c>
      <c r="H75" s="14">
        <f>SUM('Working sheet'!$V75)</f>
        <v>113.4</v>
      </c>
      <c r="I75" s="14">
        <f>SUM('Working sheet'!$W75:$AC75)</f>
        <v>798.99999999999989</v>
      </c>
      <c r="J75" s="26">
        <v>118.5</v>
      </c>
    </row>
    <row r="76" spans="1:10" x14ac:dyDescent="0.25">
      <c r="A76" s="17" t="s">
        <v>31</v>
      </c>
      <c r="B76" s="17">
        <v>2015</v>
      </c>
      <c r="C76" s="17" t="s">
        <v>29</v>
      </c>
      <c r="D76" s="16">
        <f>SUM('Working sheet'!$D76:$P76)</f>
        <v>1569.3</v>
      </c>
      <c r="E76" s="17">
        <f>SUM('Working sheet'!$Q76)</f>
        <v>124</v>
      </c>
      <c r="F76" s="17">
        <f>SUM('Working sheet'!$R76:$T76)</f>
        <v>364.9</v>
      </c>
      <c r="G76" s="17">
        <f>SUM('Working sheet'!$U76)</f>
        <v>117.3</v>
      </c>
      <c r="H76" s="17">
        <f>SUM('Working sheet'!$V76)</f>
        <v>116.5</v>
      </c>
      <c r="I76" s="17">
        <f>SUM('Working sheet'!$W76:$AC76)</f>
        <v>801.7</v>
      </c>
      <c r="J76" s="25">
        <v>119.5</v>
      </c>
    </row>
    <row r="77" spans="1:10" x14ac:dyDescent="0.25">
      <c r="A77" s="14" t="s">
        <v>28</v>
      </c>
      <c r="B77" s="14">
        <v>2015</v>
      </c>
      <c r="C77" s="14" t="s">
        <v>32</v>
      </c>
      <c r="D77" s="13">
        <f>SUM('Working sheet'!$D77:$P77)</f>
        <v>1570.5999999999997</v>
      </c>
      <c r="E77" s="14">
        <f>SUM('Working sheet'!$Q77)</f>
        <v>124.2</v>
      </c>
      <c r="F77" s="14">
        <f>SUM('Working sheet'!$R77:$T77)</f>
        <v>373.1</v>
      </c>
      <c r="G77" s="14">
        <f>SUM('Working sheet'!$U77)</f>
        <v>118.4</v>
      </c>
      <c r="H77" s="14">
        <f>SUM('Working sheet'!$V77)</f>
        <v>120</v>
      </c>
      <c r="I77" s="14">
        <f>SUM('Working sheet'!$W77:$AC77)</f>
        <v>807.5</v>
      </c>
      <c r="J77" s="26">
        <v>120.6</v>
      </c>
    </row>
    <row r="78" spans="1:10" x14ac:dyDescent="0.25">
      <c r="A78" s="17" t="s">
        <v>30</v>
      </c>
      <c r="B78" s="17">
        <v>2015</v>
      </c>
      <c r="C78" s="17" t="s">
        <v>32</v>
      </c>
      <c r="D78" s="16">
        <f>SUM('Working sheet'!$D78:$P78)</f>
        <v>1571.1000000000001</v>
      </c>
      <c r="E78" s="17">
        <f>SUM('Working sheet'!$Q78)</f>
        <v>128.1</v>
      </c>
      <c r="F78" s="17">
        <f>SUM('Working sheet'!$R78:$T78)</f>
        <v>358.4</v>
      </c>
      <c r="G78" s="17">
        <f>SUM('Working sheet'!$U78)</f>
        <v>118.1</v>
      </c>
      <c r="H78" s="17">
        <f>SUM('Working sheet'!$V78)</f>
        <v>114</v>
      </c>
      <c r="I78" s="17">
        <f>SUM('Working sheet'!$W78:$AC78)</f>
        <v>798.80000000000007</v>
      </c>
      <c r="J78" s="25">
        <v>118.7</v>
      </c>
    </row>
    <row r="79" spans="1:10" x14ac:dyDescent="0.25">
      <c r="A79" s="14" t="s">
        <v>31</v>
      </c>
      <c r="B79" s="14">
        <v>2015</v>
      </c>
      <c r="C79" s="14" t="s">
        <v>32</v>
      </c>
      <c r="D79" s="13">
        <f>SUM('Working sheet'!$D79:$P79)</f>
        <v>1569.3999999999996</v>
      </c>
      <c r="E79" s="14">
        <f>SUM('Working sheet'!$Q79)</f>
        <v>125.2</v>
      </c>
      <c r="F79" s="14">
        <f>SUM('Working sheet'!$R79:$T79)</f>
        <v>367.2</v>
      </c>
      <c r="G79" s="14">
        <f>SUM('Working sheet'!$U79)</f>
        <v>118.1</v>
      </c>
      <c r="H79" s="14">
        <f>SUM('Working sheet'!$V79)</f>
        <v>117.7</v>
      </c>
      <c r="I79" s="14">
        <f>SUM('Working sheet'!$W79:$AC79)</f>
        <v>803.60000000000014</v>
      </c>
      <c r="J79" s="26">
        <v>119.7</v>
      </c>
    </row>
    <row r="80" spans="1:10" x14ac:dyDescent="0.25">
      <c r="A80" s="17" t="s">
        <v>28</v>
      </c>
      <c r="B80" s="17">
        <v>2015</v>
      </c>
      <c r="C80" s="17" t="s">
        <v>33</v>
      </c>
      <c r="D80" s="16">
        <f>SUM('Working sheet'!$D80:$P80)</f>
        <v>1571.5</v>
      </c>
      <c r="E80" s="17">
        <f>SUM('Working sheet'!$Q80)</f>
        <v>124.7</v>
      </c>
      <c r="F80" s="17">
        <f>SUM('Working sheet'!$R80:$T80)</f>
        <v>374.4</v>
      </c>
      <c r="G80" s="17">
        <f>SUM('Working sheet'!$U80)</f>
        <v>118.9</v>
      </c>
      <c r="H80" s="17">
        <f>SUM('Working sheet'!$V80)</f>
        <v>120.6</v>
      </c>
      <c r="I80" s="17">
        <f>SUM('Working sheet'!$W80:$AC80)</f>
        <v>811.19999999999993</v>
      </c>
      <c r="J80" s="25">
        <v>121.1</v>
      </c>
    </row>
    <row r="81" spans="1:10" x14ac:dyDescent="0.25">
      <c r="A81" s="14" t="s">
        <v>30</v>
      </c>
      <c r="B81" s="14">
        <v>2015</v>
      </c>
      <c r="C81" s="14" t="s">
        <v>33</v>
      </c>
      <c r="D81" s="13">
        <f>SUM('Working sheet'!$D81:$P81)</f>
        <v>1568.0000000000002</v>
      </c>
      <c r="E81" s="14">
        <f>SUM('Working sheet'!$Q81)</f>
        <v>128.80000000000001</v>
      </c>
      <c r="F81" s="14">
        <f>SUM('Working sheet'!$R81:$T81)</f>
        <v>359.5</v>
      </c>
      <c r="G81" s="14">
        <f>SUM('Working sheet'!$U81)</f>
        <v>118.6</v>
      </c>
      <c r="H81" s="14">
        <f>SUM('Working sheet'!$V81)</f>
        <v>114.4</v>
      </c>
      <c r="I81" s="14">
        <f>SUM('Working sheet'!$W81:$AC81)</f>
        <v>801.8</v>
      </c>
      <c r="J81" s="26">
        <v>119.1</v>
      </c>
    </row>
    <row r="82" spans="1:10" x14ac:dyDescent="0.25">
      <c r="A82" s="17" t="s">
        <v>31</v>
      </c>
      <c r="B82" s="17">
        <v>2015</v>
      </c>
      <c r="C82" s="17" t="s">
        <v>33</v>
      </c>
      <c r="D82" s="16">
        <f>SUM('Working sheet'!$D82:$P82)</f>
        <v>1569.1</v>
      </c>
      <c r="E82" s="17">
        <f>SUM('Working sheet'!$Q82)</f>
        <v>125.8</v>
      </c>
      <c r="F82" s="17">
        <f>SUM('Working sheet'!$R82:$T82)</f>
        <v>368.4</v>
      </c>
      <c r="G82" s="17">
        <f>SUM('Working sheet'!$U82)</f>
        <v>118.6</v>
      </c>
      <c r="H82" s="17">
        <f>SUM('Working sheet'!$V82)</f>
        <v>118.3</v>
      </c>
      <c r="I82" s="17">
        <f>SUM('Working sheet'!$W82:$AC82)</f>
        <v>807.00000000000011</v>
      </c>
      <c r="J82" s="25">
        <v>120.2</v>
      </c>
    </row>
    <row r="83" spans="1:10" x14ac:dyDescent="0.25">
      <c r="A83" s="14" t="s">
        <v>28</v>
      </c>
      <c r="B83" s="14">
        <v>2015</v>
      </c>
      <c r="C83" s="14" t="s">
        <v>34</v>
      </c>
      <c r="D83" s="13">
        <f>SUM('Working sheet'!$D83:$P83)</f>
        <v>1577.2</v>
      </c>
      <c r="E83" s="14">
        <f>SUM('Working sheet'!$Q83)</f>
        <v>125.7</v>
      </c>
      <c r="F83" s="14">
        <f>SUM('Working sheet'!$R83:$T83)</f>
        <v>375.7</v>
      </c>
      <c r="G83" s="14">
        <f>SUM('Working sheet'!$U83)</f>
        <v>119.4</v>
      </c>
      <c r="H83" s="14">
        <f>SUM('Working sheet'!$V83)</f>
        <v>121.2</v>
      </c>
      <c r="I83" s="14">
        <f>SUM('Working sheet'!$W83:$AC83)</f>
        <v>815.1</v>
      </c>
      <c r="J83" s="26">
        <v>121.5</v>
      </c>
    </row>
    <row r="84" spans="1:10" x14ac:dyDescent="0.25">
      <c r="A84" s="17" t="s">
        <v>30</v>
      </c>
      <c r="B84" s="17">
        <v>2015</v>
      </c>
      <c r="C84" s="17" t="s">
        <v>34</v>
      </c>
      <c r="D84" s="16">
        <f>SUM('Working sheet'!$D84:$P84)</f>
        <v>1576.1</v>
      </c>
      <c r="E84" s="17">
        <f>SUM('Working sheet'!$Q84)</f>
        <v>130.1</v>
      </c>
      <c r="F84" s="17">
        <f>SUM('Working sheet'!$R84:$T84)</f>
        <v>360.6</v>
      </c>
      <c r="G84" s="17">
        <f>SUM('Working sheet'!$U84)</f>
        <v>119.2</v>
      </c>
      <c r="H84" s="17">
        <f>SUM('Working sheet'!$V84)</f>
        <v>114.7</v>
      </c>
      <c r="I84" s="17">
        <f>SUM('Working sheet'!$W84:$AC84)</f>
        <v>804.7</v>
      </c>
      <c r="J84" s="25">
        <v>119.7</v>
      </c>
    </row>
    <row r="85" spans="1:10" x14ac:dyDescent="0.25">
      <c r="A85" s="14" t="s">
        <v>31</v>
      </c>
      <c r="B85" s="14">
        <v>2015</v>
      </c>
      <c r="C85" s="14" t="s">
        <v>34</v>
      </c>
      <c r="D85" s="13">
        <f>SUM('Working sheet'!$D85:$P85)</f>
        <v>1575.7</v>
      </c>
      <c r="E85" s="14">
        <f>SUM('Working sheet'!$Q85)</f>
        <v>126.9</v>
      </c>
      <c r="F85" s="14">
        <f>SUM('Working sheet'!$R85:$T85)</f>
        <v>369.6</v>
      </c>
      <c r="G85" s="14">
        <f>SUM('Working sheet'!$U85)</f>
        <v>119.2</v>
      </c>
      <c r="H85" s="14">
        <f>SUM('Working sheet'!$V85)</f>
        <v>118.7</v>
      </c>
      <c r="I85" s="14">
        <f>SUM('Working sheet'!$W85:$AC85)</f>
        <v>810.6</v>
      </c>
      <c r="J85" s="26">
        <v>120.7</v>
      </c>
    </row>
    <row r="86" spans="1:10" x14ac:dyDescent="0.25">
      <c r="A86" s="17" t="s">
        <v>28</v>
      </c>
      <c r="B86" s="17">
        <v>2015</v>
      </c>
      <c r="C86" s="17" t="s">
        <v>35</v>
      </c>
      <c r="D86" s="16">
        <f>SUM('Working sheet'!$D86:$P86)</f>
        <v>1587.7</v>
      </c>
      <c r="E86" s="17">
        <f>SUM('Working sheet'!$Q86)</f>
        <v>126.7</v>
      </c>
      <c r="F86" s="17">
        <f>SUM('Working sheet'!$R86:$T86)</f>
        <v>378.2</v>
      </c>
      <c r="G86" s="17">
        <f>SUM('Working sheet'!$U86)</f>
        <v>119.3</v>
      </c>
      <c r="H86" s="17">
        <f>SUM('Working sheet'!$V86)</f>
        <v>121.9</v>
      </c>
      <c r="I86" s="17">
        <f>SUM('Working sheet'!$W86:$AC86)</f>
        <v>820.59999999999991</v>
      </c>
      <c r="J86" s="25">
        <v>122.4</v>
      </c>
    </row>
    <row r="87" spans="1:10" x14ac:dyDescent="0.25">
      <c r="A87" s="14" t="s">
        <v>30</v>
      </c>
      <c r="B87" s="14">
        <v>2015</v>
      </c>
      <c r="C87" s="14" t="s">
        <v>35</v>
      </c>
      <c r="D87" s="13">
        <f>SUM('Working sheet'!$D87:$P87)</f>
        <v>1598.9</v>
      </c>
      <c r="E87" s="14">
        <f>SUM('Working sheet'!$Q87)</f>
        <v>131.30000000000001</v>
      </c>
      <c r="F87" s="14">
        <f>SUM('Working sheet'!$R87:$T87)</f>
        <v>361.4</v>
      </c>
      <c r="G87" s="14">
        <f>SUM('Working sheet'!$U87)</f>
        <v>119.6</v>
      </c>
      <c r="H87" s="14">
        <f>SUM('Working sheet'!$V87)</f>
        <v>114.9</v>
      </c>
      <c r="I87" s="14">
        <f>SUM('Working sheet'!$W87:$AC87)</f>
        <v>810.00000000000011</v>
      </c>
      <c r="J87" s="26">
        <v>120.7</v>
      </c>
    </row>
    <row r="88" spans="1:10" x14ac:dyDescent="0.25">
      <c r="A88" s="17" t="s">
        <v>31</v>
      </c>
      <c r="B88" s="17">
        <v>2015</v>
      </c>
      <c r="C88" s="17" t="s">
        <v>35</v>
      </c>
      <c r="D88" s="16">
        <f>SUM('Working sheet'!$D88:$P88)</f>
        <v>1590.4</v>
      </c>
      <c r="E88" s="17">
        <f>SUM('Working sheet'!$Q88)</f>
        <v>127.9</v>
      </c>
      <c r="F88" s="17">
        <f>SUM('Working sheet'!$R88:$T88)</f>
        <v>371.4</v>
      </c>
      <c r="G88" s="17">
        <f>SUM('Working sheet'!$U88)</f>
        <v>119.6</v>
      </c>
      <c r="H88" s="17">
        <f>SUM('Working sheet'!$V88)</f>
        <v>119.2</v>
      </c>
      <c r="I88" s="17">
        <f>SUM('Working sheet'!$W88:$AC88)</f>
        <v>816</v>
      </c>
      <c r="J88" s="25">
        <v>121.6</v>
      </c>
    </row>
    <row r="89" spans="1:10" x14ac:dyDescent="0.25">
      <c r="A89" s="14" t="s">
        <v>28</v>
      </c>
      <c r="B89" s="14">
        <v>2015</v>
      </c>
      <c r="C89" s="14" t="s">
        <v>36</v>
      </c>
      <c r="D89" s="13">
        <f>SUM('Working sheet'!$D89:$P89)</f>
        <v>1617.8999999999999</v>
      </c>
      <c r="E89" s="14">
        <f>SUM('Working sheet'!$Q89)</f>
        <v>128.19999999999999</v>
      </c>
      <c r="F89" s="14">
        <f>SUM('Working sheet'!$R89:$T89)</f>
        <v>381.5</v>
      </c>
      <c r="G89" s="14">
        <f>SUM('Working sheet'!$U89)</f>
        <v>119.5</v>
      </c>
      <c r="H89" s="14">
        <f>SUM('Working sheet'!$V89)</f>
        <v>122.6</v>
      </c>
      <c r="I89" s="14">
        <f>SUM('Working sheet'!$W89:$AC89)</f>
        <v>828.19999999999993</v>
      </c>
      <c r="J89" s="26">
        <v>124.1</v>
      </c>
    </row>
    <row r="90" spans="1:10" x14ac:dyDescent="0.25">
      <c r="A90" s="17" t="s">
        <v>30</v>
      </c>
      <c r="B90" s="17">
        <v>2015</v>
      </c>
      <c r="C90" s="17" t="s">
        <v>36</v>
      </c>
      <c r="D90" s="16">
        <f>SUM('Working sheet'!$D90:$P90)</f>
        <v>1636.6</v>
      </c>
      <c r="E90" s="17">
        <f>SUM('Working sheet'!$Q90)</f>
        <v>132.1</v>
      </c>
      <c r="F90" s="17">
        <f>SUM('Working sheet'!$R90:$T90)</f>
        <v>363.1</v>
      </c>
      <c r="G90" s="17">
        <f>SUM('Working sheet'!$U90)</f>
        <v>119</v>
      </c>
      <c r="H90" s="17">
        <f>SUM('Working sheet'!$V90)</f>
        <v>115.1</v>
      </c>
      <c r="I90" s="17">
        <f>SUM('Working sheet'!$W90:$AC90)</f>
        <v>814.8</v>
      </c>
      <c r="J90" s="25">
        <v>121.7</v>
      </c>
    </row>
    <row r="91" spans="1:10" x14ac:dyDescent="0.25">
      <c r="A91" s="14" t="s">
        <v>31</v>
      </c>
      <c r="B91" s="14">
        <v>2015</v>
      </c>
      <c r="C91" s="14" t="s">
        <v>36</v>
      </c>
      <c r="D91" s="13">
        <f>SUM('Working sheet'!$D91:$P91)</f>
        <v>1623.5</v>
      </c>
      <c r="E91" s="14">
        <f>SUM('Working sheet'!$Q91)</f>
        <v>129.19999999999999</v>
      </c>
      <c r="F91" s="14">
        <f>SUM('Working sheet'!$R91:$T91)</f>
        <v>374.1</v>
      </c>
      <c r="G91" s="14">
        <f>SUM('Working sheet'!$U91)</f>
        <v>119</v>
      </c>
      <c r="H91" s="14">
        <f>SUM('Working sheet'!$V91)</f>
        <v>119.8</v>
      </c>
      <c r="I91" s="14">
        <f>SUM('Working sheet'!$W91:$AC91)</f>
        <v>822.3</v>
      </c>
      <c r="J91" s="26">
        <v>123</v>
      </c>
    </row>
    <row r="92" spans="1:10" x14ac:dyDescent="0.25">
      <c r="A92" s="17" t="s">
        <v>28</v>
      </c>
      <c r="B92" s="17">
        <v>2015</v>
      </c>
      <c r="C92" s="17" t="s">
        <v>37</v>
      </c>
      <c r="D92" s="16">
        <f>SUM('Working sheet'!$D92:$P92)</f>
        <v>1625.3</v>
      </c>
      <c r="E92" s="17">
        <f>SUM('Working sheet'!$Q92)</f>
        <v>129.4</v>
      </c>
      <c r="F92" s="17">
        <f>SUM('Working sheet'!$R92:$T92)</f>
        <v>382.6</v>
      </c>
      <c r="G92" s="17">
        <f>SUM('Working sheet'!$U92)</f>
        <v>120.4</v>
      </c>
      <c r="H92" s="17">
        <f>SUM('Working sheet'!$V92)</f>
        <v>123</v>
      </c>
      <c r="I92" s="17">
        <f>SUM('Working sheet'!$W92:$AC92)</f>
        <v>829.6</v>
      </c>
      <c r="J92" s="25">
        <v>124.7</v>
      </c>
    </row>
    <row r="93" spans="1:10" x14ac:dyDescent="0.25">
      <c r="A93" s="14" t="s">
        <v>30</v>
      </c>
      <c r="B93" s="14">
        <v>2015</v>
      </c>
      <c r="C93" s="14" t="s">
        <v>37</v>
      </c>
      <c r="D93" s="13">
        <f>SUM('Working sheet'!$D93:$P93)</f>
        <v>1642.8999999999999</v>
      </c>
      <c r="E93" s="14">
        <f>SUM('Working sheet'!$Q93)</f>
        <v>133.1</v>
      </c>
      <c r="F93" s="14">
        <f>SUM('Working sheet'!$R93:$T93)</f>
        <v>364.1</v>
      </c>
      <c r="G93" s="14">
        <f>SUM('Working sheet'!$U93)</f>
        <v>119.9</v>
      </c>
      <c r="H93" s="14">
        <f>SUM('Working sheet'!$V93)</f>
        <v>115.3</v>
      </c>
      <c r="I93" s="14">
        <f>SUM('Working sheet'!$W93:$AC93)</f>
        <v>817</v>
      </c>
      <c r="J93" s="26">
        <v>122.4</v>
      </c>
    </row>
    <row r="94" spans="1:10" x14ac:dyDescent="0.25">
      <c r="A94" s="17" t="s">
        <v>31</v>
      </c>
      <c r="B94" s="17">
        <v>2015</v>
      </c>
      <c r="C94" s="17" t="s">
        <v>37</v>
      </c>
      <c r="D94" s="16">
        <f>SUM('Working sheet'!$D94:$P94)</f>
        <v>1630.6000000000001</v>
      </c>
      <c r="E94" s="17">
        <f>SUM('Working sheet'!$Q94)</f>
        <v>130.4</v>
      </c>
      <c r="F94" s="17">
        <f>SUM('Working sheet'!$R94:$T94)</f>
        <v>375.1</v>
      </c>
      <c r="G94" s="17">
        <f>SUM('Working sheet'!$U94)</f>
        <v>119.9</v>
      </c>
      <c r="H94" s="17">
        <f>SUM('Working sheet'!$V94)</f>
        <v>120.1</v>
      </c>
      <c r="I94" s="17">
        <f>SUM('Working sheet'!$W94:$AC94)</f>
        <v>824.1</v>
      </c>
      <c r="J94" s="25">
        <v>123.6</v>
      </c>
    </row>
    <row r="95" spans="1:10" x14ac:dyDescent="0.25">
      <c r="A95" s="14" t="s">
        <v>28</v>
      </c>
      <c r="B95" s="14">
        <v>2015</v>
      </c>
      <c r="C95" s="14" t="s">
        <v>38</v>
      </c>
      <c r="D95" s="13">
        <f>SUM('Working sheet'!$D95:$P95)</f>
        <v>1646.6</v>
      </c>
      <c r="E95" s="14">
        <f>SUM('Working sheet'!$Q95)</f>
        <v>130.1</v>
      </c>
      <c r="F95" s="14">
        <f>SUM('Working sheet'!$R95:$T95)</f>
        <v>384.8</v>
      </c>
      <c r="G95" s="14">
        <f>SUM('Working sheet'!$U95)</f>
        <v>121.3</v>
      </c>
      <c r="H95" s="14">
        <f>SUM('Working sheet'!$V95)</f>
        <v>123.8</v>
      </c>
      <c r="I95" s="14">
        <f>SUM('Working sheet'!$W95:$AC95)</f>
        <v>831.2</v>
      </c>
      <c r="J95" s="26">
        <v>126.1</v>
      </c>
    </row>
    <row r="96" spans="1:10" x14ac:dyDescent="0.25">
      <c r="A96" s="17" t="s">
        <v>30</v>
      </c>
      <c r="B96" s="17">
        <v>2015</v>
      </c>
      <c r="C96" s="17" t="s">
        <v>38</v>
      </c>
      <c r="D96" s="16">
        <f>SUM('Working sheet'!$D96:$P96)</f>
        <v>1658.8999999999999</v>
      </c>
      <c r="E96" s="17">
        <f>SUM('Working sheet'!$Q96)</f>
        <v>134.19999999999999</v>
      </c>
      <c r="F96" s="17">
        <f>SUM('Working sheet'!$R96:$T96)</f>
        <v>364.8</v>
      </c>
      <c r="G96" s="17">
        <f>SUM('Working sheet'!$U96)</f>
        <v>120.9</v>
      </c>
      <c r="H96" s="17">
        <f>SUM('Working sheet'!$V96)</f>
        <v>115.3</v>
      </c>
      <c r="I96" s="17">
        <f>SUM('Working sheet'!$W96:$AC96)</f>
        <v>818.1</v>
      </c>
      <c r="J96" s="25">
        <v>123.2</v>
      </c>
    </row>
    <row r="97" spans="1:10" x14ac:dyDescent="0.25">
      <c r="A97" s="14" t="s">
        <v>31</v>
      </c>
      <c r="B97" s="14">
        <v>2015</v>
      </c>
      <c r="C97" s="14" t="s">
        <v>38</v>
      </c>
      <c r="D97" s="13">
        <f>SUM('Working sheet'!$D97:$P97)</f>
        <v>1649.6</v>
      </c>
      <c r="E97" s="14">
        <f>SUM('Working sheet'!$Q97)</f>
        <v>131.19999999999999</v>
      </c>
      <c r="F97" s="14">
        <f>SUM('Working sheet'!$R97:$T97)</f>
        <v>376.70000000000005</v>
      </c>
      <c r="G97" s="14">
        <f>SUM('Working sheet'!$U97)</f>
        <v>120.9</v>
      </c>
      <c r="H97" s="14">
        <f>SUM('Working sheet'!$V97)</f>
        <v>120.6</v>
      </c>
      <c r="I97" s="14">
        <f>SUM('Working sheet'!$W97:$AC97)</f>
        <v>825.5</v>
      </c>
      <c r="J97" s="26">
        <v>124.8</v>
      </c>
    </row>
    <row r="98" spans="1:10" x14ac:dyDescent="0.25">
      <c r="A98" s="17" t="s">
        <v>28</v>
      </c>
      <c r="B98" s="17">
        <v>2015</v>
      </c>
      <c r="C98" s="17" t="s">
        <v>39</v>
      </c>
      <c r="D98" s="16">
        <f>SUM('Working sheet'!$D98:$P98)</f>
        <v>1657.6000000000001</v>
      </c>
      <c r="E98" s="17">
        <f>SUM('Working sheet'!$Q98)</f>
        <v>131</v>
      </c>
      <c r="F98" s="17">
        <f>SUM('Working sheet'!$R98:$T98)</f>
        <v>387.1</v>
      </c>
      <c r="G98" s="17">
        <f>SUM('Working sheet'!$U98)</f>
        <v>122</v>
      </c>
      <c r="H98" s="17">
        <f>SUM('Working sheet'!$V98)</f>
        <v>123.7</v>
      </c>
      <c r="I98" s="17">
        <f>SUM('Working sheet'!$W98:$AC98)</f>
        <v>836.3</v>
      </c>
      <c r="J98" s="25">
        <v>127</v>
      </c>
    </row>
    <row r="99" spans="1:10" x14ac:dyDescent="0.25">
      <c r="A99" s="14" t="s">
        <v>30</v>
      </c>
      <c r="B99" s="14">
        <v>2015</v>
      </c>
      <c r="C99" s="14" t="s">
        <v>39</v>
      </c>
      <c r="D99" s="13">
        <f>SUM('Working sheet'!$D99:$P99)</f>
        <v>1664.8</v>
      </c>
      <c r="E99" s="14">
        <f>SUM('Working sheet'!$Q99)</f>
        <v>134.69999999999999</v>
      </c>
      <c r="F99" s="14">
        <f>SUM('Working sheet'!$R99:$T99)</f>
        <v>365.8</v>
      </c>
      <c r="G99" s="14">
        <f>SUM('Working sheet'!$U99)</f>
        <v>121.6</v>
      </c>
      <c r="H99" s="14">
        <f>SUM('Working sheet'!$V99)</f>
        <v>115.1</v>
      </c>
      <c r="I99" s="14">
        <f>SUM('Working sheet'!$W99:$AC99)</f>
        <v>819.50000000000011</v>
      </c>
      <c r="J99" s="26">
        <v>123.5</v>
      </c>
    </row>
    <row r="100" spans="1:10" x14ac:dyDescent="0.25">
      <c r="A100" s="17" t="s">
        <v>31</v>
      </c>
      <c r="B100" s="17">
        <v>2015</v>
      </c>
      <c r="C100" s="17" t="s">
        <v>39</v>
      </c>
      <c r="D100" s="16">
        <f>SUM('Working sheet'!$D100:$P100)</f>
        <v>1658.3000000000002</v>
      </c>
      <c r="E100" s="17">
        <f>SUM('Working sheet'!$Q100)</f>
        <v>132</v>
      </c>
      <c r="F100" s="17">
        <f>SUM('Working sheet'!$R100:$T100)</f>
        <v>378.5</v>
      </c>
      <c r="G100" s="17">
        <f>SUM('Working sheet'!$U100)</f>
        <v>121.6</v>
      </c>
      <c r="H100" s="17">
        <f>SUM('Working sheet'!$V100)</f>
        <v>120.4</v>
      </c>
      <c r="I100" s="17">
        <f>SUM('Working sheet'!$W100:$AC100)</f>
        <v>828.6</v>
      </c>
      <c r="J100" s="25">
        <v>125.4</v>
      </c>
    </row>
    <row r="101" spans="1:10" x14ac:dyDescent="0.25">
      <c r="A101" s="14" t="s">
        <v>28</v>
      </c>
      <c r="B101" s="14">
        <v>2015</v>
      </c>
      <c r="C101" s="14" t="s">
        <v>40</v>
      </c>
      <c r="D101" s="13">
        <f>SUM('Working sheet'!$D101:$P101)</f>
        <v>1674.6</v>
      </c>
      <c r="E101" s="14">
        <f>SUM('Working sheet'!$Q101)</f>
        <v>131.5</v>
      </c>
      <c r="F101" s="14">
        <f>SUM('Working sheet'!$R101:$T101)</f>
        <v>389</v>
      </c>
      <c r="G101" s="14">
        <f>SUM('Working sheet'!$U101)</f>
        <v>122.7</v>
      </c>
      <c r="H101" s="14">
        <f>SUM('Working sheet'!$V101)</f>
        <v>124.4</v>
      </c>
      <c r="I101" s="14">
        <f>SUM('Working sheet'!$W101:$AC101)</f>
        <v>839.50000000000011</v>
      </c>
      <c r="J101" s="26">
        <v>127.7</v>
      </c>
    </row>
    <row r="102" spans="1:10" x14ac:dyDescent="0.25">
      <c r="A102" s="17" t="s">
        <v>30</v>
      </c>
      <c r="B102" s="17">
        <v>2015</v>
      </c>
      <c r="C102" s="17" t="s">
        <v>40</v>
      </c>
      <c r="D102" s="16">
        <f>SUM('Working sheet'!$D102:$P102)</f>
        <v>1692.8000000000002</v>
      </c>
      <c r="E102" s="17">
        <f>SUM('Working sheet'!$Q102)</f>
        <v>135.30000000000001</v>
      </c>
      <c r="F102" s="17">
        <f>SUM('Working sheet'!$R102:$T102)</f>
        <v>366.79999999999995</v>
      </c>
      <c r="G102" s="17">
        <f>SUM('Working sheet'!$U102)</f>
        <v>122.4</v>
      </c>
      <c r="H102" s="17">
        <f>SUM('Working sheet'!$V102)</f>
        <v>114.9</v>
      </c>
      <c r="I102" s="17">
        <f>SUM('Working sheet'!$W102:$AC102)</f>
        <v>821.9</v>
      </c>
      <c r="J102" s="25">
        <v>124.2</v>
      </c>
    </row>
    <row r="103" spans="1:10" x14ac:dyDescent="0.25">
      <c r="A103" s="14" t="s">
        <v>31</v>
      </c>
      <c r="B103" s="14">
        <v>2015</v>
      </c>
      <c r="C103" s="14" t="s">
        <v>40</v>
      </c>
      <c r="D103" s="13">
        <f>SUM('Working sheet'!$D103:$P103)</f>
        <v>1678.9999999999998</v>
      </c>
      <c r="E103" s="14">
        <f>SUM('Working sheet'!$Q103)</f>
        <v>132.5</v>
      </c>
      <c r="F103" s="14">
        <f>SUM('Working sheet'!$R103:$T103)</f>
        <v>380.1</v>
      </c>
      <c r="G103" s="14">
        <f>SUM('Working sheet'!$U103)</f>
        <v>122.4</v>
      </c>
      <c r="H103" s="14">
        <f>SUM('Working sheet'!$V103)</f>
        <v>120.8</v>
      </c>
      <c r="I103" s="14">
        <f>SUM('Working sheet'!$W103:$AC103)</f>
        <v>831.19999999999993</v>
      </c>
      <c r="J103" s="26">
        <v>126.1</v>
      </c>
    </row>
    <row r="104" spans="1:10" x14ac:dyDescent="0.25">
      <c r="A104" s="17" t="s">
        <v>28</v>
      </c>
      <c r="B104" s="17">
        <v>2015</v>
      </c>
      <c r="C104" s="17" t="s">
        <v>42</v>
      </c>
      <c r="D104" s="16">
        <f>SUM('Working sheet'!$D104:$P104)</f>
        <v>1686.3</v>
      </c>
      <c r="E104" s="17">
        <f>SUM('Working sheet'!$Q104)</f>
        <v>132.19999999999999</v>
      </c>
      <c r="F104" s="17">
        <f>SUM('Working sheet'!$R104:$T104)</f>
        <v>391.79999999999995</v>
      </c>
      <c r="G104" s="17">
        <f>SUM('Working sheet'!$U104)</f>
        <v>122.7</v>
      </c>
      <c r="H104" s="17">
        <f>SUM('Working sheet'!$V104)</f>
        <v>125.6</v>
      </c>
      <c r="I104" s="17">
        <f>SUM('Working sheet'!$W104:$AC104)</f>
        <v>842.7</v>
      </c>
      <c r="J104" s="25">
        <v>128.30000000000001</v>
      </c>
    </row>
    <row r="105" spans="1:10" x14ac:dyDescent="0.25">
      <c r="A105" s="14" t="s">
        <v>30</v>
      </c>
      <c r="B105" s="14">
        <v>2015</v>
      </c>
      <c r="C105" s="14" t="s">
        <v>42</v>
      </c>
      <c r="D105" s="13">
        <f>SUM('Working sheet'!$D105:$P105)</f>
        <v>1708.4999999999998</v>
      </c>
      <c r="E105" s="14">
        <f>SUM('Working sheet'!$Q105)</f>
        <v>137.6</v>
      </c>
      <c r="F105" s="14">
        <f>SUM('Working sheet'!$R105:$T105)</f>
        <v>368.5</v>
      </c>
      <c r="G105" s="14">
        <f>SUM('Working sheet'!$U105)</f>
        <v>122.9</v>
      </c>
      <c r="H105" s="14">
        <f>SUM('Working sheet'!$V105)</f>
        <v>115.1</v>
      </c>
      <c r="I105" s="14">
        <f>SUM('Working sheet'!$W105:$AC105)</f>
        <v>822.8</v>
      </c>
      <c r="J105" s="26">
        <v>124.6</v>
      </c>
    </row>
    <row r="106" spans="1:10" x14ac:dyDescent="0.25">
      <c r="A106" s="17" t="s">
        <v>31</v>
      </c>
      <c r="B106" s="17">
        <v>2015</v>
      </c>
      <c r="C106" s="17" t="s">
        <v>42</v>
      </c>
      <c r="D106" s="16">
        <f>SUM('Working sheet'!$D106:$P106)</f>
        <v>1692.1</v>
      </c>
      <c r="E106" s="17">
        <f>SUM('Working sheet'!$Q106)</f>
        <v>133.6</v>
      </c>
      <c r="F106" s="17">
        <f>SUM('Working sheet'!$R106:$T106)</f>
        <v>382.4</v>
      </c>
      <c r="G106" s="17">
        <f>SUM('Working sheet'!$U106)</f>
        <v>122.9</v>
      </c>
      <c r="H106" s="17">
        <f>SUM('Working sheet'!$V106)</f>
        <v>121.6</v>
      </c>
      <c r="I106" s="17">
        <f>SUM('Working sheet'!$W106:$AC106)</f>
        <v>833.19999999999993</v>
      </c>
      <c r="J106" s="25">
        <v>126.6</v>
      </c>
    </row>
    <row r="107" spans="1:10" x14ac:dyDescent="0.25">
      <c r="A107" s="14" t="s">
        <v>28</v>
      </c>
      <c r="B107" s="14">
        <v>2015</v>
      </c>
      <c r="C107" s="14" t="s">
        <v>43</v>
      </c>
      <c r="D107" s="13">
        <f>SUM('Working sheet'!$D107:$P107)</f>
        <v>1682.3000000000002</v>
      </c>
      <c r="E107" s="14">
        <f>SUM('Working sheet'!$Q107)</f>
        <v>133.1</v>
      </c>
      <c r="F107" s="14">
        <f>SUM('Working sheet'!$R107:$T107)</f>
        <v>392.9</v>
      </c>
      <c r="G107" s="14">
        <f>SUM('Working sheet'!$U107)</f>
        <v>122.9</v>
      </c>
      <c r="H107" s="14">
        <f>SUM('Working sheet'!$V107)</f>
        <v>125.7</v>
      </c>
      <c r="I107" s="14">
        <f>SUM('Working sheet'!$W107:$AC107)</f>
        <v>844.2</v>
      </c>
      <c r="J107" s="26">
        <v>127.9</v>
      </c>
    </row>
    <row r="108" spans="1:10" x14ac:dyDescent="0.25">
      <c r="A108" s="17" t="s">
        <v>30</v>
      </c>
      <c r="B108" s="17">
        <v>2015</v>
      </c>
      <c r="C108" s="17" t="s">
        <v>43</v>
      </c>
      <c r="D108" s="16">
        <f>SUM('Working sheet'!$D108:$P108)</f>
        <v>1698.8</v>
      </c>
      <c r="E108" s="17">
        <f>SUM('Working sheet'!$Q108)</f>
        <v>138.19999999999999</v>
      </c>
      <c r="F108" s="17">
        <f>SUM('Working sheet'!$R108:$T108)</f>
        <v>369.4</v>
      </c>
      <c r="G108" s="17">
        <f>SUM('Working sheet'!$U108)</f>
        <v>122.4</v>
      </c>
      <c r="H108" s="17">
        <f>SUM('Working sheet'!$V108)</f>
        <v>116</v>
      </c>
      <c r="I108" s="17">
        <f>SUM('Working sheet'!$W108:$AC108)</f>
        <v>823.50000000000011</v>
      </c>
      <c r="J108" s="25">
        <v>124</v>
      </c>
    </row>
    <row r="109" spans="1:10" x14ac:dyDescent="0.25">
      <c r="A109" s="14" t="s">
        <v>31</v>
      </c>
      <c r="B109" s="14">
        <v>2015</v>
      </c>
      <c r="C109" s="14" t="s">
        <v>43</v>
      </c>
      <c r="D109" s="13">
        <f>SUM('Working sheet'!$D109:$P109)</f>
        <v>1686.1000000000001</v>
      </c>
      <c r="E109" s="14">
        <f>SUM('Working sheet'!$Q109)</f>
        <v>134.5</v>
      </c>
      <c r="F109" s="14">
        <f>SUM('Working sheet'!$R109:$T109)</f>
        <v>383.5</v>
      </c>
      <c r="G109" s="14">
        <f>SUM('Working sheet'!$U109)</f>
        <v>122.4</v>
      </c>
      <c r="H109" s="14">
        <f>SUM('Working sheet'!$V109)</f>
        <v>122</v>
      </c>
      <c r="I109" s="14">
        <f>SUM('Working sheet'!$W109:$AC109)</f>
        <v>834.30000000000007</v>
      </c>
      <c r="J109" s="26">
        <v>126.1</v>
      </c>
    </row>
    <row r="110" spans="1:10" x14ac:dyDescent="0.25">
      <c r="A110" s="17" t="s">
        <v>28</v>
      </c>
      <c r="B110" s="17">
        <v>2016</v>
      </c>
      <c r="C110" s="17" t="s">
        <v>29</v>
      </c>
      <c r="D110" s="16">
        <f>SUM('Working sheet'!$D110:$P110)</f>
        <v>1690.1000000000001</v>
      </c>
      <c r="E110" s="17">
        <f>SUM('Working sheet'!$Q110)</f>
        <v>133.6</v>
      </c>
      <c r="F110" s="17">
        <f>SUM('Working sheet'!$R110:$T110)</f>
        <v>394.70000000000005</v>
      </c>
      <c r="G110" s="17">
        <f>SUM('Working sheet'!$U110)</f>
        <v>123.9</v>
      </c>
      <c r="H110" s="17">
        <f>SUM('Working sheet'!$V110)</f>
        <v>126.2</v>
      </c>
      <c r="I110" s="17">
        <f>SUM('Working sheet'!$W110:$AC110)</f>
        <v>846.5</v>
      </c>
      <c r="J110" s="25">
        <v>128.1</v>
      </c>
    </row>
    <row r="111" spans="1:10" x14ac:dyDescent="0.25">
      <c r="A111" s="14" t="s">
        <v>30</v>
      </c>
      <c r="B111" s="14">
        <v>2016</v>
      </c>
      <c r="C111" s="14" t="s">
        <v>29</v>
      </c>
      <c r="D111" s="13">
        <f>SUM('Working sheet'!$D111:$P111)</f>
        <v>1701.4</v>
      </c>
      <c r="E111" s="14">
        <f>SUM('Working sheet'!$Q111)</f>
        <v>139.5</v>
      </c>
      <c r="F111" s="14">
        <f>SUM('Working sheet'!$R111:$T111)</f>
        <v>370.5</v>
      </c>
      <c r="G111" s="14">
        <f>SUM('Working sheet'!$U111)</f>
        <v>123.4</v>
      </c>
      <c r="H111" s="14">
        <f>SUM('Working sheet'!$V111)</f>
        <v>116.9</v>
      </c>
      <c r="I111" s="14">
        <f>SUM('Working sheet'!$W111:$AC111)</f>
        <v>825.3</v>
      </c>
      <c r="J111" s="26">
        <v>124.2</v>
      </c>
    </row>
    <row r="112" spans="1:10" x14ac:dyDescent="0.25">
      <c r="A112" s="17" t="s">
        <v>31</v>
      </c>
      <c r="B112" s="17">
        <v>2016</v>
      </c>
      <c r="C112" s="17" t="s">
        <v>29</v>
      </c>
      <c r="D112" s="16">
        <f>SUM('Working sheet'!$D112:$P112)</f>
        <v>1691.7</v>
      </c>
      <c r="E112" s="17">
        <f>SUM('Working sheet'!$Q112)</f>
        <v>135.19999999999999</v>
      </c>
      <c r="F112" s="17">
        <f>SUM('Working sheet'!$R112:$T112)</f>
        <v>384.9</v>
      </c>
      <c r="G112" s="17">
        <f>SUM('Working sheet'!$U112)</f>
        <v>123.4</v>
      </c>
      <c r="H112" s="17">
        <f>SUM('Working sheet'!$V112)</f>
        <v>122.7</v>
      </c>
      <c r="I112" s="17">
        <f>SUM('Working sheet'!$W112:$AC112)</f>
        <v>836.4</v>
      </c>
      <c r="J112" s="25">
        <v>126.3</v>
      </c>
    </row>
    <row r="113" spans="1:10" x14ac:dyDescent="0.25">
      <c r="A113" s="14" t="s">
        <v>28</v>
      </c>
      <c r="B113" s="14">
        <v>2016</v>
      </c>
      <c r="C113" s="14" t="s">
        <v>32</v>
      </c>
      <c r="D113" s="13">
        <f>SUM('Working sheet'!$D113:$P113)</f>
        <v>1682.6</v>
      </c>
      <c r="E113" s="14">
        <f>SUM('Working sheet'!$Q113)</f>
        <v>134.4</v>
      </c>
      <c r="F113" s="14">
        <f>SUM('Working sheet'!$R113:$T113)</f>
        <v>397.1</v>
      </c>
      <c r="G113" s="14">
        <f>SUM('Working sheet'!$U113)</f>
        <v>124.7</v>
      </c>
      <c r="H113" s="14">
        <f>SUM('Working sheet'!$V113)</f>
        <v>127.5</v>
      </c>
      <c r="I113" s="14">
        <f>SUM('Working sheet'!$W113:$AC113)</f>
        <v>852.39999999999986</v>
      </c>
      <c r="J113" s="26">
        <v>127.9</v>
      </c>
    </row>
    <row r="114" spans="1:10" x14ac:dyDescent="0.25">
      <c r="A114" s="17" t="s">
        <v>30</v>
      </c>
      <c r="B114" s="17">
        <v>2016</v>
      </c>
      <c r="C114" s="17" t="s">
        <v>32</v>
      </c>
      <c r="D114" s="16">
        <f>SUM('Working sheet'!$D114:$P114)</f>
        <v>1676.1</v>
      </c>
      <c r="E114" s="17">
        <f>SUM('Working sheet'!$Q114)</f>
        <v>140</v>
      </c>
      <c r="F114" s="17">
        <f>SUM('Working sheet'!$R114:$T114)</f>
        <v>371.6</v>
      </c>
      <c r="G114" s="17">
        <f>SUM('Working sheet'!$U114)</f>
        <v>124.4</v>
      </c>
      <c r="H114" s="17">
        <f>SUM('Working sheet'!$V114)</f>
        <v>116</v>
      </c>
      <c r="I114" s="17">
        <f>SUM('Working sheet'!$W114:$AC114)</f>
        <v>828.90000000000009</v>
      </c>
      <c r="J114" s="25">
        <v>123.8</v>
      </c>
    </row>
    <row r="115" spans="1:10" x14ac:dyDescent="0.25">
      <c r="A115" s="14" t="s">
        <v>31</v>
      </c>
      <c r="B115" s="14">
        <v>2016</v>
      </c>
      <c r="C115" s="14" t="s">
        <v>32</v>
      </c>
      <c r="D115" s="13">
        <f>SUM('Working sheet'!$D115:$P115)</f>
        <v>1678.1</v>
      </c>
      <c r="E115" s="14">
        <f>SUM('Working sheet'!$Q115)</f>
        <v>135.9</v>
      </c>
      <c r="F115" s="14">
        <f>SUM('Working sheet'!$R115:$T115)</f>
        <v>386.9</v>
      </c>
      <c r="G115" s="14">
        <f>SUM('Working sheet'!$U115)</f>
        <v>124.4</v>
      </c>
      <c r="H115" s="14">
        <f>SUM('Working sheet'!$V115)</f>
        <v>123.1</v>
      </c>
      <c r="I115" s="14">
        <f>SUM('Working sheet'!$W115:$AC115)</f>
        <v>841.1</v>
      </c>
      <c r="J115" s="26">
        <v>126</v>
      </c>
    </row>
    <row r="116" spans="1:10" x14ac:dyDescent="0.25">
      <c r="A116" s="17" t="s">
        <v>28</v>
      </c>
      <c r="B116" s="17">
        <v>2016</v>
      </c>
      <c r="C116" s="17" t="s">
        <v>33</v>
      </c>
      <c r="D116" s="16">
        <f>SUM('Working sheet'!$D116:$P116)</f>
        <v>1682.7000000000003</v>
      </c>
      <c r="E116" s="17">
        <f>SUM('Working sheet'!$Q116)</f>
        <v>135</v>
      </c>
      <c r="F116" s="17">
        <f>SUM('Working sheet'!$R116:$T116)</f>
        <v>398.40000000000003</v>
      </c>
      <c r="G116" s="17">
        <f>SUM('Working sheet'!$U116)</f>
        <v>125.3</v>
      </c>
      <c r="H116" s="17">
        <f>SUM('Working sheet'!$V116)</f>
        <v>127</v>
      </c>
      <c r="I116" s="17">
        <f>SUM('Working sheet'!$W116:$AC116)</f>
        <v>854.6</v>
      </c>
      <c r="J116" s="25">
        <v>128</v>
      </c>
    </row>
    <row r="117" spans="1:10" x14ac:dyDescent="0.25">
      <c r="A117" s="14" t="s">
        <v>30</v>
      </c>
      <c r="B117" s="14">
        <v>2016</v>
      </c>
      <c r="C117" s="14" t="s">
        <v>33</v>
      </c>
      <c r="D117" s="13">
        <f>SUM('Working sheet'!$D117:$P117)</f>
        <v>1667.6000000000001</v>
      </c>
      <c r="E117" s="14">
        <f>SUM('Working sheet'!$Q117)</f>
        <v>140.6</v>
      </c>
      <c r="F117" s="14">
        <f>SUM('Working sheet'!$R117:$T117)</f>
        <v>372.2</v>
      </c>
      <c r="G117" s="14">
        <f>SUM('Working sheet'!$U117)</f>
        <v>124.9</v>
      </c>
      <c r="H117" s="14">
        <f>SUM('Working sheet'!$V117)</f>
        <v>114.8</v>
      </c>
      <c r="I117" s="14">
        <f>SUM('Working sheet'!$W117:$AC117)</f>
        <v>830.4</v>
      </c>
      <c r="J117" s="26">
        <v>123.8</v>
      </c>
    </row>
    <row r="118" spans="1:10" x14ac:dyDescent="0.25">
      <c r="A118" s="17" t="s">
        <v>31</v>
      </c>
      <c r="B118" s="17">
        <v>2016</v>
      </c>
      <c r="C118" s="17" t="s">
        <v>33</v>
      </c>
      <c r="D118" s="16">
        <f>SUM('Working sheet'!$D118:$P118)</f>
        <v>1675.2</v>
      </c>
      <c r="E118" s="17">
        <f>SUM('Working sheet'!$Q118)</f>
        <v>136.5</v>
      </c>
      <c r="F118" s="17">
        <f>SUM('Working sheet'!$R118:$T118)</f>
        <v>387.9</v>
      </c>
      <c r="G118" s="17">
        <f>SUM('Working sheet'!$U118)</f>
        <v>124.9</v>
      </c>
      <c r="H118" s="17">
        <f>SUM('Working sheet'!$V118)</f>
        <v>122.4</v>
      </c>
      <c r="I118" s="17">
        <f>SUM('Working sheet'!$W118:$AC118)</f>
        <v>842.99999999999989</v>
      </c>
      <c r="J118" s="25">
        <v>126</v>
      </c>
    </row>
    <row r="119" spans="1:10" x14ac:dyDescent="0.25">
      <c r="A119" s="14" t="s">
        <v>28</v>
      </c>
      <c r="B119" s="14">
        <v>2016</v>
      </c>
      <c r="C119" s="14" t="s">
        <v>34</v>
      </c>
      <c r="D119" s="13">
        <f>SUM('Working sheet'!$D119:$P119)</f>
        <v>1701.6000000000004</v>
      </c>
      <c r="E119" s="14">
        <f>SUM('Working sheet'!$Q119)</f>
        <v>135.5</v>
      </c>
      <c r="F119" s="14">
        <f>SUM('Working sheet'!$R119:$T119)</f>
        <v>400</v>
      </c>
      <c r="G119" s="14">
        <f>SUM('Working sheet'!$U119)</f>
        <v>125.8</v>
      </c>
      <c r="H119" s="14">
        <f>SUM('Working sheet'!$V119)</f>
        <v>127</v>
      </c>
      <c r="I119" s="14">
        <f>SUM('Working sheet'!$W119:$AC119)</f>
        <v>858.80000000000007</v>
      </c>
      <c r="J119" s="26">
        <v>129</v>
      </c>
    </row>
    <row r="120" spans="1:10" x14ac:dyDescent="0.25">
      <c r="A120" s="17" t="s">
        <v>30</v>
      </c>
      <c r="B120" s="17">
        <v>2016</v>
      </c>
      <c r="C120" s="17" t="s">
        <v>34</v>
      </c>
      <c r="D120" s="16">
        <f>SUM('Working sheet'!$D120:$P120)</f>
        <v>1706.3</v>
      </c>
      <c r="E120" s="17">
        <f>SUM('Working sheet'!$Q120)</f>
        <v>141.5</v>
      </c>
      <c r="F120" s="17">
        <f>SUM('Working sheet'!$R120:$T120)</f>
        <v>373.1</v>
      </c>
      <c r="G120" s="17">
        <f>SUM('Working sheet'!$U120)</f>
        <v>125.6</v>
      </c>
      <c r="H120" s="17">
        <f>SUM('Working sheet'!$V120)</f>
        <v>114.6</v>
      </c>
      <c r="I120" s="17">
        <f>SUM('Working sheet'!$W120:$AC120)</f>
        <v>835.7</v>
      </c>
      <c r="J120" s="25">
        <v>125.3</v>
      </c>
    </row>
    <row r="121" spans="1:10" x14ac:dyDescent="0.25">
      <c r="A121" s="14" t="s">
        <v>31</v>
      </c>
      <c r="B121" s="14">
        <v>2016</v>
      </c>
      <c r="C121" s="14" t="s">
        <v>34</v>
      </c>
      <c r="D121" s="13">
        <f>SUM('Working sheet'!$D121:$P121)</f>
        <v>1701.3</v>
      </c>
      <c r="E121" s="14">
        <f>SUM('Working sheet'!$Q121)</f>
        <v>137.1</v>
      </c>
      <c r="F121" s="14">
        <f>SUM('Working sheet'!$R121:$T121)</f>
        <v>389.20000000000005</v>
      </c>
      <c r="G121" s="14">
        <f>SUM('Working sheet'!$U121)</f>
        <v>125.6</v>
      </c>
      <c r="H121" s="14">
        <f>SUM('Working sheet'!$V121)</f>
        <v>122.3</v>
      </c>
      <c r="I121" s="14">
        <f>SUM('Working sheet'!$W121:$AC121)</f>
        <v>847.7</v>
      </c>
      <c r="J121" s="26">
        <v>127.3</v>
      </c>
    </row>
    <row r="122" spans="1:10" x14ac:dyDescent="0.25">
      <c r="A122" s="17" t="s">
        <v>28</v>
      </c>
      <c r="B122" s="17">
        <v>2016</v>
      </c>
      <c r="C122" s="17" t="s">
        <v>35</v>
      </c>
      <c r="D122" s="16">
        <f>SUM('Working sheet'!$D122:$P122)</f>
        <v>1723.6999999999998</v>
      </c>
      <c r="E122" s="17">
        <f>SUM('Working sheet'!$Q122)</f>
        <v>136</v>
      </c>
      <c r="F122" s="17">
        <f>SUM('Working sheet'!$R122:$T122)</f>
        <v>401.3</v>
      </c>
      <c r="G122" s="17">
        <f>SUM('Working sheet'!$U122)</f>
        <v>125.8</v>
      </c>
      <c r="H122" s="17">
        <f>SUM('Working sheet'!$V122)</f>
        <v>127.4</v>
      </c>
      <c r="I122" s="17">
        <f>SUM('Working sheet'!$W122:$AC122)</f>
        <v>864.30000000000007</v>
      </c>
      <c r="J122" s="25">
        <v>130.30000000000001</v>
      </c>
    </row>
    <row r="123" spans="1:10" x14ac:dyDescent="0.25">
      <c r="A123" s="14" t="s">
        <v>30</v>
      </c>
      <c r="B123" s="14">
        <v>2016</v>
      </c>
      <c r="C123" s="14" t="s">
        <v>35</v>
      </c>
      <c r="D123" s="13">
        <f>SUM('Working sheet'!$D123:$P123)</f>
        <v>1746.7999999999997</v>
      </c>
      <c r="E123" s="14">
        <f>SUM('Working sheet'!$Q123)</f>
        <v>142.19999999999999</v>
      </c>
      <c r="F123" s="14">
        <f>SUM('Working sheet'!$R123:$T123)</f>
        <v>374.1</v>
      </c>
      <c r="G123" s="14">
        <f>SUM('Working sheet'!$U123)</f>
        <v>126</v>
      </c>
      <c r="H123" s="14">
        <f>SUM('Working sheet'!$V123)</f>
        <v>115</v>
      </c>
      <c r="I123" s="14">
        <f>SUM('Working sheet'!$W123:$AC123)</f>
        <v>839.2</v>
      </c>
      <c r="J123" s="26">
        <v>126.6</v>
      </c>
    </row>
    <row r="124" spans="1:10" x14ac:dyDescent="0.25">
      <c r="A124" s="17" t="s">
        <v>31</v>
      </c>
      <c r="B124" s="17">
        <v>2016</v>
      </c>
      <c r="C124" s="17" t="s">
        <v>35</v>
      </c>
      <c r="D124" s="16">
        <f>SUM('Working sheet'!$D124:$P124)</f>
        <v>1730.4</v>
      </c>
      <c r="E124" s="17">
        <f>SUM('Working sheet'!$Q124)</f>
        <v>137.69999999999999</v>
      </c>
      <c r="F124" s="17">
        <f>SUM('Working sheet'!$R124:$T124)</f>
        <v>390.4</v>
      </c>
      <c r="G124" s="17">
        <f>SUM('Working sheet'!$U124)</f>
        <v>126</v>
      </c>
      <c r="H124" s="17">
        <f>SUM('Working sheet'!$V124)</f>
        <v>122.7</v>
      </c>
      <c r="I124" s="17">
        <f>SUM('Working sheet'!$W124:$AC124)</f>
        <v>852.40000000000009</v>
      </c>
      <c r="J124" s="25">
        <v>128.6</v>
      </c>
    </row>
    <row r="125" spans="1:10" x14ac:dyDescent="0.25">
      <c r="A125" s="14" t="s">
        <v>28</v>
      </c>
      <c r="B125" s="14">
        <v>2016</v>
      </c>
      <c r="C125" s="14" t="s">
        <v>36</v>
      </c>
      <c r="D125" s="13">
        <f>SUM('Working sheet'!$D125:$P125)</f>
        <v>1748.6</v>
      </c>
      <c r="E125" s="14">
        <f>SUM('Working sheet'!$Q125)</f>
        <v>137.19999999999999</v>
      </c>
      <c r="F125" s="14">
        <f>SUM('Working sheet'!$R125:$T125)</f>
        <v>403.5</v>
      </c>
      <c r="G125" s="14">
        <f>SUM('Working sheet'!$U125)</f>
        <v>126</v>
      </c>
      <c r="H125" s="14">
        <f>SUM('Working sheet'!$V125)</f>
        <v>128</v>
      </c>
      <c r="I125" s="14">
        <f>SUM('Working sheet'!$W125:$AC125)</f>
        <v>869.29999999999984</v>
      </c>
      <c r="J125" s="26">
        <v>131.9</v>
      </c>
    </row>
    <row r="126" spans="1:10" x14ac:dyDescent="0.25">
      <c r="A126" s="17" t="s">
        <v>30</v>
      </c>
      <c r="B126" s="17">
        <v>2016</v>
      </c>
      <c r="C126" s="17" t="s">
        <v>36</v>
      </c>
      <c r="D126" s="16">
        <f>SUM('Working sheet'!$D126:$P126)</f>
        <v>1787.0000000000002</v>
      </c>
      <c r="E126" s="17">
        <f>SUM('Working sheet'!$Q126)</f>
        <v>142.69999999999999</v>
      </c>
      <c r="F126" s="17">
        <f>SUM('Working sheet'!$R126:$T126)</f>
        <v>375.29999999999995</v>
      </c>
      <c r="G126" s="17">
        <f>SUM('Working sheet'!$U126)</f>
        <v>125.5</v>
      </c>
      <c r="H126" s="17">
        <f>SUM('Working sheet'!$V126)</f>
        <v>115.5</v>
      </c>
      <c r="I126" s="17">
        <f>SUM('Working sheet'!$W126:$AC126)</f>
        <v>843.69999999999993</v>
      </c>
      <c r="J126" s="25">
        <v>128.1</v>
      </c>
    </row>
    <row r="127" spans="1:10" x14ac:dyDescent="0.25">
      <c r="A127" s="14" t="s">
        <v>31</v>
      </c>
      <c r="B127" s="14">
        <v>2016</v>
      </c>
      <c r="C127" s="14" t="s">
        <v>36</v>
      </c>
      <c r="D127" s="13">
        <f>SUM('Working sheet'!$D127:$P127)</f>
        <v>1760.6</v>
      </c>
      <c r="E127" s="14">
        <f>SUM('Working sheet'!$Q127)</f>
        <v>138.69999999999999</v>
      </c>
      <c r="F127" s="14">
        <f>SUM('Working sheet'!$R127:$T127)</f>
        <v>392.1</v>
      </c>
      <c r="G127" s="14">
        <f>SUM('Working sheet'!$U127)</f>
        <v>125.5</v>
      </c>
      <c r="H127" s="14">
        <f>SUM('Working sheet'!$V127)</f>
        <v>123.3</v>
      </c>
      <c r="I127" s="14">
        <f>SUM('Working sheet'!$W127:$AC127)</f>
        <v>856.99999999999989</v>
      </c>
      <c r="J127" s="26">
        <v>130.1</v>
      </c>
    </row>
    <row r="128" spans="1:10" x14ac:dyDescent="0.25">
      <c r="A128" s="17" t="s">
        <v>28</v>
      </c>
      <c r="B128" s="17">
        <v>2016</v>
      </c>
      <c r="C128" s="17" t="s">
        <v>37</v>
      </c>
      <c r="D128" s="16">
        <f>SUM('Working sheet'!$D128:$P128)</f>
        <v>1770.2999999999997</v>
      </c>
      <c r="E128" s="17">
        <f>SUM('Working sheet'!$Q128)</f>
        <v>138</v>
      </c>
      <c r="F128" s="17">
        <f>SUM('Working sheet'!$R128:$T128)</f>
        <v>405.9</v>
      </c>
      <c r="G128" s="17">
        <f>SUM('Working sheet'!$U128)</f>
        <v>126.9</v>
      </c>
      <c r="H128" s="17">
        <f>SUM('Working sheet'!$V128)</f>
        <v>128.19999999999999</v>
      </c>
      <c r="I128" s="17">
        <f>SUM('Working sheet'!$W128:$AC128)</f>
        <v>873.8</v>
      </c>
      <c r="J128" s="25">
        <v>133</v>
      </c>
    </row>
    <row r="129" spans="1:10" x14ac:dyDescent="0.25">
      <c r="A129" s="14" t="s">
        <v>30</v>
      </c>
      <c r="B129" s="14">
        <v>2016</v>
      </c>
      <c r="C129" s="14" t="s">
        <v>37</v>
      </c>
      <c r="D129" s="13">
        <f>SUM('Working sheet'!$D129:$P129)</f>
        <v>1811.5000000000002</v>
      </c>
      <c r="E129" s="14">
        <f>SUM('Working sheet'!$Q129)</f>
        <v>142.9</v>
      </c>
      <c r="F129" s="14">
        <f>SUM('Working sheet'!$R129:$T129)</f>
        <v>375.9</v>
      </c>
      <c r="G129" s="14">
        <f>SUM('Working sheet'!$U129)</f>
        <v>126.4</v>
      </c>
      <c r="H129" s="14">
        <f>SUM('Working sheet'!$V129)</f>
        <v>115.5</v>
      </c>
      <c r="I129" s="14">
        <f>SUM('Working sheet'!$W129:$AC129)</f>
        <v>847.1</v>
      </c>
      <c r="J129" s="26">
        <v>129</v>
      </c>
    </row>
    <row r="130" spans="1:10" x14ac:dyDescent="0.25">
      <c r="A130" s="17" t="s">
        <v>31</v>
      </c>
      <c r="B130" s="17">
        <v>2016</v>
      </c>
      <c r="C130" s="17" t="s">
        <v>37</v>
      </c>
      <c r="D130" s="16">
        <f>SUM('Working sheet'!$D130:$P130)</f>
        <v>1783.5</v>
      </c>
      <c r="E130" s="17">
        <f>SUM('Working sheet'!$Q130)</f>
        <v>139.30000000000001</v>
      </c>
      <c r="F130" s="17">
        <f>SUM('Working sheet'!$R130:$T130)</f>
        <v>393.8</v>
      </c>
      <c r="G130" s="17">
        <f>SUM('Working sheet'!$U130)</f>
        <v>126.4</v>
      </c>
      <c r="H130" s="17">
        <f>SUM('Working sheet'!$V130)</f>
        <v>123.4</v>
      </c>
      <c r="I130" s="17">
        <f>SUM('Working sheet'!$W130:$AC130)</f>
        <v>860.9</v>
      </c>
      <c r="J130" s="25">
        <v>131.1</v>
      </c>
    </row>
    <row r="131" spans="1:10" x14ac:dyDescent="0.25">
      <c r="A131" s="14" t="s">
        <v>28</v>
      </c>
      <c r="B131" s="14">
        <v>2016</v>
      </c>
      <c r="C131" s="14" t="s">
        <v>38</v>
      </c>
      <c r="D131" s="13">
        <f>SUM('Working sheet'!$D131:$P131)</f>
        <v>1777.4999999999998</v>
      </c>
      <c r="E131" s="14">
        <f>SUM('Working sheet'!$Q131)</f>
        <v>138.9</v>
      </c>
      <c r="F131" s="14">
        <f>SUM('Working sheet'!$R131:$T131)</f>
        <v>407.9</v>
      </c>
      <c r="G131" s="14">
        <f>SUM('Working sheet'!$U131)</f>
        <v>127.6</v>
      </c>
      <c r="H131" s="14">
        <f>SUM('Working sheet'!$V131)</f>
        <v>129.1</v>
      </c>
      <c r="I131" s="14">
        <f>SUM('Working sheet'!$W131:$AC131)</f>
        <v>877.2</v>
      </c>
      <c r="J131" s="26">
        <v>133.5</v>
      </c>
    </row>
    <row r="132" spans="1:10" x14ac:dyDescent="0.25">
      <c r="A132" s="17" t="s">
        <v>30</v>
      </c>
      <c r="B132" s="17">
        <v>2016</v>
      </c>
      <c r="C132" s="17" t="s">
        <v>38</v>
      </c>
      <c r="D132" s="16">
        <f>SUM('Working sheet'!$D132:$P132)</f>
        <v>1783.9999999999995</v>
      </c>
      <c r="E132" s="17">
        <f>SUM('Working sheet'!$Q132)</f>
        <v>143.6</v>
      </c>
      <c r="F132" s="17">
        <f>SUM('Working sheet'!$R132:$T132)</f>
        <v>377</v>
      </c>
      <c r="G132" s="17">
        <f>SUM('Working sheet'!$U132)</f>
        <v>127.3</v>
      </c>
      <c r="H132" s="17">
        <f>SUM('Working sheet'!$V132)</f>
        <v>114.7</v>
      </c>
      <c r="I132" s="17">
        <f>SUM('Working sheet'!$W132:$AC132)</f>
        <v>848.4</v>
      </c>
      <c r="J132" s="25">
        <v>128.4</v>
      </c>
    </row>
    <row r="133" spans="1:10" x14ac:dyDescent="0.25">
      <c r="A133" s="14" t="s">
        <v>31</v>
      </c>
      <c r="B133" s="14">
        <v>2016</v>
      </c>
      <c r="C133" s="14" t="s">
        <v>38</v>
      </c>
      <c r="D133" s="13">
        <f>SUM('Working sheet'!$D133:$P133)</f>
        <v>1777.9</v>
      </c>
      <c r="E133" s="14">
        <f>SUM('Working sheet'!$Q133)</f>
        <v>140.19999999999999</v>
      </c>
      <c r="F133" s="14">
        <f>SUM('Working sheet'!$R133:$T133)</f>
        <v>395.49999999999994</v>
      </c>
      <c r="G133" s="14">
        <f>SUM('Working sheet'!$U133)</f>
        <v>127.3</v>
      </c>
      <c r="H133" s="14">
        <f>SUM('Working sheet'!$V133)</f>
        <v>123.6</v>
      </c>
      <c r="I133" s="14">
        <f>SUM('Working sheet'!$W133:$AC133)</f>
        <v>863.3</v>
      </c>
      <c r="J133" s="26">
        <v>131.1</v>
      </c>
    </row>
    <row r="134" spans="1:10" x14ac:dyDescent="0.25">
      <c r="A134" s="17" t="s">
        <v>28</v>
      </c>
      <c r="B134" s="17">
        <v>2016</v>
      </c>
      <c r="C134" s="17" t="s">
        <v>39</v>
      </c>
      <c r="D134" s="16">
        <f>SUM('Working sheet'!$D134:$P134)</f>
        <v>1770.7</v>
      </c>
      <c r="E134" s="17">
        <f>SUM('Working sheet'!$Q134)</f>
        <v>139.9</v>
      </c>
      <c r="F134" s="17">
        <f>SUM('Working sheet'!$R134:$T134)</f>
        <v>409.8</v>
      </c>
      <c r="G134" s="17">
        <f>SUM('Working sheet'!$U134)</f>
        <v>128.30000000000001</v>
      </c>
      <c r="H134" s="17">
        <f>SUM('Working sheet'!$V134)</f>
        <v>129.69999999999999</v>
      </c>
      <c r="I134" s="17">
        <f>SUM('Working sheet'!$W134:$AC134)</f>
        <v>881.49999999999989</v>
      </c>
      <c r="J134" s="25">
        <v>133.4</v>
      </c>
    </row>
    <row r="135" spans="1:10" x14ac:dyDescent="0.25">
      <c r="A135" s="14" t="s">
        <v>30</v>
      </c>
      <c r="B135" s="14">
        <v>2016</v>
      </c>
      <c r="C135" s="14" t="s">
        <v>39</v>
      </c>
      <c r="D135" s="13">
        <f>SUM('Working sheet'!$D135:$P135)</f>
        <v>1756.3999999999996</v>
      </c>
      <c r="E135" s="14">
        <f>SUM('Working sheet'!$Q135)</f>
        <v>143.9</v>
      </c>
      <c r="F135" s="14">
        <f>SUM('Working sheet'!$R135:$T135)</f>
        <v>378</v>
      </c>
      <c r="G135" s="14">
        <f>SUM('Working sheet'!$U135)</f>
        <v>127.9</v>
      </c>
      <c r="H135" s="14">
        <f>SUM('Working sheet'!$V135)</f>
        <v>114.8</v>
      </c>
      <c r="I135" s="14">
        <f>SUM('Working sheet'!$W135:$AC135)</f>
        <v>851.6</v>
      </c>
      <c r="J135" s="26">
        <v>128</v>
      </c>
    </row>
    <row r="136" spans="1:10" x14ac:dyDescent="0.25">
      <c r="A136" s="17" t="s">
        <v>31</v>
      </c>
      <c r="B136" s="17">
        <v>2016</v>
      </c>
      <c r="C136" s="17" t="s">
        <v>39</v>
      </c>
      <c r="D136" s="16">
        <f>SUM('Working sheet'!$D136:$P136)</f>
        <v>1763.6999999999998</v>
      </c>
      <c r="E136" s="17">
        <f>SUM('Working sheet'!$Q136)</f>
        <v>141</v>
      </c>
      <c r="F136" s="17">
        <f>SUM('Working sheet'!$R136:$T136)</f>
        <v>397</v>
      </c>
      <c r="G136" s="17">
        <f>SUM('Working sheet'!$U136)</f>
        <v>127.9</v>
      </c>
      <c r="H136" s="17">
        <f>SUM('Working sheet'!$V136)</f>
        <v>124.1</v>
      </c>
      <c r="I136" s="17">
        <f>SUM('Working sheet'!$W136:$AC136)</f>
        <v>867.19999999999993</v>
      </c>
      <c r="J136" s="25">
        <v>130.9</v>
      </c>
    </row>
    <row r="137" spans="1:10" x14ac:dyDescent="0.25">
      <c r="A137" s="14" t="s">
        <v>28</v>
      </c>
      <c r="B137" s="14">
        <v>2016</v>
      </c>
      <c r="C137" s="14" t="s">
        <v>40</v>
      </c>
      <c r="D137" s="13">
        <f>SUM('Working sheet'!$D137:$P137)</f>
        <v>1771.8000000000002</v>
      </c>
      <c r="E137" s="14">
        <f>SUM('Working sheet'!$Q137)</f>
        <v>140.9</v>
      </c>
      <c r="F137" s="14">
        <f>SUM('Working sheet'!$R137:$T137)</f>
        <v>412.7</v>
      </c>
      <c r="G137" s="14">
        <f>SUM('Working sheet'!$U137)</f>
        <v>128.9</v>
      </c>
      <c r="H137" s="14">
        <f>SUM('Working sheet'!$V137)</f>
        <v>129.80000000000001</v>
      </c>
      <c r="I137" s="14">
        <f>SUM('Working sheet'!$W137:$AC137)</f>
        <v>886.5</v>
      </c>
      <c r="J137" s="26">
        <v>133.80000000000001</v>
      </c>
    </row>
    <row r="138" spans="1:10" x14ac:dyDescent="0.25">
      <c r="A138" s="17" t="s">
        <v>30</v>
      </c>
      <c r="B138" s="17">
        <v>2016</v>
      </c>
      <c r="C138" s="17" t="s">
        <v>40</v>
      </c>
      <c r="D138" s="16">
        <f>SUM('Working sheet'!$D138:$P138)</f>
        <v>1762.8999999999999</v>
      </c>
      <c r="E138" s="17">
        <f>SUM('Working sheet'!$Q138)</f>
        <v>144.30000000000001</v>
      </c>
      <c r="F138" s="17">
        <f>SUM('Working sheet'!$R138:$T138)</f>
        <v>379</v>
      </c>
      <c r="G138" s="17">
        <f>SUM('Working sheet'!$U138)</f>
        <v>128.69999999999999</v>
      </c>
      <c r="H138" s="17">
        <f>SUM('Working sheet'!$V138)</f>
        <v>115.2</v>
      </c>
      <c r="I138" s="17">
        <f>SUM('Working sheet'!$W138:$AC138)</f>
        <v>853.9</v>
      </c>
      <c r="J138" s="25">
        <v>128.6</v>
      </c>
    </row>
    <row r="139" spans="1:10" x14ac:dyDescent="0.25">
      <c r="A139" s="14" t="s">
        <v>31</v>
      </c>
      <c r="B139" s="14">
        <v>2016</v>
      </c>
      <c r="C139" s="14" t="s">
        <v>40</v>
      </c>
      <c r="D139" s="13">
        <f>SUM('Working sheet'!$D139:$P139)</f>
        <v>1766.7999999999995</v>
      </c>
      <c r="E139" s="14">
        <f>SUM('Working sheet'!$Q139)</f>
        <v>141.80000000000001</v>
      </c>
      <c r="F139" s="14">
        <f>SUM('Working sheet'!$R139:$T139)</f>
        <v>399.1</v>
      </c>
      <c r="G139" s="14">
        <f>SUM('Working sheet'!$U139)</f>
        <v>128.69999999999999</v>
      </c>
      <c r="H139" s="14">
        <f>SUM('Working sheet'!$V139)</f>
        <v>124.3</v>
      </c>
      <c r="I139" s="14">
        <f>SUM('Working sheet'!$W139:$AC139)</f>
        <v>871.1</v>
      </c>
      <c r="J139" s="26">
        <v>131.4</v>
      </c>
    </row>
    <row r="140" spans="1:10" x14ac:dyDescent="0.25">
      <c r="A140" s="17" t="s">
        <v>28</v>
      </c>
      <c r="B140" s="17">
        <v>2016</v>
      </c>
      <c r="C140" s="17" t="s">
        <v>42</v>
      </c>
      <c r="D140" s="16">
        <f>SUM('Working sheet'!$D140:$P140)</f>
        <v>1764.6</v>
      </c>
      <c r="E140" s="17">
        <f>SUM('Working sheet'!$Q140)</f>
        <v>141.19999999999999</v>
      </c>
      <c r="F140" s="17">
        <f>SUM('Working sheet'!$R140:$T140)</f>
        <v>413.59999999999997</v>
      </c>
      <c r="G140" s="17">
        <f>SUM('Working sheet'!$U140)</f>
        <v>128.80000000000001</v>
      </c>
      <c r="H140" s="17">
        <f>SUM('Working sheet'!$V140)</f>
        <v>130.30000000000001</v>
      </c>
      <c r="I140" s="17">
        <f>SUM('Working sheet'!$W140:$AC140)</f>
        <v>889.6</v>
      </c>
      <c r="J140" s="25">
        <v>133.6</v>
      </c>
    </row>
    <row r="141" spans="1:10" x14ac:dyDescent="0.25">
      <c r="A141" s="14" t="s">
        <v>30</v>
      </c>
      <c r="B141" s="14">
        <v>2016</v>
      </c>
      <c r="C141" s="14" t="s">
        <v>42</v>
      </c>
      <c r="D141" s="13">
        <f>SUM('Working sheet'!$D141:$P141)</f>
        <v>1755.2</v>
      </c>
      <c r="E141" s="14">
        <f>SUM('Working sheet'!$Q141)</f>
        <v>144.30000000000001</v>
      </c>
      <c r="F141" s="14">
        <f>SUM('Working sheet'!$R141:$T141)</f>
        <v>380.2</v>
      </c>
      <c r="G141" s="14">
        <f>SUM('Working sheet'!$U141)</f>
        <v>129.1</v>
      </c>
      <c r="H141" s="14">
        <f>SUM('Working sheet'!$V141)</f>
        <v>116.2</v>
      </c>
      <c r="I141" s="14">
        <f>SUM('Working sheet'!$W141:$AC141)</f>
        <v>856.59999999999991</v>
      </c>
      <c r="J141" s="26">
        <v>128.5</v>
      </c>
    </row>
    <row r="142" spans="1:10" x14ac:dyDescent="0.25">
      <c r="A142" s="17" t="s">
        <v>31</v>
      </c>
      <c r="B142" s="17">
        <v>2016</v>
      </c>
      <c r="C142" s="17" t="s">
        <v>42</v>
      </c>
      <c r="D142" s="16">
        <f>SUM('Working sheet'!$D142:$P142)</f>
        <v>1759.8</v>
      </c>
      <c r="E142" s="17">
        <f>SUM('Working sheet'!$Q142)</f>
        <v>142</v>
      </c>
      <c r="F142" s="17">
        <f>SUM('Working sheet'!$R142:$T142)</f>
        <v>400.1</v>
      </c>
      <c r="G142" s="17">
        <f>SUM('Working sheet'!$U142)</f>
        <v>129.1</v>
      </c>
      <c r="H142" s="17">
        <f>SUM('Working sheet'!$V142)</f>
        <v>125</v>
      </c>
      <c r="I142" s="17">
        <f>SUM('Working sheet'!$W142:$AC142)</f>
        <v>873.9</v>
      </c>
      <c r="J142" s="25">
        <v>131.19999999999999</v>
      </c>
    </row>
    <row r="143" spans="1:10" x14ac:dyDescent="0.25">
      <c r="A143" s="14" t="s">
        <v>28</v>
      </c>
      <c r="B143" s="14">
        <v>2016</v>
      </c>
      <c r="C143" s="14" t="s">
        <v>43</v>
      </c>
      <c r="D143" s="13">
        <f>SUM('Working sheet'!$D143:$P143)</f>
        <v>1749.1</v>
      </c>
      <c r="E143" s="14">
        <f>SUM('Working sheet'!$Q143)</f>
        <v>142.4</v>
      </c>
      <c r="F143" s="14">
        <f>SUM('Working sheet'!$R143:$T143)</f>
        <v>415.3</v>
      </c>
      <c r="G143" s="14">
        <f>SUM('Working sheet'!$U143)</f>
        <v>129.1</v>
      </c>
      <c r="H143" s="14">
        <f>SUM('Working sheet'!$V143)</f>
        <v>132</v>
      </c>
      <c r="I143" s="14">
        <f>SUM('Working sheet'!$W143:$AC143)</f>
        <v>890.9</v>
      </c>
      <c r="J143" s="26">
        <v>132.80000000000001</v>
      </c>
    </row>
    <row r="144" spans="1:10" x14ac:dyDescent="0.25">
      <c r="A144" s="17" t="s">
        <v>30</v>
      </c>
      <c r="B144" s="17">
        <v>2016</v>
      </c>
      <c r="C144" s="17" t="s">
        <v>43</v>
      </c>
      <c r="D144" s="16">
        <f>SUM('Working sheet'!$D144:$P144)</f>
        <v>1729.8</v>
      </c>
      <c r="E144" s="17">
        <f>SUM('Working sheet'!$Q144)</f>
        <v>145</v>
      </c>
      <c r="F144" s="17">
        <f>SUM('Working sheet'!$R144:$T144)</f>
        <v>381</v>
      </c>
      <c r="G144" s="17">
        <f>SUM('Working sheet'!$U144)</f>
        <v>128.5</v>
      </c>
      <c r="H144" s="17">
        <f>SUM('Working sheet'!$V144)</f>
        <v>117.8</v>
      </c>
      <c r="I144" s="17">
        <f>SUM('Working sheet'!$W144:$AC144)</f>
        <v>856.4</v>
      </c>
      <c r="J144" s="25">
        <v>127.6</v>
      </c>
    </row>
    <row r="145" spans="1:10" x14ac:dyDescent="0.25">
      <c r="A145" s="14" t="s">
        <v>31</v>
      </c>
      <c r="B145" s="14">
        <v>2016</v>
      </c>
      <c r="C145" s="14" t="s">
        <v>43</v>
      </c>
      <c r="D145" s="13">
        <f>SUM('Working sheet'!$D145:$P145)</f>
        <v>1740.7</v>
      </c>
      <c r="E145" s="14">
        <f>SUM('Working sheet'!$Q145)</f>
        <v>143.1</v>
      </c>
      <c r="F145" s="14">
        <f>SUM('Working sheet'!$R145:$T145)</f>
        <v>401.5</v>
      </c>
      <c r="G145" s="14">
        <f>SUM('Working sheet'!$U145)</f>
        <v>128.5</v>
      </c>
      <c r="H145" s="14">
        <f>SUM('Working sheet'!$V145)</f>
        <v>126.6</v>
      </c>
      <c r="I145" s="14">
        <f>SUM('Working sheet'!$W145:$AC145)</f>
        <v>874.4</v>
      </c>
      <c r="J145" s="26">
        <v>130.4</v>
      </c>
    </row>
    <row r="146" spans="1:10" x14ac:dyDescent="0.25">
      <c r="A146" s="17" t="s">
        <v>28</v>
      </c>
      <c r="B146" s="17">
        <v>2017</v>
      </c>
      <c r="C146" s="17" t="s">
        <v>29</v>
      </c>
      <c r="D146" s="16">
        <f>SUM('Working sheet'!$D146:$P146)</f>
        <v>1737.3000000000002</v>
      </c>
      <c r="E146" s="17">
        <f>SUM('Working sheet'!$Q146)</f>
        <v>143.1</v>
      </c>
      <c r="F146" s="17">
        <f>SUM('Working sheet'!$R146:$T146)</f>
        <v>416.5</v>
      </c>
      <c r="G146" s="17">
        <f>SUM('Working sheet'!$U146)</f>
        <v>130.1</v>
      </c>
      <c r="H146" s="17">
        <f>SUM('Working sheet'!$V146)</f>
        <v>132.1</v>
      </c>
      <c r="I146" s="17">
        <f>SUM('Working sheet'!$W146:$AC146)</f>
        <v>892.7</v>
      </c>
      <c r="J146" s="25">
        <v>132.4</v>
      </c>
    </row>
    <row r="147" spans="1:10" x14ac:dyDescent="0.25">
      <c r="A147" s="14" t="s">
        <v>30</v>
      </c>
      <c r="B147" s="14">
        <v>2017</v>
      </c>
      <c r="C147" s="14" t="s">
        <v>29</v>
      </c>
      <c r="D147" s="13">
        <f>SUM('Working sheet'!$D147:$P147)</f>
        <v>1713.2</v>
      </c>
      <c r="E147" s="14">
        <f>SUM('Working sheet'!$Q147)</f>
        <v>145.6</v>
      </c>
      <c r="F147" s="14">
        <f>SUM('Working sheet'!$R147:$T147)</f>
        <v>381.5</v>
      </c>
      <c r="G147" s="14">
        <f>SUM('Working sheet'!$U147)</f>
        <v>129.6</v>
      </c>
      <c r="H147" s="14">
        <f>SUM('Working sheet'!$V147)</f>
        <v>118</v>
      </c>
      <c r="I147" s="14">
        <f>SUM('Working sheet'!$W147:$AC147)</f>
        <v>860.3</v>
      </c>
      <c r="J147" s="26">
        <v>127.8</v>
      </c>
    </row>
    <row r="148" spans="1:10" x14ac:dyDescent="0.25">
      <c r="A148" s="17" t="s">
        <v>31</v>
      </c>
      <c r="B148" s="17">
        <v>2017</v>
      </c>
      <c r="C148" s="17" t="s">
        <v>29</v>
      </c>
      <c r="D148" s="16">
        <f>SUM('Working sheet'!$D148:$P148)</f>
        <v>1727.2999999999995</v>
      </c>
      <c r="E148" s="17">
        <f>SUM('Working sheet'!$Q148)</f>
        <v>143.80000000000001</v>
      </c>
      <c r="F148" s="17">
        <f>SUM('Working sheet'!$R148:$T148)</f>
        <v>402.4</v>
      </c>
      <c r="G148" s="17">
        <f>SUM('Working sheet'!$U148)</f>
        <v>129.6</v>
      </c>
      <c r="H148" s="17">
        <f>SUM('Working sheet'!$V148)</f>
        <v>126.8</v>
      </c>
      <c r="I148" s="17">
        <f>SUM('Working sheet'!$W148:$AC148)</f>
        <v>877.1</v>
      </c>
      <c r="J148" s="25">
        <v>130.30000000000001</v>
      </c>
    </row>
    <row r="149" spans="1:10" x14ac:dyDescent="0.25">
      <c r="A149" s="14" t="s">
        <v>28</v>
      </c>
      <c r="B149" s="14">
        <v>2017</v>
      </c>
      <c r="C149" s="14" t="s">
        <v>32</v>
      </c>
      <c r="D149" s="13">
        <f>SUM('Working sheet'!$D149:$P149)</f>
        <v>1734.5000000000002</v>
      </c>
      <c r="E149" s="14">
        <f>SUM('Working sheet'!$Q149)</f>
        <v>143.69999999999999</v>
      </c>
      <c r="F149" s="14">
        <f>SUM('Working sheet'!$R149:$T149)</f>
        <v>416.90000000000003</v>
      </c>
      <c r="G149" s="14">
        <f>SUM('Working sheet'!$U149)</f>
        <v>130.80000000000001</v>
      </c>
      <c r="H149" s="14">
        <f>SUM('Working sheet'!$V149)</f>
        <v>133.19999999999999</v>
      </c>
      <c r="I149" s="14">
        <f>SUM('Working sheet'!$W149:$AC149)</f>
        <v>896</v>
      </c>
      <c r="J149" s="26">
        <v>132.6</v>
      </c>
    </row>
    <row r="150" spans="1:10" x14ac:dyDescent="0.25">
      <c r="A150" s="17" t="s">
        <v>30</v>
      </c>
      <c r="B150" s="17">
        <v>2017</v>
      </c>
      <c r="C150" s="17" t="s">
        <v>32</v>
      </c>
      <c r="D150" s="16">
        <f>SUM('Working sheet'!$D150:$P150)</f>
        <v>1705.3000000000002</v>
      </c>
      <c r="E150" s="17">
        <f>SUM('Working sheet'!$Q150)</f>
        <v>146.30000000000001</v>
      </c>
      <c r="F150" s="17">
        <f>SUM('Working sheet'!$R150:$T150)</f>
        <v>382.3</v>
      </c>
      <c r="G150" s="17">
        <f>SUM('Working sheet'!$U150)</f>
        <v>130.5</v>
      </c>
      <c r="H150" s="17">
        <f>SUM('Working sheet'!$V150)</f>
        <v>119.2</v>
      </c>
      <c r="I150" s="17">
        <f>SUM('Working sheet'!$W150:$AC150)</f>
        <v>862.4</v>
      </c>
      <c r="J150" s="25">
        <v>128.19999999999999</v>
      </c>
    </row>
    <row r="151" spans="1:10" x14ac:dyDescent="0.25">
      <c r="A151" s="14" t="s">
        <v>31</v>
      </c>
      <c r="B151" s="14">
        <v>2017</v>
      </c>
      <c r="C151" s="14" t="s">
        <v>32</v>
      </c>
      <c r="D151" s="13">
        <f>SUM('Working sheet'!$D151:$P151)</f>
        <v>1722.3000000000002</v>
      </c>
      <c r="E151" s="14">
        <f>SUM('Working sheet'!$Q151)</f>
        <v>144.4</v>
      </c>
      <c r="F151" s="14">
        <f>SUM('Working sheet'!$R151:$T151)</f>
        <v>403</v>
      </c>
      <c r="G151" s="14">
        <f>SUM('Working sheet'!$U151)</f>
        <v>130.5</v>
      </c>
      <c r="H151" s="14">
        <f>SUM('Working sheet'!$V151)</f>
        <v>127.9</v>
      </c>
      <c r="I151" s="14">
        <f>SUM('Working sheet'!$W151:$AC151)</f>
        <v>879.9</v>
      </c>
      <c r="J151" s="26">
        <v>130.6</v>
      </c>
    </row>
    <row r="152" spans="1:10" x14ac:dyDescent="0.25">
      <c r="A152" s="17" t="s">
        <v>28</v>
      </c>
      <c r="B152" s="17">
        <v>2017</v>
      </c>
      <c r="C152" s="17" t="s">
        <v>33</v>
      </c>
      <c r="D152" s="16">
        <f>SUM('Working sheet'!$D152:$P152)</f>
        <v>1728.5000000000002</v>
      </c>
      <c r="E152" s="17">
        <f>SUM('Working sheet'!$Q152)</f>
        <v>144.19999999999999</v>
      </c>
      <c r="F152" s="17">
        <f>SUM('Working sheet'!$R152:$T152)</f>
        <v>418.59999999999997</v>
      </c>
      <c r="G152" s="17">
        <f>SUM('Working sheet'!$U152)</f>
        <v>131.4</v>
      </c>
      <c r="H152" s="17">
        <f>SUM('Working sheet'!$V152)</f>
        <v>134.19999999999999</v>
      </c>
      <c r="I152" s="17">
        <f>SUM('Working sheet'!$W152:$AC152)</f>
        <v>898.69999999999993</v>
      </c>
      <c r="J152" s="25">
        <v>132.80000000000001</v>
      </c>
    </row>
    <row r="153" spans="1:10" x14ac:dyDescent="0.25">
      <c r="A153" s="14" t="s">
        <v>30</v>
      </c>
      <c r="B153" s="14">
        <v>2017</v>
      </c>
      <c r="C153" s="14" t="s">
        <v>33</v>
      </c>
      <c r="D153" s="13">
        <f>SUM('Working sheet'!$D153:$P153)</f>
        <v>1705.6999999999998</v>
      </c>
      <c r="E153" s="14">
        <f>SUM('Working sheet'!$Q153)</f>
        <v>147.5</v>
      </c>
      <c r="F153" s="14">
        <f>SUM('Working sheet'!$R153:$T153)</f>
        <v>383.20000000000005</v>
      </c>
      <c r="G153" s="14">
        <f>SUM('Working sheet'!$U153)</f>
        <v>131.1</v>
      </c>
      <c r="H153" s="14">
        <f>SUM('Working sheet'!$V153)</f>
        <v>120.8</v>
      </c>
      <c r="I153" s="14">
        <f>SUM('Working sheet'!$W153:$AC153)</f>
        <v>863.80000000000007</v>
      </c>
      <c r="J153" s="26">
        <v>128.69999999999999</v>
      </c>
    </row>
    <row r="154" spans="1:10" x14ac:dyDescent="0.25">
      <c r="A154" s="17" t="s">
        <v>31</v>
      </c>
      <c r="B154" s="17">
        <v>2017</v>
      </c>
      <c r="C154" s="17" t="s">
        <v>33</v>
      </c>
      <c r="D154" s="16">
        <f>SUM('Working sheet'!$D154:$P154)</f>
        <v>1718.9</v>
      </c>
      <c r="E154" s="17">
        <f>SUM('Working sheet'!$Q154)</f>
        <v>145.1</v>
      </c>
      <c r="F154" s="17">
        <f>SUM('Working sheet'!$R154:$T154)</f>
        <v>404.29999999999995</v>
      </c>
      <c r="G154" s="17">
        <f>SUM('Working sheet'!$U154)</f>
        <v>131.1</v>
      </c>
      <c r="H154" s="17">
        <f>SUM('Working sheet'!$V154)</f>
        <v>129.1</v>
      </c>
      <c r="I154" s="17">
        <f>SUM('Working sheet'!$W154:$AC154)</f>
        <v>882</v>
      </c>
      <c r="J154" s="25">
        <v>130.9</v>
      </c>
    </row>
    <row r="155" spans="1:10" x14ac:dyDescent="0.25">
      <c r="A155" s="14" t="s">
        <v>28</v>
      </c>
      <c r="B155" s="14">
        <v>2017</v>
      </c>
      <c r="C155" s="14" t="s">
        <v>34</v>
      </c>
      <c r="D155" s="13">
        <f>SUM('Working sheet'!$D155:$P155)</f>
        <v>1726.3</v>
      </c>
      <c r="E155" s="14">
        <f>SUM('Working sheet'!$Q155)</f>
        <v>144.4</v>
      </c>
      <c r="F155" s="14">
        <f>SUM('Working sheet'!$R155:$T155)</f>
        <v>420.80000000000007</v>
      </c>
      <c r="G155" s="14">
        <f>SUM('Working sheet'!$U155)</f>
        <v>131.9</v>
      </c>
      <c r="H155" s="14">
        <f>SUM('Working sheet'!$V155)</f>
        <v>135</v>
      </c>
      <c r="I155" s="14">
        <f>SUM('Working sheet'!$W155:$AC155)</f>
        <v>899.7</v>
      </c>
      <c r="J155" s="26">
        <v>132.9</v>
      </c>
    </row>
    <row r="156" spans="1:10" x14ac:dyDescent="0.25">
      <c r="A156" s="17" t="s">
        <v>30</v>
      </c>
      <c r="B156" s="17">
        <v>2017</v>
      </c>
      <c r="C156" s="17" t="s">
        <v>34</v>
      </c>
      <c r="D156" s="16">
        <f>SUM('Working sheet'!$D156:$P156)</f>
        <v>1708.1</v>
      </c>
      <c r="E156" s="17">
        <f>SUM('Working sheet'!$Q156)</f>
        <v>148</v>
      </c>
      <c r="F156" s="17">
        <f>SUM('Working sheet'!$R156:$T156)</f>
        <v>384.2</v>
      </c>
      <c r="G156" s="17">
        <f>SUM('Working sheet'!$U156)</f>
        <v>131.69999999999999</v>
      </c>
      <c r="H156" s="17">
        <f>SUM('Working sheet'!$V156)</f>
        <v>121.4</v>
      </c>
      <c r="I156" s="17">
        <f>SUM('Working sheet'!$W156:$AC156)</f>
        <v>864.6</v>
      </c>
      <c r="J156" s="25">
        <v>129.1</v>
      </c>
    </row>
    <row r="157" spans="1:10" x14ac:dyDescent="0.25">
      <c r="A157" s="14" t="s">
        <v>31</v>
      </c>
      <c r="B157" s="14">
        <v>2017</v>
      </c>
      <c r="C157" s="14" t="s">
        <v>34</v>
      </c>
      <c r="D157" s="13">
        <f>SUM('Working sheet'!$D157:$P157)</f>
        <v>1718.4</v>
      </c>
      <c r="E157" s="14">
        <f>SUM('Working sheet'!$Q157)</f>
        <v>145.4</v>
      </c>
      <c r="F157" s="14">
        <f>SUM('Working sheet'!$R157:$T157)</f>
        <v>406.1</v>
      </c>
      <c r="G157" s="14">
        <f>SUM('Working sheet'!$U157)</f>
        <v>131.69999999999999</v>
      </c>
      <c r="H157" s="14">
        <f>SUM('Working sheet'!$V157)</f>
        <v>129.80000000000001</v>
      </c>
      <c r="I157" s="14">
        <f>SUM('Working sheet'!$W157:$AC157)</f>
        <v>882.90000000000009</v>
      </c>
      <c r="J157" s="26">
        <v>131.1</v>
      </c>
    </row>
    <row r="158" spans="1:10" x14ac:dyDescent="0.25">
      <c r="A158" s="17" t="s">
        <v>28</v>
      </c>
      <c r="B158" s="17">
        <v>2017</v>
      </c>
      <c r="C158" s="17" t="s">
        <v>35</v>
      </c>
      <c r="D158" s="16">
        <f>SUM('Working sheet'!$D158:$P158)</f>
        <v>1727.4999999999995</v>
      </c>
      <c r="E158" s="17">
        <f>SUM('Working sheet'!$Q158)</f>
        <v>145.5</v>
      </c>
      <c r="F158" s="17">
        <f>SUM('Working sheet'!$R158:$T158)</f>
        <v>421.6</v>
      </c>
      <c r="G158" s="17">
        <f>SUM('Working sheet'!$U158)</f>
        <v>131.80000000000001</v>
      </c>
      <c r="H158" s="17">
        <f>SUM('Working sheet'!$V158)</f>
        <v>135</v>
      </c>
      <c r="I158" s="17">
        <f>SUM('Working sheet'!$W158:$AC158)</f>
        <v>903.00000000000011</v>
      </c>
      <c r="J158" s="25">
        <v>133.30000000000001</v>
      </c>
    </row>
    <row r="159" spans="1:10" x14ac:dyDescent="0.25">
      <c r="A159" s="14" t="s">
        <v>30</v>
      </c>
      <c r="B159" s="14">
        <v>2017</v>
      </c>
      <c r="C159" s="14" t="s">
        <v>35</v>
      </c>
      <c r="D159" s="13">
        <f>SUM('Working sheet'!$D159:$P159)</f>
        <v>1709.6</v>
      </c>
      <c r="E159" s="14">
        <f>SUM('Working sheet'!$Q159)</f>
        <v>148.30000000000001</v>
      </c>
      <c r="F159" s="14">
        <f>SUM('Working sheet'!$R159:$T159)</f>
        <v>384.9</v>
      </c>
      <c r="G159" s="14">
        <f>SUM('Working sheet'!$U159)</f>
        <v>132.1</v>
      </c>
      <c r="H159" s="14">
        <f>SUM('Working sheet'!$V159)</f>
        <v>120.1</v>
      </c>
      <c r="I159" s="14">
        <f>SUM('Working sheet'!$W159:$AC159)</f>
        <v>865.6</v>
      </c>
      <c r="J159" s="26">
        <v>129.30000000000001</v>
      </c>
    </row>
    <row r="160" spans="1:10" x14ac:dyDescent="0.25">
      <c r="A160" s="17" t="s">
        <v>31</v>
      </c>
      <c r="B160" s="17">
        <v>2017</v>
      </c>
      <c r="C160" s="17" t="s">
        <v>35</v>
      </c>
      <c r="D160" s="16">
        <f>SUM('Working sheet'!$D160:$P160)</f>
        <v>1719.6000000000001</v>
      </c>
      <c r="E160" s="17">
        <f>SUM('Working sheet'!$Q160)</f>
        <v>146.19999999999999</v>
      </c>
      <c r="F160" s="17">
        <f>SUM('Working sheet'!$R160:$T160)</f>
        <v>406.8</v>
      </c>
      <c r="G160" s="17">
        <f>SUM('Working sheet'!$U160)</f>
        <v>132.1</v>
      </c>
      <c r="H160" s="17">
        <f>SUM('Working sheet'!$V160)</f>
        <v>129.4</v>
      </c>
      <c r="I160" s="17">
        <f>SUM('Working sheet'!$W160:$AC160)</f>
        <v>884.8</v>
      </c>
      <c r="J160" s="25">
        <v>131.4</v>
      </c>
    </row>
    <row r="161" spans="1:10" x14ac:dyDescent="0.25">
      <c r="A161" s="14" t="s">
        <v>28</v>
      </c>
      <c r="B161" s="14">
        <v>2017</v>
      </c>
      <c r="C161" s="14" t="s">
        <v>36</v>
      </c>
      <c r="D161" s="13">
        <f>SUM('Working sheet'!$D161:$P161)</f>
        <v>1738.8000000000002</v>
      </c>
      <c r="E161" s="14">
        <f>SUM('Working sheet'!$Q161)</f>
        <v>145.80000000000001</v>
      </c>
      <c r="F161" s="14">
        <f>SUM('Working sheet'!$R161:$T161)</f>
        <v>423.09999999999997</v>
      </c>
      <c r="G161" s="14">
        <f>SUM('Working sheet'!$U161)</f>
        <v>132</v>
      </c>
      <c r="H161" s="14">
        <f>SUM('Working sheet'!$V161)</f>
        <v>134.80000000000001</v>
      </c>
      <c r="I161" s="14">
        <f>SUM('Working sheet'!$W161:$AC161)</f>
        <v>904.80000000000007</v>
      </c>
      <c r="J161" s="26">
        <v>133.9</v>
      </c>
    </row>
    <row r="162" spans="1:10" x14ac:dyDescent="0.25">
      <c r="A162" s="17" t="s">
        <v>30</v>
      </c>
      <c r="B162" s="17">
        <v>2017</v>
      </c>
      <c r="C162" s="17" t="s">
        <v>36</v>
      </c>
      <c r="D162" s="16">
        <f>SUM('Working sheet'!$D162:$P162)</f>
        <v>1731.0000000000002</v>
      </c>
      <c r="E162" s="17">
        <f>SUM('Working sheet'!$Q162)</f>
        <v>148.6</v>
      </c>
      <c r="F162" s="17">
        <f>SUM('Working sheet'!$R162:$T162)</f>
        <v>384.9</v>
      </c>
      <c r="G162" s="17">
        <f>SUM('Working sheet'!$U162)</f>
        <v>131.4</v>
      </c>
      <c r="H162" s="17">
        <f>SUM('Working sheet'!$V162)</f>
        <v>119</v>
      </c>
      <c r="I162" s="17">
        <f>SUM('Working sheet'!$W162:$AC162)</f>
        <v>866.90000000000009</v>
      </c>
      <c r="J162" s="25">
        <v>129.9</v>
      </c>
    </row>
    <row r="163" spans="1:10" x14ac:dyDescent="0.25">
      <c r="A163" s="14" t="s">
        <v>31</v>
      </c>
      <c r="B163" s="14">
        <v>2017</v>
      </c>
      <c r="C163" s="14" t="s">
        <v>36</v>
      </c>
      <c r="D163" s="13">
        <f>SUM('Working sheet'!$D163:$P163)</f>
        <v>1734.7</v>
      </c>
      <c r="E163" s="14">
        <f>SUM('Working sheet'!$Q163)</f>
        <v>146.5</v>
      </c>
      <c r="F163" s="14">
        <f>SUM('Working sheet'!$R163:$T163)</f>
        <v>407.7</v>
      </c>
      <c r="G163" s="14">
        <f>SUM('Working sheet'!$U163)</f>
        <v>131.4</v>
      </c>
      <c r="H163" s="14">
        <f>SUM('Working sheet'!$V163)</f>
        <v>128.80000000000001</v>
      </c>
      <c r="I163" s="14">
        <f>SUM('Working sheet'!$W163:$AC163)</f>
        <v>886.4</v>
      </c>
      <c r="J163" s="26">
        <v>132</v>
      </c>
    </row>
    <row r="164" spans="1:10" x14ac:dyDescent="0.25">
      <c r="A164" s="17" t="s">
        <v>28</v>
      </c>
      <c r="B164" s="17">
        <v>2017</v>
      </c>
      <c r="C164" s="17" t="s">
        <v>37</v>
      </c>
      <c r="D164" s="16">
        <f>SUM('Working sheet'!$D164:$P164)</f>
        <v>1772.9</v>
      </c>
      <c r="E164" s="17">
        <f>SUM('Working sheet'!$Q164)</f>
        <v>147.4</v>
      </c>
      <c r="F164" s="17">
        <f>SUM('Working sheet'!$R164:$T164)</f>
        <v>425.9</v>
      </c>
      <c r="G164" s="17">
        <f>SUM('Working sheet'!$U164)</f>
        <v>133.5</v>
      </c>
      <c r="H164" s="17">
        <f>SUM('Working sheet'!$V164)</f>
        <v>135.30000000000001</v>
      </c>
      <c r="I164" s="17">
        <f>SUM('Working sheet'!$W164:$AC164)</f>
        <v>909.5</v>
      </c>
      <c r="J164" s="25">
        <v>136.19999999999999</v>
      </c>
    </row>
    <row r="165" spans="1:10" x14ac:dyDescent="0.25">
      <c r="A165" s="14" t="s">
        <v>30</v>
      </c>
      <c r="B165" s="14">
        <v>2017</v>
      </c>
      <c r="C165" s="14" t="s">
        <v>37</v>
      </c>
      <c r="D165" s="13">
        <f>SUM('Working sheet'!$D165:$P165)</f>
        <v>1768.1</v>
      </c>
      <c r="E165" s="14">
        <f>SUM('Working sheet'!$Q165)</f>
        <v>150.5</v>
      </c>
      <c r="F165" s="14">
        <f>SUM('Working sheet'!$R165:$T165)</f>
        <v>385.70000000000005</v>
      </c>
      <c r="G165" s="14">
        <f>SUM('Working sheet'!$U165)</f>
        <v>132.6</v>
      </c>
      <c r="H165" s="14">
        <f>SUM('Working sheet'!$V165)</f>
        <v>119.7</v>
      </c>
      <c r="I165" s="14">
        <f>SUM('Working sheet'!$W165:$AC165)</f>
        <v>869.8</v>
      </c>
      <c r="J165" s="26">
        <v>131.80000000000001</v>
      </c>
    </row>
    <row r="166" spans="1:10" x14ac:dyDescent="0.25">
      <c r="A166" s="17" t="s">
        <v>31</v>
      </c>
      <c r="B166" s="17">
        <v>2017</v>
      </c>
      <c r="C166" s="17" t="s">
        <v>37</v>
      </c>
      <c r="D166" s="16">
        <f>SUM('Working sheet'!$D166:$P166)</f>
        <v>1769.3999999999999</v>
      </c>
      <c r="E166" s="17">
        <f>SUM('Working sheet'!$Q166)</f>
        <v>148.19999999999999</v>
      </c>
      <c r="F166" s="17">
        <f>SUM('Working sheet'!$R166:$T166)</f>
        <v>409.7</v>
      </c>
      <c r="G166" s="17">
        <f>SUM('Working sheet'!$U166)</f>
        <v>132.6</v>
      </c>
      <c r="H166" s="17">
        <f>SUM('Working sheet'!$V166)</f>
        <v>129.4</v>
      </c>
      <c r="I166" s="17">
        <f>SUM('Working sheet'!$W166:$AC166)</f>
        <v>890.2</v>
      </c>
      <c r="J166" s="25">
        <v>134.19999999999999</v>
      </c>
    </row>
    <row r="167" spans="1:10" x14ac:dyDescent="0.25">
      <c r="A167" s="14" t="s">
        <v>28</v>
      </c>
      <c r="B167" s="14">
        <v>2017</v>
      </c>
      <c r="C167" s="14" t="s">
        <v>38</v>
      </c>
      <c r="D167" s="13">
        <f>SUM('Working sheet'!$D167:$P167)</f>
        <v>1792.4999999999998</v>
      </c>
      <c r="E167" s="14">
        <f>SUM('Working sheet'!$Q167)</f>
        <v>149</v>
      </c>
      <c r="F167" s="14">
        <f>SUM('Working sheet'!$R167:$T167)</f>
        <v>429</v>
      </c>
      <c r="G167" s="14">
        <f>SUM('Working sheet'!$U167)</f>
        <v>135.1</v>
      </c>
      <c r="H167" s="14">
        <f>SUM('Working sheet'!$V167)</f>
        <v>136.4</v>
      </c>
      <c r="I167" s="14">
        <f>SUM('Working sheet'!$W167:$AC167)</f>
        <v>917.39999999999986</v>
      </c>
      <c r="J167" s="26">
        <v>137.80000000000001</v>
      </c>
    </row>
    <row r="168" spans="1:10" x14ac:dyDescent="0.25">
      <c r="A168" s="17" t="s">
        <v>30</v>
      </c>
      <c r="B168" s="17">
        <v>2017</v>
      </c>
      <c r="C168" s="17" t="s">
        <v>38</v>
      </c>
      <c r="D168" s="16">
        <f>SUM('Working sheet'!$D168:$P168)</f>
        <v>1772.9999999999998</v>
      </c>
      <c r="E168" s="17">
        <f>SUM('Working sheet'!$Q168)</f>
        <v>152.1</v>
      </c>
      <c r="F168" s="17">
        <f>SUM('Working sheet'!$R168:$T168)</f>
        <v>388.4</v>
      </c>
      <c r="G168" s="17">
        <f>SUM('Working sheet'!$U168)</f>
        <v>134.4</v>
      </c>
      <c r="H168" s="17">
        <f>SUM('Working sheet'!$V168)</f>
        <v>118.9</v>
      </c>
      <c r="I168" s="17">
        <f>SUM('Working sheet'!$W168:$AC168)</f>
        <v>874.89999999999986</v>
      </c>
      <c r="J168" s="25">
        <v>132.69999999999999</v>
      </c>
    </row>
    <row r="169" spans="1:10" x14ac:dyDescent="0.25">
      <c r="A169" s="14" t="s">
        <v>31</v>
      </c>
      <c r="B169" s="14">
        <v>2017</v>
      </c>
      <c r="C169" s="14" t="s">
        <v>38</v>
      </c>
      <c r="D169" s="13">
        <f>SUM('Working sheet'!$D169:$P169)</f>
        <v>1783.8</v>
      </c>
      <c r="E169" s="14">
        <f>SUM('Working sheet'!$Q169)</f>
        <v>149.80000000000001</v>
      </c>
      <c r="F169" s="14">
        <f>SUM('Working sheet'!$R169:$T169)</f>
        <v>412.6</v>
      </c>
      <c r="G169" s="14">
        <f>SUM('Working sheet'!$U169)</f>
        <v>134.4</v>
      </c>
      <c r="H169" s="14">
        <f>SUM('Working sheet'!$V169)</f>
        <v>129.80000000000001</v>
      </c>
      <c r="I169" s="14">
        <f>SUM('Working sheet'!$W169:$AC169)</f>
        <v>896.5</v>
      </c>
      <c r="J169" s="26">
        <v>135.4</v>
      </c>
    </row>
    <row r="170" spans="1:10" x14ac:dyDescent="0.25">
      <c r="A170" s="17" t="s">
        <v>28</v>
      </c>
      <c r="B170" s="17">
        <v>2017</v>
      </c>
      <c r="C170" s="17" t="s">
        <v>39</v>
      </c>
      <c r="D170" s="16">
        <f>SUM('Working sheet'!$D170:$P170)</f>
        <v>1784.3</v>
      </c>
      <c r="E170" s="17">
        <f>SUM('Working sheet'!$Q170)</f>
        <v>149.80000000000001</v>
      </c>
      <c r="F170" s="17">
        <f>SUM('Working sheet'!$R170:$T170)</f>
        <v>430.99999999999994</v>
      </c>
      <c r="G170" s="17">
        <f>SUM('Working sheet'!$U170)</f>
        <v>136.5</v>
      </c>
      <c r="H170" s="17">
        <f>SUM('Working sheet'!$V170)</f>
        <v>137.4</v>
      </c>
      <c r="I170" s="17">
        <f>SUM('Working sheet'!$W170:$AC170)</f>
        <v>921.40000000000009</v>
      </c>
      <c r="J170" s="25">
        <v>137.6</v>
      </c>
    </row>
    <row r="171" spans="1:10" x14ac:dyDescent="0.25">
      <c r="A171" s="14" t="s">
        <v>30</v>
      </c>
      <c r="B171" s="14">
        <v>2017</v>
      </c>
      <c r="C171" s="14" t="s">
        <v>39</v>
      </c>
      <c r="D171" s="13">
        <f>SUM('Working sheet'!$D171:$P171)</f>
        <v>1749.7</v>
      </c>
      <c r="E171" s="14">
        <f>SUM('Working sheet'!$Q171)</f>
        <v>153.6</v>
      </c>
      <c r="F171" s="14">
        <f>SUM('Working sheet'!$R171:$T171)</f>
        <v>389.9</v>
      </c>
      <c r="G171" s="14">
        <f>SUM('Working sheet'!$U171)</f>
        <v>135.69999999999999</v>
      </c>
      <c r="H171" s="14">
        <f>SUM('Working sheet'!$V171)</f>
        <v>120.6</v>
      </c>
      <c r="I171" s="14">
        <f>SUM('Working sheet'!$W171:$AC171)</f>
        <v>879.19999999999993</v>
      </c>
      <c r="J171" s="26">
        <v>132.4</v>
      </c>
    </row>
    <row r="172" spans="1:10" x14ac:dyDescent="0.25">
      <c r="A172" s="17" t="s">
        <v>31</v>
      </c>
      <c r="B172" s="17">
        <v>2017</v>
      </c>
      <c r="C172" s="17" t="s">
        <v>39</v>
      </c>
      <c r="D172" s="16">
        <f>SUM('Working sheet'!$D172:$P172)</f>
        <v>1769.9999999999998</v>
      </c>
      <c r="E172" s="17">
        <f>SUM('Working sheet'!$Q172)</f>
        <v>150.80000000000001</v>
      </c>
      <c r="F172" s="17">
        <f>SUM('Working sheet'!$R172:$T172)</f>
        <v>414.5</v>
      </c>
      <c r="G172" s="17">
        <f>SUM('Working sheet'!$U172)</f>
        <v>135.69999999999999</v>
      </c>
      <c r="H172" s="17">
        <f>SUM('Working sheet'!$V172)</f>
        <v>131</v>
      </c>
      <c r="I172" s="17">
        <f>SUM('Working sheet'!$W172:$AC172)</f>
        <v>900.7</v>
      </c>
      <c r="J172" s="25">
        <v>135.19999999999999</v>
      </c>
    </row>
    <row r="173" spans="1:10" x14ac:dyDescent="0.25">
      <c r="A173" s="14" t="s">
        <v>28</v>
      </c>
      <c r="B173" s="14">
        <v>2017</v>
      </c>
      <c r="C173" s="14" t="s">
        <v>40</v>
      </c>
      <c r="D173" s="13">
        <f>SUM('Working sheet'!$D173:$P173)</f>
        <v>1790.8999999999999</v>
      </c>
      <c r="E173" s="14">
        <f>SUM('Working sheet'!$Q173)</f>
        <v>150.5</v>
      </c>
      <c r="F173" s="14">
        <f>SUM('Working sheet'!$R173:$T173)</f>
        <v>433.99999999999994</v>
      </c>
      <c r="G173" s="14">
        <f>SUM('Working sheet'!$U173)</f>
        <v>138</v>
      </c>
      <c r="H173" s="14">
        <f>SUM('Working sheet'!$V173)</f>
        <v>138.1</v>
      </c>
      <c r="I173" s="14">
        <f>SUM('Working sheet'!$W173:$AC173)</f>
        <v>924.8</v>
      </c>
      <c r="J173" s="26">
        <v>138.30000000000001</v>
      </c>
    </row>
    <row r="174" spans="1:10" x14ac:dyDescent="0.25">
      <c r="A174" s="17" t="s">
        <v>30</v>
      </c>
      <c r="B174" s="17">
        <v>2017</v>
      </c>
      <c r="C174" s="17" t="s">
        <v>40</v>
      </c>
      <c r="D174" s="16">
        <f>SUM('Working sheet'!$D174:$P174)</f>
        <v>1765.6999999999998</v>
      </c>
      <c r="E174" s="17">
        <f>SUM('Working sheet'!$Q174)</f>
        <v>154.6</v>
      </c>
      <c r="F174" s="17">
        <f>SUM('Working sheet'!$R174:$T174)</f>
        <v>391.5</v>
      </c>
      <c r="G174" s="17">
        <f>SUM('Working sheet'!$U174)</f>
        <v>137.30000000000001</v>
      </c>
      <c r="H174" s="17">
        <f>SUM('Working sheet'!$V174)</f>
        <v>122.6</v>
      </c>
      <c r="I174" s="17">
        <f>SUM('Working sheet'!$W174:$AC174)</f>
        <v>880.1</v>
      </c>
      <c r="J174" s="25">
        <v>133.5</v>
      </c>
    </row>
    <row r="175" spans="1:10" x14ac:dyDescent="0.25">
      <c r="A175" s="14" t="s">
        <v>31</v>
      </c>
      <c r="B175" s="14">
        <v>2017</v>
      </c>
      <c r="C175" s="14" t="s">
        <v>40</v>
      </c>
      <c r="D175" s="13">
        <f>SUM('Working sheet'!$D175:$P175)</f>
        <v>1779.6999999999998</v>
      </c>
      <c r="E175" s="14">
        <f>SUM('Working sheet'!$Q175)</f>
        <v>151.6</v>
      </c>
      <c r="F175" s="14">
        <f>SUM('Working sheet'!$R175:$T175)</f>
        <v>416.90000000000003</v>
      </c>
      <c r="G175" s="14">
        <f>SUM('Working sheet'!$U175)</f>
        <v>137.30000000000001</v>
      </c>
      <c r="H175" s="14">
        <f>SUM('Working sheet'!$V175)</f>
        <v>132.19999999999999</v>
      </c>
      <c r="I175" s="14">
        <f>SUM('Working sheet'!$W175:$AC175)</f>
        <v>902.90000000000009</v>
      </c>
      <c r="J175" s="26">
        <v>136.1</v>
      </c>
    </row>
    <row r="176" spans="1:10" x14ac:dyDescent="0.25">
      <c r="A176" s="17" t="s">
        <v>28</v>
      </c>
      <c r="B176" s="17">
        <v>2017</v>
      </c>
      <c r="C176" s="17" t="s">
        <v>42</v>
      </c>
      <c r="D176" s="16">
        <f>SUM('Working sheet'!$D176:$P176)</f>
        <v>1817.7000000000003</v>
      </c>
      <c r="E176" s="17">
        <f>SUM('Working sheet'!$Q176)</f>
        <v>152.1</v>
      </c>
      <c r="F176" s="17">
        <f>SUM('Working sheet'!$R176:$T176)</f>
        <v>437</v>
      </c>
      <c r="G176" s="17">
        <f>SUM('Working sheet'!$U176)</f>
        <v>138.9</v>
      </c>
      <c r="H176" s="17">
        <f>SUM('Working sheet'!$V176)</f>
        <v>141.1</v>
      </c>
      <c r="I176" s="17">
        <f>SUM('Working sheet'!$W176:$AC176)</f>
        <v>931.8</v>
      </c>
      <c r="J176" s="25">
        <v>140</v>
      </c>
    </row>
    <row r="177" spans="1:10" x14ac:dyDescent="0.25">
      <c r="A177" s="14" t="s">
        <v>30</v>
      </c>
      <c r="B177" s="14">
        <v>2017</v>
      </c>
      <c r="C177" s="14" t="s">
        <v>42</v>
      </c>
      <c r="D177" s="13">
        <f>SUM('Working sheet'!$D177:$P177)</f>
        <v>1796.7</v>
      </c>
      <c r="E177" s="14">
        <f>SUM('Working sheet'!$Q177)</f>
        <v>156.19999999999999</v>
      </c>
      <c r="F177" s="14">
        <f>SUM('Working sheet'!$R177:$T177)</f>
        <v>393.9</v>
      </c>
      <c r="G177" s="14">
        <f>SUM('Working sheet'!$U177)</f>
        <v>138.6</v>
      </c>
      <c r="H177" s="14">
        <f>SUM('Working sheet'!$V177)</f>
        <v>125.7</v>
      </c>
      <c r="I177" s="14">
        <f>SUM('Working sheet'!$W177:$AC177)</f>
        <v>883</v>
      </c>
      <c r="J177" s="26">
        <v>134.80000000000001</v>
      </c>
    </row>
    <row r="178" spans="1:10" x14ac:dyDescent="0.25">
      <c r="A178" s="17" t="s">
        <v>31</v>
      </c>
      <c r="B178" s="17">
        <v>2017</v>
      </c>
      <c r="C178" s="17" t="s">
        <v>42</v>
      </c>
      <c r="D178" s="16">
        <f>SUM('Working sheet'!$D178:$P178)</f>
        <v>1808.2</v>
      </c>
      <c r="E178" s="17">
        <f>SUM('Working sheet'!$Q178)</f>
        <v>153.19999999999999</v>
      </c>
      <c r="F178" s="17">
        <f>SUM('Working sheet'!$R178:$T178)</f>
        <v>419.6</v>
      </c>
      <c r="G178" s="17">
        <f>SUM('Working sheet'!$U178)</f>
        <v>138.6</v>
      </c>
      <c r="H178" s="17">
        <f>SUM('Working sheet'!$V178)</f>
        <v>135.30000000000001</v>
      </c>
      <c r="I178" s="17">
        <f>SUM('Working sheet'!$W178:$AC178)</f>
        <v>908</v>
      </c>
      <c r="J178" s="25">
        <v>137.6</v>
      </c>
    </row>
    <row r="179" spans="1:10" x14ac:dyDescent="0.25">
      <c r="A179" s="14" t="s">
        <v>28</v>
      </c>
      <c r="B179" s="14">
        <v>2017</v>
      </c>
      <c r="C179" s="14" t="s">
        <v>43</v>
      </c>
      <c r="D179" s="13">
        <f>SUM('Working sheet'!$D179:$P179)</f>
        <v>1813.6000000000001</v>
      </c>
      <c r="E179" s="14">
        <f>SUM('Working sheet'!$Q179)</f>
        <v>153.19999999999999</v>
      </c>
      <c r="F179" s="14">
        <f>SUM('Working sheet'!$R179:$T179)</f>
        <v>437.09999999999997</v>
      </c>
      <c r="G179" s="14">
        <f>SUM('Working sheet'!$U179)</f>
        <v>139.80000000000001</v>
      </c>
      <c r="H179" s="14">
        <f>SUM('Working sheet'!$V179)</f>
        <v>142.6</v>
      </c>
      <c r="I179" s="14">
        <f>SUM('Working sheet'!$W179:$AC179)</f>
        <v>931.8</v>
      </c>
      <c r="J179" s="26">
        <v>139.80000000000001</v>
      </c>
    </row>
    <row r="180" spans="1:10" x14ac:dyDescent="0.25">
      <c r="A180" s="17" t="s">
        <v>30</v>
      </c>
      <c r="B180" s="17">
        <v>2017</v>
      </c>
      <c r="C180" s="17" t="s">
        <v>43</v>
      </c>
      <c r="D180" s="16">
        <f>SUM('Working sheet'!$D180:$P180)</f>
        <v>1767.5</v>
      </c>
      <c r="E180" s="17">
        <f>SUM('Working sheet'!$Q180)</f>
        <v>157</v>
      </c>
      <c r="F180" s="17">
        <f>SUM('Working sheet'!$R180:$T180)</f>
        <v>395.2</v>
      </c>
      <c r="G180" s="17">
        <f>SUM('Working sheet'!$U180)</f>
        <v>139.1</v>
      </c>
      <c r="H180" s="17">
        <f>SUM('Working sheet'!$V180)</f>
        <v>126.8</v>
      </c>
      <c r="I180" s="17">
        <f>SUM('Working sheet'!$W180:$AC180)</f>
        <v>884.8</v>
      </c>
      <c r="J180" s="25">
        <v>134.1</v>
      </c>
    </row>
    <row r="181" spans="1:10" x14ac:dyDescent="0.25">
      <c r="A181" s="14" t="s">
        <v>31</v>
      </c>
      <c r="B181" s="14">
        <v>2017</v>
      </c>
      <c r="C181" s="14" t="s">
        <v>43</v>
      </c>
      <c r="D181" s="13">
        <f>SUM('Working sheet'!$D181:$P181)</f>
        <v>1794.9999999999998</v>
      </c>
      <c r="E181" s="14">
        <f>SUM('Working sheet'!$Q181)</f>
        <v>154.19999999999999</v>
      </c>
      <c r="F181" s="14">
        <f>SUM('Working sheet'!$R181:$T181)</f>
        <v>420.2</v>
      </c>
      <c r="G181" s="14">
        <f>SUM('Working sheet'!$U181)</f>
        <v>139.1</v>
      </c>
      <c r="H181" s="14">
        <f>SUM('Working sheet'!$V181)</f>
        <v>136.6</v>
      </c>
      <c r="I181" s="14">
        <f>SUM('Working sheet'!$W181:$AC181)</f>
        <v>908.9</v>
      </c>
      <c r="J181" s="26">
        <v>137.19999999999999</v>
      </c>
    </row>
    <row r="182" spans="1:10" x14ac:dyDescent="0.25">
      <c r="A182" s="17" t="s">
        <v>28</v>
      </c>
      <c r="B182" s="17">
        <v>2018</v>
      </c>
      <c r="C182" s="17" t="s">
        <v>29</v>
      </c>
      <c r="D182" s="16">
        <f>SUM('Working sheet'!$D182:$P182)</f>
        <v>1800.7</v>
      </c>
      <c r="E182" s="17">
        <f>SUM('Working sheet'!$Q182)</f>
        <v>153.6</v>
      </c>
      <c r="F182" s="17">
        <f>SUM('Working sheet'!$R182:$T182)</f>
        <v>438.1</v>
      </c>
      <c r="G182" s="17">
        <f>SUM('Working sheet'!$U182)</f>
        <v>140.9</v>
      </c>
      <c r="H182" s="17">
        <f>SUM('Working sheet'!$V182)</f>
        <v>142.30000000000001</v>
      </c>
      <c r="I182" s="17">
        <f>SUM('Working sheet'!$W182:$AC182)</f>
        <v>935.3</v>
      </c>
      <c r="J182" s="25">
        <v>139.30000000000001</v>
      </c>
    </row>
    <row r="183" spans="1:10" x14ac:dyDescent="0.25">
      <c r="A183" s="14" t="s">
        <v>30</v>
      </c>
      <c r="B183" s="14">
        <v>2018</v>
      </c>
      <c r="C183" s="14" t="s">
        <v>29</v>
      </c>
      <c r="D183" s="13">
        <f>SUM('Working sheet'!$D183:$P183)</f>
        <v>1748.3000000000002</v>
      </c>
      <c r="E183" s="14">
        <f>SUM('Working sheet'!$Q183)</f>
        <v>157.69999999999999</v>
      </c>
      <c r="F183" s="14">
        <f>SUM('Working sheet'!$R183:$T183)</f>
        <v>396.29999999999995</v>
      </c>
      <c r="G183" s="14">
        <f>SUM('Working sheet'!$U183)</f>
        <v>140.4</v>
      </c>
      <c r="H183" s="14">
        <f>SUM('Working sheet'!$V183)</f>
        <v>127.3</v>
      </c>
      <c r="I183" s="14">
        <f>SUM('Working sheet'!$W183:$AC183)</f>
        <v>889.4</v>
      </c>
      <c r="J183" s="26">
        <v>134.1</v>
      </c>
    </row>
    <row r="184" spans="1:10" x14ac:dyDescent="0.25">
      <c r="A184" s="17" t="s">
        <v>31</v>
      </c>
      <c r="B184" s="17">
        <v>2018</v>
      </c>
      <c r="C184" s="17" t="s">
        <v>29</v>
      </c>
      <c r="D184" s="16">
        <f>SUM('Working sheet'!$D184:$P184)</f>
        <v>1779.9</v>
      </c>
      <c r="E184" s="17">
        <f>SUM('Working sheet'!$Q184)</f>
        <v>154.69999999999999</v>
      </c>
      <c r="F184" s="17">
        <f>SUM('Working sheet'!$R184:$T184)</f>
        <v>421.3</v>
      </c>
      <c r="G184" s="17">
        <f>SUM('Working sheet'!$U184)</f>
        <v>140.4</v>
      </c>
      <c r="H184" s="17">
        <f>SUM('Working sheet'!$V184)</f>
        <v>136.6</v>
      </c>
      <c r="I184" s="17">
        <f>SUM('Working sheet'!$W184:$AC184)</f>
        <v>912.6</v>
      </c>
      <c r="J184" s="25">
        <v>136.9</v>
      </c>
    </row>
    <row r="185" spans="1:10" x14ac:dyDescent="0.25">
      <c r="A185" s="14" t="s">
        <v>28</v>
      </c>
      <c r="B185" s="14">
        <v>2018</v>
      </c>
      <c r="C185" s="14" t="s">
        <v>32</v>
      </c>
      <c r="D185" s="13">
        <f>SUM('Working sheet'!$D185:$P185)</f>
        <v>1781.5</v>
      </c>
      <c r="E185" s="14">
        <f>SUM('Working sheet'!$Q185)</f>
        <v>153.30000000000001</v>
      </c>
      <c r="F185" s="14">
        <f>SUM('Working sheet'!$R185:$T185)</f>
        <v>438.90000000000003</v>
      </c>
      <c r="G185" s="14">
        <f>SUM('Working sheet'!$U185)</f>
        <v>141.69999999999999</v>
      </c>
      <c r="H185" s="14">
        <f>SUM('Working sheet'!$V185)</f>
        <v>142.4</v>
      </c>
      <c r="I185" s="14">
        <f>SUM('Working sheet'!$W185:$AC185)</f>
        <v>936.5</v>
      </c>
      <c r="J185" s="26">
        <v>138.5</v>
      </c>
    </row>
    <row r="186" spans="1:10" x14ac:dyDescent="0.25">
      <c r="A186" s="17" t="s">
        <v>30</v>
      </c>
      <c r="B186" s="17">
        <v>2018</v>
      </c>
      <c r="C186" s="17" t="s">
        <v>32</v>
      </c>
      <c r="D186" s="16">
        <f>SUM('Working sheet'!$D186:$P186)</f>
        <v>1727.9</v>
      </c>
      <c r="E186" s="17">
        <f>SUM('Working sheet'!$Q186)</f>
        <v>159.30000000000001</v>
      </c>
      <c r="F186" s="17">
        <f>SUM('Working sheet'!$R186:$T186)</f>
        <v>397.09999999999997</v>
      </c>
      <c r="G186" s="17">
        <f>SUM('Working sheet'!$U186)</f>
        <v>141.30000000000001</v>
      </c>
      <c r="H186" s="17">
        <f>SUM('Working sheet'!$V186)</f>
        <v>127.3</v>
      </c>
      <c r="I186" s="17">
        <f>SUM('Working sheet'!$W186:$AC186)</f>
        <v>893.5</v>
      </c>
      <c r="J186" s="25">
        <v>134</v>
      </c>
    </row>
    <row r="187" spans="1:10" x14ac:dyDescent="0.25">
      <c r="A187" s="14" t="s">
        <v>31</v>
      </c>
      <c r="B187" s="14">
        <v>2018</v>
      </c>
      <c r="C187" s="14" t="s">
        <v>32</v>
      </c>
      <c r="D187" s="13">
        <f>SUM('Working sheet'!$D187:$P187)</f>
        <v>1760.3999999999996</v>
      </c>
      <c r="E187" s="14">
        <f>SUM('Working sheet'!$Q187)</f>
        <v>154.9</v>
      </c>
      <c r="F187" s="14">
        <f>SUM('Working sheet'!$R187:$T187)</f>
        <v>422</v>
      </c>
      <c r="G187" s="14">
        <f>SUM('Working sheet'!$U187)</f>
        <v>141.30000000000001</v>
      </c>
      <c r="H187" s="14">
        <f>SUM('Working sheet'!$V187)</f>
        <v>136.69999999999999</v>
      </c>
      <c r="I187" s="14">
        <f>SUM('Working sheet'!$W187:$AC187)</f>
        <v>915.40000000000009</v>
      </c>
      <c r="J187" s="26">
        <v>136.4</v>
      </c>
    </row>
    <row r="188" spans="1:10" x14ac:dyDescent="0.25">
      <c r="A188" s="17" t="s">
        <v>28</v>
      </c>
      <c r="B188" s="17">
        <v>2018</v>
      </c>
      <c r="C188" s="17" t="s">
        <v>33</v>
      </c>
      <c r="D188" s="16">
        <f>SUM('Working sheet'!$D188:$P188)</f>
        <v>1781.9999999999998</v>
      </c>
      <c r="E188" s="17">
        <f>SUM('Working sheet'!$Q188)</f>
        <v>155.1</v>
      </c>
      <c r="F188" s="17">
        <f>SUM('Working sheet'!$R188:$T188)</f>
        <v>440.5</v>
      </c>
      <c r="G188" s="17">
        <f>SUM('Working sheet'!$U188)</f>
        <v>142.5</v>
      </c>
      <c r="H188" s="17">
        <f>SUM('Working sheet'!$V188)</f>
        <v>142.6</v>
      </c>
      <c r="I188" s="17">
        <f>SUM('Working sheet'!$W188:$AC188)</f>
        <v>941.59999999999991</v>
      </c>
      <c r="J188" s="25">
        <v>138.69999999999999</v>
      </c>
    </row>
    <row r="189" spans="1:10" x14ac:dyDescent="0.25">
      <c r="A189" s="14" t="s">
        <v>30</v>
      </c>
      <c r="B189" s="14">
        <v>2018</v>
      </c>
      <c r="C189" s="14" t="s">
        <v>33</v>
      </c>
      <c r="D189" s="13">
        <f>SUM('Working sheet'!$D189:$P189)</f>
        <v>1715.5</v>
      </c>
      <c r="E189" s="14">
        <f>SUM('Working sheet'!$Q189)</f>
        <v>159.69999999999999</v>
      </c>
      <c r="F189" s="14">
        <f>SUM('Working sheet'!$R189:$T189)</f>
        <v>398.59999999999997</v>
      </c>
      <c r="G189" s="14">
        <f>SUM('Working sheet'!$U189)</f>
        <v>142</v>
      </c>
      <c r="H189" s="14">
        <f>SUM('Working sheet'!$V189)</f>
        <v>126.4</v>
      </c>
      <c r="I189" s="14">
        <f>SUM('Working sheet'!$W189:$AC189)</f>
        <v>897.50000000000011</v>
      </c>
      <c r="J189" s="26">
        <v>134</v>
      </c>
    </row>
    <row r="190" spans="1:10" x14ac:dyDescent="0.25">
      <c r="A190" s="17" t="s">
        <v>31</v>
      </c>
      <c r="B190" s="17">
        <v>2018</v>
      </c>
      <c r="C190" s="17" t="s">
        <v>33</v>
      </c>
      <c r="D190" s="16">
        <f>SUM('Working sheet'!$D190:$P190)</f>
        <v>1756</v>
      </c>
      <c r="E190" s="17">
        <f>SUM('Working sheet'!$Q190)</f>
        <v>156.30000000000001</v>
      </c>
      <c r="F190" s="17">
        <f>SUM('Working sheet'!$R190:$T190)</f>
        <v>423.6</v>
      </c>
      <c r="G190" s="17">
        <f>SUM('Working sheet'!$U190)</f>
        <v>142</v>
      </c>
      <c r="H190" s="17">
        <f>SUM('Working sheet'!$V190)</f>
        <v>136.5</v>
      </c>
      <c r="I190" s="17">
        <f>SUM('Working sheet'!$W190:$AC190)</f>
        <v>919.59999999999991</v>
      </c>
      <c r="J190" s="25">
        <v>136.5</v>
      </c>
    </row>
    <row r="191" spans="1:10" x14ac:dyDescent="0.25">
      <c r="A191" s="14" t="s">
        <v>28</v>
      </c>
      <c r="B191" s="14">
        <v>2018</v>
      </c>
      <c r="C191" s="14" t="s">
        <v>34</v>
      </c>
      <c r="D191" s="13">
        <f>SUM('Working sheet'!$D191:$P191)</f>
        <v>1780</v>
      </c>
      <c r="E191" s="14">
        <f>SUM('Working sheet'!$Q191)</f>
        <v>156.1</v>
      </c>
      <c r="F191" s="14">
        <f>SUM('Working sheet'!$R191:$T191)</f>
        <v>442.5</v>
      </c>
      <c r="G191" s="14">
        <f>SUM('Working sheet'!$U191)</f>
        <v>143.1</v>
      </c>
      <c r="H191" s="14">
        <f>SUM('Working sheet'!$V191)</f>
        <v>143.80000000000001</v>
      </c>
      <c r="I191" s="14">
        <f>SUM('Working sheet'!$W191:$AC191)</f>
        <v>948.09999999999991</v>
      </c>
      <c r="J191" s="26">
        <v>139.1</v>
      </c>
    </row>
    <row r="192" spans="1:10" x14ac:dyDescent="0.25">
      <c r="A192" s="17" t="s">
        <v>30</v>
      </c>
      <c r="B192" s="17">
        <v>2018</v>
      </c>
      <c r="C192" s="17" t="s">
        <v>34</v>
      </c>
      <c r="D192" s="16">
        <f>SUM('Working sheet'!$D192:$P192)</f>
        <v>1720.0000000000002</v>
      </c>
      <c r="E192" s="17">
        <f>SUM('Working sheet'!$Q192)</f>
        <v>159.19999999999999</v>
      </c>
      <c r="F192" s="17">
        <f>SUM('Working sheet'!$R192:$T192)</f>
        <v>401.40000000000003</v>
      </c>
      <c r="G192" s="17">
        <f>SUM('Working sheet'!$U192)</f>
        <v>142.9</v>
      </c>
      <c r="H192" s="17">
        <f>SUM('Working sheet'!$V192)</f>
        <v>124.6</v>
      </c>
      <c r="I192" s="17">
        <f>SUM('Working sheet'!$W192:$AC192)</f>
        <v>905.09999999999991</v>
      </c>
      <c r="J192" s="25">
        <v>134.80000000000001</v>
      </c>
    </row>
    <row r="193" spans="1:10" x14ac:dyDescent="0.25">
      <c r="A193" s="14" t="s">
        <v>31</v>
      </c>
      <c r="B193" s="14">
        <v>2018</v>
      </c>
      <c r="C193" s="14" t="s">
        <v>34</v>
      </c>
      <c r="D193" s="13">
        <f>SUM('Working sheet'!$D193:$P193)</f>
        <v>1757.1000000000001</v>
      </c>
      <c r="E193" s="14">
        <f>SUM('Working sheet'!$Q193)</f>
        <v>156.9</v>
      </c>
      <c r="F193" s="14">
        <f>SUM('Working sheet'!$R193:$T193)</f>
        <v>426</v>
      </c>
      <c r="G193" s="14">
        <f>SUM('Working sheet'!$U193)</f>
        <v>142.9</v>
      </c>
      <c r="H193" s="14">
        <f>SUM('Working sheet'!$V193)</f>
        <v>136.5</v>
      </c>
      <c r="I193" s="14">
        <f>SUM('Working sheet'!$W193:$AC193)</f>
        <v>926.89999999999986</v>
      </c>
      <c r="J193" s="26">
        <v>137.1</v>
      </c>
    </row>
    <row r="194" spans="1:10" x14ac:dyDescent="0.25">
      <c r="A194" s="17" t="s">
        <v>28</v>
      </c>
      <c r="B194" s="17">
        <v>2018</v>
      </c>
      <c r="C194" s="17" t="s">
        <v>35</v>
      </c>
      <c r="D194" s="16">
        <f>SUM('Working sheet'!$D194:$P194)</f>
        <v>1782.4</v>
      </c>
      <c r="E194" s="17">
        <f>SUM('Working sheet'!$Q194)</f>
        <v>157</v>
      </c>
      <c r="F194" s="17">
        <f>SUM('Working sheet'!$R194:$T194)</f>
        <v>444.7</v>
      </c>
      <c r="G194" s="17">
        <f>SUM('Working sheet'!$U194)</f>
        <v>142.9</v>
      </c>
      <c r="H194" s="17">
        <f>SUM('Working sheet'!$V194)</f>
        <v>144.30000000000001</v>
      </c>
      <c r="I194" s="17">
        <f>SUM('Working sheet'!$W194:$AC194)</f>
        <v>954.1</v>
      </c>
      <c r="J194" s="25">
        <v>139.80000000000001</v>
      </c>
    </row>
    <row r="195" spans="1:10" x14ac:dyDescent="0.25">
      <c r="A195" s="14" t="s">
        <v>30</v>
      </c>
      <c r="B195" s="14">
        <v>2018</v>
      </c>
      <c r="C195" s="14" t="s">
        <v>35</v>
      </c>
      <c r="D195" s="13">
        <f>SUM('Working sheet'!$D195:$P195)</f>
        <v>1722.8999999999999</v>
      </c>
      <c r="E195" s="14">
        <f>SUM('Working sheet'!$Q195)</f>
        <v>160.30000000000001</v>
      </c>
      <c r="F195" s="14">
        <f>SUM('Working sheet'!$R195:$T195)</f>
        <v>403.5</v>
      </c>
      <c r="G195" s="14">
        <f>SUM('Working sheet'!$U195)</f>
        <v>143.19999999999999</v>
      </c>
      <c r="H195" s="14">
        <f>SUM('Working sheet'!$V195)</f>
        <v>124.7</v>
      </c>
      <c r="I195" s="14">
        <f>SUM('Working sheet'!$W195:$AC195)</f>
        <v>909.69999999999993</v>
      </c>
      <c r="J195" s="26">
        <v>135.4</v>
      </c>
    </row>
    <row r="196" spans="1:10" x14ac:dyDescent="0.25">
      <c r="A196" s="17" t="s">
        <v>31</v>
      </c>
      <c r="B196" s="17">
        <v>2018</v>
      </c>
      <c r="C196" s="17" t="s">
        <v>35</v>
      </c>
      <c r="D196" s="16">
        <f>SUM('Working sheet'!$D196:$P196)</f>
        <v>1759.8</v>
      </c>
      <c r="E196" s="17">
        <f>SUM('Working sheet'!$Q196)</f>
        <v>157.9</v>
      </c>
      <c r="F196" s="17">
        <f>SUM('Working sheet'!$R196:$T196)</f>
        <v>428.09999999999997</v>
      </c>
      <c r="G196" s="17">
        <f>SUM('Working sheet'!$U196)</f>
        <v>143.19999999999999</v>
      </c>
      <c r="H196" s="17">
        <f>SUM('Working sheet'!$V196)</f>
        <v>136.9</v>
      </c>
      <c r="I196" s="17">
        <f>SUM('Working sheet'!$W196:$AC196)</f>
        <v>932.19999999999993</v>
      </c>
      <c r="J196" s="25">
        <v>137.80000000000001</v>
      </c>
    </row>
    <row r="197" spans="1:10" x14ac:dyDescent="0.25">
      <c r="A197" s="14" t="s">
        <v>28</v>
      </c>
      <c r="B197" s="14">
        <v>2018</v>
      </c>
      <c r="C197" s="14" t="s">
        <v>36</v>
      </c>
      <c r="D197" s="13">
        <f>SUM('Working sheet'!$D197:$P197)</f>
        <v>1790.2999999999997</v>
      </c>
      <c r="E197" s="14">
        <f>SUM('Working sheet'!$Q197)</f>
        <v>157.30000000000001</v>
      </c>
      <c r="F197" s="14">
        <f>SUM('Working sheet'!$R197:$T197)</f>
        <v>446.3</v>
      </c>
      <c r="G197" s="14">
        <f>SUM('Working sheet'!$U197)</f>
        <v>143.1</v>
      </c>
      <c r="H197" s="14">
        <f>SUM('Working sheet'!$V197)</f>
        <v>145.1</v>
      </c>
      <c r="I197" s="14">
        <f>SUM('Working sheet'!$W197:$AC197)</f>
        <v>957.9</v>
      </c>
      <c r="J197" s="26">
        <v>140.5</v>
      </c>
    </row>
    <row r="198" spans="1:10" x14ac:dyDescent="0.25">
      <c r="A198" s="17" t="s">
        <v>30</v>
      </c>
      <c r="B198" s="17">
        <v>2018</v>
      </c>
      <c r="C198" s="17" t="s">
        <v>36</v>
      </c>
      <c r="D198" s="16">
        <f>SUM('Working sheet'!$D198:$P198)</f>
        <v>1747.3000000000002</v>
      </c>
      <c r="E198" s="17">
        <f>SUM('Working sheet'!$Q198)</f>
        <v>161</v>
      </c>
      <c r="F198" s="17">
        <f>SUM('Working sheet'!$R198:$T198)</f>
        <v>405</v>
      </c>
      <c r="G198" s="17">
        <f>SUM('Working sheet'!$U198)</f>
        <v>142.5</v>
      </c>
      <c r="H198" s="17">
        <f>SUM('Working sheet'!$V198)</f>
        <v>126.5</v>
      </c>
      <c r="I198" s="17">
        <f>SUM('Working sheet'!$W198:$AC198)</f>
        <v>913.5</v>
      </c>
      <c r="J198" s="25">
        <v>136.19999999999999</v>
      </c>
    </row>
    <row r="199" spans="1:10" x14ac:dyDescent="0.25">
      <c r="A199" s="14" t="s">
        <v>31</v>
      </c>
      <c r="B199" s="14">
        <v>2018</v>
      </c>
      <c r="C199" s="14" t="s">
        <v>36</v>
      </c>
      <c r="D199" s="13">
        <f>SUM('Working sheet'!$D199:$P199)</f>
        <v>1774.1000000000001</v>
      </c>
      <c r="E199" s="14">
        <f>SUM('Working sheet'!$Q199)</f>
        <v>158.30000000000001</v>
      </c>
      <c r="F199" s="14">
        <f>SUM('Working sheet'!$R199:$T199)</f>
        <v>429.7</v>
      </c>
      <c r="G199" s="14">
        <f>SUM('Working sheet'!$U199)</f>
        <v>142.5</v>
      </c>
      <c r="H199" s="14">
        <f>SUM('Working sheet'!$V199)</f>
        <v>138.1</v>
      </c>
      <c r="I199" s="14">
        <f>SUM('Working sheet'!$W199:$AC199)</f>
        <v>935.90000000000009</v>
      </c>
      <c r="J199" s="26">
        <v>138.5</v>
      </c>
    </row>
    <row r="200" spans="1:10" x14ac:dyDescent="0.25">
      <c r="A200" s="17" t="s">
        <v>28</v>
      </c>
      <c r="B200" s="17">
        <v>2018</v>
      </c>
      <c r="C200" s="17" t="s">
        <v>37</v>
      </c>
      <c r="D200" s="16">
        <f>SUM('Working sheet'!$D200:$P200)</f>
        <v>1810.5000000000002</v>
      </c>
      <c r="E200" s="17">
        <f>SUM('Working sheet'!$Q200)</f>
        <v>156.1</v>
      </c>
      <c r="F200" s="17">
        <f>SUM('Working sheet'!$R200:$T200)</f>
        <v>447.20000000000005</v>
      </c>
      <c r="G200" s="17">
        <f>SUM('Working sheet'!$U200)</f>
        <v>144.1</v>
      </c>
      <c r="H200" s="17">
        <f>SUM('Working sheet'!$V200)</f>
        <v>146.80000000000001</v>
      </c>
      <c r="I200" s="17">
        <f>SUM('Working sheet'!$W200:$AC200)</f>
        <v>961.19999999999993</v>
      </c>
      <c r="J200" s="25">
        <v>141.80000000000001</v>
      </c>
    </row>
    <row r="201" spans="1:10" x14ac:dyDescent="0.25">
      <c r="A201" s="14" t="s">
        <v>30</v>
      </c>
      <c r="B201" s="14">
        <v>2018</v>
      </c>
      <c r="C201" s="14" t="s">
        <v>37</v>
      </c>
      <c r="D201" s="13">
        <f>SUM('Working sheet'!$D201:$P201)</f>
        <v>1771.1</v>
      </c>
      <c r="E201" s="14">
        <f>SUM('Working sheet'!$Q201)</f>
        <v>161.4</v>
      </c>
      <c r="F201" s="14">
        <f>SUM('Working sheet'!$R201:$T201)</f>
        <v>406.4</v>
      </c>
      <c r="G201" s="14">
        <f>SUM('Working sheet'!$U201)</f>
        <v>143.6</v>
      </c>
      <c r="H201" s="14">
        <f>SUM('Working sheet'!$V201)</f>
        <v>128.1</v>
      </c>
      <c r="I201" s="14">
        <f>SUM('Working sheet'!$W201:$AC201)</f>
        <v>918.7</v>
      </c>
      <c r="J201" s="26">
        <v>137.5</v>
      </c>
    </row>
    <row r="202" spans="1:10" x14ac:dyDescent="0.25">
      <c r="A202" s="17" t="s">
        <v>31</v>
      </c>
      <c r="B202" s="17">
        <v>2018</v>
      </c>
      <c r="C202" s="17" t="s">
        <v>37</v>
      </c>
      <c r="D202" s="16">
        <f>SUM('Working sheet'!$D202:$P202)</f>
        <v>1795.3</v>
      </c>
      <c r="E202" s="17">
        <f>SUM('Working sheet'!$Q202)</f>
        <v>157.5</v>
      </c>
      <c r="F202" s="17">
        <f>SUM('Working sheet'!$R202:$T202)</f>
        <v>430.80000000000007</v>
      </c>
      <c r="G202" s="17">
        <f>SUM('Working sheet'!$U202)</f>
        <v>143.6</v>
      </c>
      <c r="H202" s="17">
        <f>SUM('Working sheet'!$V202)</f>
        <v>139.69999999999999</v>
      </c>
      <c r="I202" s="17">
        <f>SUM('Working sheet'!$W202:$AC202)</f>
        <v>940.3</v>
      </c>
      <c r="J202" s="25">
        <v>139.80000000000001</v>
      </c>
    </row>
    <row r="203" spans="1:10" x14ac:dyDescent="0.25">
      <c r="A203" s="14" t="s">
        <v>28</v>
      </c>
      <c r="B203" s="14">
        <v>2018</v>
      </c>
      <c r="C203" s="14" t="s">
        <v>38</v>
      </c>
      <c r="D203" s="13">
        <f>SUM('Working sheet'!$D203:$P203)</f>
        <v>1818.8</v>
      </c>
      <c r="E203" s="14">
        <f>SUM('Working sheet'!$Q203)</f>
        <v>156.4</v>
      </c>
      <c r="F203" s="14">
        <f>SUM('Working sheet'!$R203:$T203)</f>
        <v>449.2</v>
      </c>
      <c r="G203" s="14">
        <f>SUM('Working sheet'!$U203)</f>
        <v>145</v>
      </c>
      <c r="H203" s="14">
        <f>SUM('Working sheet'!$V203)</f>
        <v>147.69999999999999</v>
      </c>
      <c r="I203" s="14">
        <f>SUM('Working sheet'!$W203:$AC203)</f>
        <v>964.9</v>
      </c>
      <c r="J203" s="26">
        <v>142.5</v>
      </c>
    </row>
    <row r="204" spans="1:10" x14ac:dyDescent="0.25">
      <c r="A204" s="17" t="s">
        <v>30</v>
      </c>
      <c r="B204" s="17">
        <v>2018</v>
      </c>
      <c r="C204" s="17" t="s">
        <v>38</v>
      </c>
      <c r="D204" s="16">
        <f>SUM('Working sheet'!$D204:$P204)</f>
        <v>1767.6</v>
      </c>
      <c r="E204" s="17">
        <f>SUM('Working sheet'!$Q204)</f>
        <v>162.1</v>
      </c>
      <c r="F204" s="17">
        <f>SUM('Working sheet'!$R204:$T204)</f>
        <v>407.3</v>
      </c>
      <c r="G204" s="17">
        <f>SUM('Working sheet'!$U204)</f>
        <v>144.6</v>
      </c>
      <c r="H204" s="17">
        <f>SUM('Working sheet'!$V204)</f>
        <v>129.80000000000001</v>
      </c>
      <c r="I204" s="17">
        <f>SUM('Working sheet'!$W204:$AC204)</f>
        <v>924.39999999999986</v>
      </c>
      <c r="J204" s="25">
        <v>138</v>
      </c>
    </row>
    <row r="205" spans="1:10" x14ac:dyDescent="0.25">
      <c r="A205" s="14" t="s">
        <v>31</v>
      </c>
      <c r="B205" s="14">
        <v>2018</v>
      </c>
      <c r="C205" s="14" t="s">
        <v>38</v>
      </c>
      <c r="D205" s="13">
        <f>SUM('Working sheet'!$D205:$P205)</f>
        <v>1798.7000000000003</v>
      </c>
      <c r="E205" s="14">
        <f>SUM('Working sheet'!$Q205)</f>
        <v>157.9</v>
      </c>
      <c r="F205" s="14">
        <f>SUM('Working sheet'!$R205:$T205)</f>
        <v>432.20000000000005</v>
      </c>
      <c r="G205" s="14">
        <f>SUM('Working sheet'!$U205)</f>
        <v>144.6</v>
      </c>
      <c r="H205" s="14">
        <f>SUM('Working sheet'!$V205)</f>
        <v>140.9</v>
      </c>
      <c r="I205" s="14">
        <f>SUM('Working sheet'!$W205:$AC205)</f>
        <v>945</v>
      </c>
      <c r="J205" s="26">
        <v>140.4</v>
      </c>
    </row>
    <row r="206" spans="1:10" x14ac:dyDescent="0.25">
      <c r="A206" s="17" t="s">
        <v>28</v>
      </c>
      <c r="B206" s="17">
        <v>2018</v>
      </c>
      <c r="C206" s="17" t="s">
        <v>39</v>
      </c>
      <c r="D206" s="16">
        <f>SUM('Working sheet'!$D206:$P206)</f>
        <v>1799.8000000000002</v>
      </c>
      <c r="E206" s="17">
        <f>SUM('Working sheet'!$Q206)</f>
        <v>157.69999999999999</v>
      </c>
      <c r="F206" s="17">
        <f>SUM('Working sheet'!$R206:$T206)</f>
        <v>449.5</v>
      </c>
      <c r="G206" s="17">
        <f>SUM('Working sheet'!$U206)</f>
        <v>146</v>
      </c>
      <c r="H206" s="17">
        <f>SUM('Working sheet'!$V206)</f>
        <v>149</v>
      </c>
      <c r="I206" s="17">
        <f>SUM('Working sheet'!$W206:$AC206)</f>
        <v>970.9</v>
      </c>
      <c r="J206" s="25">
        <v>142.1</v>
      </c>
    </row>
    <row r="207" spans="1:10" x14ac:dyDescent="0.25">
      <c r="A207" s="14" t="s">
        <v>30</v>
      </c>
      <c r="B207" s="14">
        <v>2018</v>
      </c>
      <c r="C207" s="14" t="s">
        <v>39</v>
      </c>
      <c r="D207" s="13">
        <f>SUM('Working sheet'!$D207:$P207)</f>
        <v>1748.4</v>
      </c>
      <c r="E207" s="14">
        <f>SUM('Working sheet'!$Q207)</f>
        <v>163.30000000000001</v>
      </c>
      <c r="F207" s="14">
        <f>SUM('Working sheet'!$R207:$T207)</f>
        <v>409.20000000000005</v>
      </c>
      <c r="G207" s="14">
        <f>SUM('Working sheet'!$U207)</f>
        <v>145.30000000000001</v>
      </c>
      <c r="H207" s="14">
        <f>SUM('Working sheet'!$V207)</f>
        <v>131.19999999999999</v>
      </c>
      <c r="I207" s="14">
        <f>SUM('Working sheet'!$W207:$AC207)</f>
        <v>929.69999999999993</v>
      </c>
      <c r="J207" s="26">
        <v>138.1</v>
      </c>
    </row>
    <row r="208" spans="1:10" x14ac:dyDescent="0.25">
      <c r="A208" s="17" t="s">
        <v>31</v>
      </c>
      <c r="B208" s="17">
        <v>2018</v>
      </c>
      <c r="C208" s="17" t="s">
        <v>39</v>
      </c>
      <c r="D208" s="16">
        <f>SUM('Working sheet'!$D208:$P208)</f>
        <v>1779.5</v>
      </c>
      <c r="E208" s="17">
        <f>SUM('Working sheet'!$Q208)</f>
        <v>159.19999999999999</v>
      </c>
      <c r="F208" s="17">
        <f>SUM('Working sheet'!$R208:$T208)</f>
        <v>433.29999999999995</v>
      </c>
      <c r="G208" s="17">
        <f>SUM('Working sheet'!$U208)</f>
        <v>145.30000000000001</v>
      </c>
      <c r="H208" s="17">
        <f>SUM('Working sheet'!$V208)</f>
        <v>142.30000000000001</v>
      </c>
      <c r="I208" s="17">
        <f>SUM('Working sheet'!$W208:$AC208)</f>
        <v>950.39999999999986</v>
      </c>
      <c r="J208" s="25">
        <v>140.19999999999999</v>
      </c>
    </row>
    <row r="209" spans="1:10" x14ac:dyDescent="0.25">
      <c r="A209" s="14" t="s">
        <v>28</v>
      </c>
      <c r="B209" s="14">
        <v>2018</v>
      </c>
      <c r="C209" s="14" t="s">
        <v>40</v>
      </c>
      <c r="D209" s="13">
        <f>SUM('Working sheet'!$D209:$P209)</f>
        <v>1782.2</v>
      </c>
      <c r="E209" s="14">
        <f>SUM('Working sheet'!$Q209)</f>
        <v>159.6</v>
      </c>
      <c r="F209" s="14">
        <f>SUM('Working sheet'!$R209:$T209)</f>
        <v>445</v>
      </c>
      <c r="G209" s="14">
        <f>SUM('Working sheet'!$U209)</f>
        <v>146.80000000000001</v>
      </c>
      <c r="H209" s="14">
        <f>SUM('Working sheet'!$V209)</f>
        <v>149.69999999999999</v>
      </c>
      <c r="I209" s="14">
        <f>SUM('Working sheet'!$W209:$AC209)</f>
        <v>985.40000000000009</v>
      </c>
      <c r="J209" s="26">
        <v>142.19999999999999</v>
      </c>
    </row>
    <row r="210" spans="1:10" x14ac:dyDescent="0.25">
      <c r="A210" s="17" t="s">
        <v>30</v>
      </c>
      <c r="B210" s="17">
        <v>2018</v>
      </c>
      <c r="C210" s="17" t="s">
        <v>40</v>
      </c>
      <c r="D210" s="16">
        <f>SUM('Working sheet'!$D210:$P210)</f>
        <v>1754.1</v>
      </c>
      <c r="E210" s="17">
        <f>SUM('Working sheet'!$Q210)</f>
        <v>164</v>
      </c>
      <c r="F210" s="17">
        <f>SUM('Working sheet'!$R210:$T210)</f>
        <v>411</v>
      </c>
      <c r="G210" s="17">
        <f>SUM('Working sheet'!$U210)</f>
        <v>146.30000000000001</v>
      </c>
      <c r="H210" s="17">
        <f>SUM('Working sheet'!$V210)</f>
        <v>133.4</v>
      </c>
      <c r="I210" s="17">
        <f>SUM('Working sheet'!$W210:$AC210)</f>
        <v>933.69999999999993</v>
      </c>
      <c r="J210" s="25">
        <v>138.9</v>
      </c>
    </row>
    <row r="211" spans="1:10" x14ac:dyDescent="0.25">
      <c r="A211" s="14" t="s">
        <v>31</v>
      </c>
      <c r="B211" s="14">
        <v>2018</v>
      </c>
      <c r="C211" s="14" t="s">
        <v>40</v>
      </c>
      <c r="D211" s="13">
        <f>SUM('Working sheet'!$D211:$P211)</f>
        <v>1776.2</v>
      </c>
      <c r="E211" s="14">
        <f>SUM('Working sheet'!$Q211)</f>
        <v>162.6</v>
      </c>
      <c r="F211" s="14">
        <f>SUM('Working sheet'!$R211:$T211)</f>
        <v>434</v>
      </c>
      <c r="G211" s="14">
        <f>SUM('Working sheet'!$U211)</f>
        <v>146.9</v>
      </c>
      <c r="H211" s="14">
        <f>SUM('Working sheet'!$V211)</f>
        <v>145.30000000000001</v>
      </c>
      <c r="I211" s="14">
        <f>SUM('Working sheet'!$W211:$AC211)</f>
        <v>962.39999999999986</v>
      </c>
      <c r="J211" s="26">
        <v>140.80000000000001</v>
      </c>
    </row>
    <row r="212" spans="1:10" x14ac:dyDescent="0.25">
      <c r="A212" s="17" t="s">
        <v>28</v>
      </c>
      <c r="B212" s="17">
        <v>2018</v>
      </c>
      <c r="C212" s="17" t="s">
        <v>42</v>
      </c>
      <c r="D212" s="16">
        <f>SUM('Working sheet'!$D212:$P212)</f>
        <v>1787.4999999999995</v>
      </c>
      <c r="E212" s="17">
        <f>SUM('Working sheet'!$Q212)</f>
        <v>161.9</v>
      </c>
      <c r="F212" s="17">
        <f>SUM('Working sheet'!$R212:$T212)</f>
        <v>448</v>
      </c>
      <c r="G212" s="17">
        <f>SUM('Working sheet'!$U212)</f>
        <v>146.69999999999999</v>
      </c>
      <c r="H212" s="17">
        <f>SUM('Working sheet'!$V212)</f>
        <v>150.30000000000001</v>
      </c>
      <c r="I212" s="17">
        <f>SUM('Working sheet'!$W212:$AC212)</f>
        <v>990.2</v>
      </c>
      <c r="J212" s="25">
        <v>142.4</v>
      </c>
    </row>
    <row r="213" spans="1:10" x14ac:dyDescent="0.25">
      <c r="A213" s="14" t="s">
        <v>30</v>
      </c>
      <c r="B213" s="14">
        <v>2018</v>
      </c>
      <c r="C213" s="14" t="s">
        <v>42</v>
      </c>
      <c r="D213" s="13">
        <f>SUM('Working sheet'!$D213:$P213)</f>
        <v>1757.4999999999998</v>
      </c>
      <c r="E213" s="14">
        <f>SUM('Working sheet'!$Q213)</f>
        <v>164.4</v>
      </c>
      <c r="F213" s="14">
        <f>SUM('Working sheet'!$R213:$T213)</f>
        <v>413.1</v>
      </c>
      <c r="G213" s="14">
        <f>SUM('Working sheet'!$U213)</f>
        <v>146.9</v>
      </c>
      <c r="H213" s="14">
        <f>SUM('Working sheet'!$V213)</f>
        <v>136.69999999999999</v>
      </c>
      <c r="I213" s="14">
        <f>SUM('Working sheet'!$W213:$AC213)</f>
        <v>933.90000000000009</v>
      </c>
      <c r="J213" s="26">
        <v>139</v>
      </c>
    </row>
    <row r="214" spans="1:10" x14ac:dyDescent="0.25">
      <c r="A214" s="17" t="s">
        <v>31</v>
      </c>
      <c r="B214" s="17">
        <v>2018</v>
      </c>
      <c r="C214" s="17" t="s">
        <v>42</v>
      </c>
      <c r="D214" s="16">
        <f>SUM('Working sheet'!$D214:$P214)</f>
        <v>1775.7000000000003</v>
      </c>
      <c r="E214" s="17">
        <f>SUM('Working sheet'!$Q214)</f>
        <v>162.6</v>
      </c>
      <c r="F214" s="17">
        <f>SUM('Working sheet'!$R214:$T214)</f>
        <v>433.8</v>
      </c>
      <c r="G214" s="17">
        <f>SUM('Working sheet'!$U214)</f>
        <v>146.9</v>
      </c>
      <c r="H214" s="17">
        <f>SUM('Working sheet'!$V214)</f>
        <v>145.1</v>
      </c>
      <c r="I214" s="17">
        <f>SUM('Working sheet'!$W214:$AC214)</f>
        <v>962.39999999999986</v>
      </c>
      <c r="J214" s="25">
        <v>140.80000000000001</v>
      </c>
    </row>
    <row r="215" spans="1:10" x14ac:dyDescent="0.25">
      <c r="A215" s="14" t="s">
        <v>28</v>
      </c>
      <c r="B215" s="14">
        <v>2018</v>
      </c>
      <c r="C215" s="14" t="s">
        <v>43</v>
      </c>
      <c r="D215" s="13">
        <f>SUM('Working sheet'!$D215:$P215)</f>
        <v>1773.1000000000001</v>
      </c>
      <c r="E215" s="14">
        <f>SUM('Working sheet'!$Q215)</f>
        <v>162.4</v>
      </c>
      <c r="F215" s="14">
        <f>SUM('Working sheet'!$R215:$T215)</f>
        <v>448.3</v>
      </c>
      <c r="G215" s="14">
        <f>SUM('Working sheet'!$U215)</f>
        <v>147.1</v>
      </c>
      <c r="H215" s="14">
        <f>SUM('Working sheet'!$V215)</f>
        <v>149</v>
      </c>
      <c r="I215" s="14">
        <f>SUM('Working sheet'!$W215:$AC215)</f>
        <v>1001.1999999999999</v>
      </c>
      <c r="J215" s="26">
        <v>141.9</v>
      </c>
    </row>
    <row r="216" spans="1:10" x14ac:dyDescent="0.25">
      <c r="A216" s="17" t="s">
        <v>30</v>
      </c>
      <c r="B216" s="17">
        <v>2018</v>
      </c>
      <c r="C216" s="17" t="s">
        <v>43</v>
      </c>
      <c r="D216" s="16">
        <f>SUM('Working sheet'!$D216:$P216)</f>
        <v>1746.6</v>
      </c>
      <c r="E216" s="17">
        <f>SUM('Working sheet'!$Q216)</f>
        <v>164.6</v>
      </c>
      <c r="F216" s="17">
        <f>SUM('Working sheet'!$R216:$T216)</f>
        <v>413.8</v>
      </c>
      <c r="G216" s="17">
        <f>SUM('Working sheet'!$U216)</f>
        <v>146.5</v>
      </c>
      <c r="H216" s="17">
        <f>SUM('Working sheet'!$V216)</f>
        <v>132.4</v>
      </c>
      <c r="I216" s="17">
        <f>SUM('Working sheet'!$W216:$AC216)</f>
        <v>933</v>
      </c>
      <c r="J216" s="25">
        <v>138</v>
      </c>
    </row>
    <row r="217" spans="1:10" x14ac:dyDescent="0.25">
      <c r="A217" s="14" t="s">
        <v>31</v>
      </c>
      <c r="B217" s="14">
        <v>2018</v>
      </c>
      <c r="C217" s="14" t="s">
        <v>43</v>
      </c>
      <c r="D217" s="13">
        <f>SUM('Working sheet'!$D217:$P217)</f>
        <v>1762.7999999999997</v>
      </c>
      <c r="E217" s="14">
        <f>SUM('Working sheet'!$Q217)</f>
        <v>163</v>
      </c>
      <c r="F217" s="14">
        <f>SUM('Working sheet'!$R217:$T217)</f>
        <v>434.3</v>
      </c>
      <c r="G217" s="14">
        <f>SUM('Working sheet'!$U217)</f>
        <v>146.5</v>
      </c>
      <c r="H217" s="14">
        <f>SUM('Working sheet'!$V217)</f>
        <v>142.69999999999999</v>
      </c>
      <c r="I217" s="14">
        <f>SUM('Working sheet'!$W217:$AC217)</f>
        <v>967.59999999999991</v>
      </c>
      <c r="J217" s="26">
        <v>140.1</v>
      </c>
    </row>
    <row r="218" spans="1:10" x14ac:dyDescent="0.25">
      <c r="A218" s="17" t="s">
        <v>28</v>
      </c>
      <c r="B218" s="17">
        <v>2019</v>
      </c>
      <c r="C218" s="17" t="s">
        <v>29</v>
      </c>
      <c r="D218" s="16">
        <f>SUM('Working sheet'!$D218:$P218)</f>
        <v>1759.6000000000001</v>
      </c>
      <c r="E218" s="17">
        <f>SUM('Working sheet'!$Q218)</f>
        <v>162.69999999999999</v>
      </c>
      <c r="F218" s="17">
        <f>SUM('Working sheet'!$R218:$T218)</f>
        <v>445.6</v>
      </c>
      <c r="G218" s="17">
        <f>SUM('Working sheet'!$U218)</f>
        <v>148.1</v>
      </c>
      <c r="H218" s="17">
        <f>SUM('Working sheet'!$V218)</f>
        <v>146.19999999999999</v>
      </c>
      <c r="I218" s="17">
        <f>SUM('Working sheet'!$W218:$AC218)</f>
        <v>1001.5999999999999</v>
      </c>
      <c r="J218" s="25">
        <v>141</v>
      </c>
    </row>
    <row r="219" spans="1:10" x14ac:dyDescent="0.25">
      <c r="A219" s="14" t="s">
        <v>30</v>
      </c>
      <c r="B219" s="14">
        <v>2019</v>
      </c>
      <c r="C219" s="14" t="s">
        <v>29</v>
      </c>
      <c r="D219" s="13">
        <f>SUM('Working sheet'!$D219:$P219)</f>
        <v>1744.3000000000002</v>
      </c>
      <c r="E219" s="14">
        <f>SUM('Working sheet'!$Q219)</f>
        <v>164.7</v>
      </c>
      <c r="F219" s="14">
        <f>SUM('Working sheet'!$R219:$T219)</f>
        <v>414.5</v>
      </c>
      <c r="G219" s="14">
        <f>SUM('Working sheet'!$U219)</f>
        <v>147.69999999999999</v>
      </c>
      <c r="H219" s="14">
        <f>SUM('Working sheet'!$V219)</f>
        <v>128.6</v>
      </c>
      <c r="I219" s="14">
        <f>SUM('Working sheet'!$W219:$AC219)</f>
        <v>934.7</v>
      </c>
      <c r="J219" s="26">
        <v>138</v>
      </c>
    </row>
    <row r="220" spans="1:10" x14ac:dyDescent="0.25">
      <c r="A220" s="17" t="s">
        <v>31</v>
      </c>
      <c r="B220" s="17">
        <v>2019</v>
      </c>
      <c r="C220" s="17" t="s">
        <v>29</v>
      </c>
      <c r="D220" s="16">
        <f>SUM('Working sheet'!$D220:$P220)</f>
        <v>1753.3999999999999</v>
      </c>
      <c r="E220" s="17">
        <f>SUM('Working sheet'!$Q220)</f>
        <v>163.19999999999999</v>
      </c>
      <c r="F220" s="17">
        <f>SUM('Working sheet'!$R220:$T220)</f>
        <v>433</v>
      </c>
      <c r="G220" s="17">
        <f>SUM('Working sheet'!$U220)</f>
        <v>147.69999999999999</v>
      </c>
      <c r="H220" s="17">
        <f>SUM('Working sheet'!$V220)</f>
        <v>139.5</v>
      </c>
      <c r="I220" s="17">
        <f>SUM('Working sheet'!$W220:$AC220)</f>
        <v>968.6</v>
      </c>
      <c r="J220" s="25">
        <v>139.6</v>
      </c>
    </row>
    <row r="221" spans="1:10" x14ac:dyDescent="0.25">
      <c r="A221" s="14" t="s">
        <v>28</v>
      </c>
      <c r="B221" s="14">
        <v>2019</v>
      </c>
      <c r="C221" s="14" t="s">
        <v>32</v>
      </c>
      <c r="D221" s="13">
        <f>SUM('Working sheet'!$D221:$P221)</f>
        <v>1759.8000000000002</v>
      </c>
      <c r="E221" s="14">
        <f>SUM('Working sheet'!$Q221)</f>
        <v>162.80000000000001</v>
      </c>
      <c r="F221" s="14">
        <f>SUM('Working sheet'!$R221:$T221)</f>
        <v>446.5</v>
      </c>
      <c r="G221" s="14">
        <f>SUM('Working sheet'!$U221)</f>
        <v>148.80000000000001</v>
      </c>
      <c r="H221" s="14">
        <f>SUM('Working sheet'!$V221)</f>
        <v>145.30000000000001</v>
      </c>
      <c r="I221" s="14">
        <f>SUM('Working sheet'!$W221:$AC221)</f>
        <v>1005.2</v>
      </c>
      <c r="J221" s="26">
        <v>141</v>
      </c>
    </row>
    <row r="222" spans="1:10" x14ac:dyDescent="0.25">
      <c r="A222" s="17" t="s">
        <v>30</v>
      </c>
      <c r="B222" s="17">
        <v>2019</v>
      </c>
      <c r="C222" s="17" t="s">
        <v>32</v>
      </c>
      <c r="D222" s="16">
        <f>SUM('Working sheet'!$D222:$P222)</f>
        <v>1754.4</v>
      </c>
      <c r="E222" s="17">
        <f>SUM('Working sheet'!$Q222)</f>
        <v>164.9</v>
      </c>
      <c r="F222" s="17">
        <f>SUM('Working sheet'!$R222:$T222)</f>
        <v>415.5</v>
      </c>
      <c r="G222" s="17">
        <f>SUM('Working sheet'!$U222)</f>
        <v>148.5</v>
      </c>
      <c r="H222" s="17">
        <f>SUM('Working sheet'!$V222)</f>
        <v>127.1</v>
      </c>
      <c r="I222" s="17">
        <f>SUM('Working sheet'!$W222:$AC222)</f>
        <v>938.5</v>
      </c>
      <c r="J222" s="25">
        <v>138.6</v>
      </c>
    </row>
    <row r="223" spans="1:10" x14ac:dyDescent="0.25">
      <c r="A223" s="14" t="s">
        <v>31</v>
      </c>
      <c r="B223" s="14">
        <v>2019</v>
      </c>
      <c r="C223" s="14" t="s">
        <v>32</v>
      </c>
      <c r="D223" s="13">
        <f>SUM('Working sheet'!$D223:$P223)</f>
        <v>1757.1</v>
      </c>
      <c r="E223" s="14">
        <f>SUM('Working sheet'!$Q223)</f>
        <v>163.4</v>
      </c>
      <c r="F223" s="14">
        <f>SUM('Working sheet'!$R223:$T223)</f>
        <v>433.9</v>
      </c>
      <c r="G223" s="14">
        <f>SUM('Working sheet'!$U223)</f>
        <v>148.5</v>
      </c>
      <c r="H223" s="14">
        <f>SUM('Working sheet'!$V223)</f>
        <v>138.4</v>
      </c>
      <c r="I223" s="14">
        <f>SUM('Working sheet'!$W223:$AC223)</f>
        <v>972.09999999999991</v>
      </c>
      <c r="J223" s="26">
        <v>139.9</v>
      </c>
    </row>
    <row r="224" spans="1:10" x14ac:dyDescent="0.25">
      <c r="A224" s="17" t="s">
        <v>28</v>
      </c>
      <c r="B224" s="17">
        <v>2019</v>
      </c>
      <c r="C224" s="17" t="s">
        <v>33</v>
      </c>
      <c r="D224" s="16">
        <f>SUM('Working sheet'!$D224:$P224)</f>
        <v>1761.2000000000003</v>
      </c>
      <c r="E224" s="17">
        <f>SUM('Working sheet'!$Q224)</f>
        <v>162.9</v>
      </c>
      <c r="F224" s="17">
        <f>SUM('Working sheet'!$R224:$T224)</f>
        <v>447</v>
      </c>
      <c r="G224" s="17">
        <f>SUM('Working sheet'!$U224)</f>
        <v>149.6</v>
      </c>
      <c r="H224" s="17">
        <f>SUM('Working sheet'!$V224)</f>
        <v>146.4</v>
      </c>
      <c r="I224" s="17">
        <f>SUM('Working sheet'!$W224:$AC224)</f>
        <v>1005.9999999999999</v>
      </c>
      <c r="J224" s="25">
        <v>141.19999999999999</v>
      </c>
    </row>
    <row r="225" spans="1:10" x14ac:dyDescent="0.25">
      <c r="A225" s="14" t="s">
        <v>30</v>
      </c>
      <c r="B225" s="14">
        <v>2019</v>
      </c>
      <c r="C225" s="14" t="s">
        <v>33</v>
      </c>
      <c r="D225" s="13">
        <f>SUM('Working sheet'!$D225:$P225)</f>
        <v>1768.4</v>
      </c>
      <c r="E225" s="14">
        <f>SUM('Working sheet'!$Q225)</f>
        <v>165.3</v>
      </c>
      <c r="F225" s="14">
        <f>SUM('Working sheet'!$R225:$T225)</f>
        <v>416.29999999999995</v>
      </c>
      <c r="G225" s="14">
        <f>SUM('Working sheet'!$U225)</f>
        <v>149</v>
      </c>
      <c r="H225" s="14">
        <f>SUM('Working sheet'!$V225)</f>
        <v>128.80000000000001</v>
      </c>
      <c r="I225" s="14">
        <f>SUM('Working sheet'!$W225:$AC225)</f>
        <v>940.89999999999986</v>
      </c>
      <c r="J225" s="26">
        <v>139.5</v>
      </c>
    </row>
    <row r="226" spans="1:10" x14ac:dyDescent="0.25">
      <c r="A226" s="17" t="s">
        <v>31</v>
      </c>
      <c r="B226" s="17">
        <v>2019</v>
      </c>
      <c r="C226" s="17" t="s">
        <v>33</v>
      </c>
      <c r="D226" s="16">
        <f>SUM('Working sheet'!$D226:$P226)</f>
        <v>1762.9</v>
      </c>
      <c r="E226" s="17">
        <f>SUM('Working sheet'!$Q226)</f>
        <v>163.5</v>
      </c>
      <c r="F226" s="17">
        <f>SUM('Working sheet'!$R226:$T226)</f>
        <v>434.5</v>
      </c>
      <c r="G226" s="17">
        <f>SUM('Working sheet'!$U226)</f>
        <v>149</v>
      </c>
      <c r="H226" s="17">
        <f>SUM('Working sheet'!$V226)</f>
        <v>139.69999999999999</v>
      </c>
      <c r="I226" s="17">
        <f>SUM('Working sheet'!$W226:$AC226)</f>
        <v>973.69999999999982</v>
      </c>
      <c r="J226" s="25">
        <v>140.4</v>
      </c>
    </row>
    <row r="227" spans="1:10" x14ac:dyDescent="0.25">
      <c r="A227" s="14" t="s">
        <v>28</v>
      </c>
      <c r="B227" s="14">
        <v>2019</v>
      </c>
      <c r="C227" s="14" t="s">
        <v>35</v>
      </c>
      <c r="D227" s="13">
        <f>SUM('Working sheet'!$D227:$P227)</f>
        <v>1782.1000000000001</v>
      </c>
      <c r="E227" s="14">
        <f>SUM('Working sheet'!$Q227)</f>
        <v>163.30000000000001</v>
      </c>
      <c r="F227" s="14">
        <f>SUM('Working sheet'!$R227:$T227)</f>
        <v>448.59999999999997</v>
      </c>
      <c r="G227" s="14">
        <f>SUM('Working sheet'!$U227)</f>
        <v>149.80000000000001</v>
      </c>
      <c r="H227" s="14">
        <f>SUM('Working sheet'!$V227)</f>
        <v>146.9</v>
      </c>
      <c r="I227" s="14">
        <f>SUM('Working sheet'!$W227:$AC227)</f>
        <v>1010.3999999999999</v>
      </c>
      <c r="J227" s="26">
        <v>142.4</v>
      </c>
    </row>
    <row r="228" spans="1:10" x14ac:dyDescent="0.25">
      <c r="A228" s="17" t="s">
        <v>30</v>
      </c>
      <c r="B228" s="17">
        <v>2019</v>
      </c>
      <c r="C228" s="17" t="s">
        <v>35</v>
      </c>
      <c r="D228" s="16">
        <f>SUM('Working sheet'!$D228:$P228)</f>
        <v>1811.5000000000002</v>
      </c>
      <c r="E228" s="17">
        <f>SUM('Working sheet'!$Q228)</f>
        <v>166.2</v>
      </c>
      <c r="F228" s="17">
        <f>SUM('Working sheet'!$R228:$T228)</f>
        <v>417.9</v>
      </c>
      <c r="G228" s="17">
        <f>SUM('Working sheet'!$U228)</f>
        <v>150.1</v>
      </c>
      <c r="H228" s="17">
        <f>SUM('Working sheet'!$V228)</f>
        <v>129.4</v>
      </c>
      <c r="I228" s="17">
        <f>SUM('Working sheet'!$W228:$AC228)</f>
        <v>945</v>
      </c>
      <c r="J228" s="25">
        <v>141.5</v>
      </c>
    </row>
    <row r="229" spans="1:10" x14ac:dyDescent="0.25">
      <c r="A229" s="14" t="s">
        <v>31</v>
      </c>
      <c r="B229" s="14">
        <v>2019</v>
      </c>
      <c r="C229" s="14" t="s">
        <v>35</v>
      </c>
      <c r="D229" s="13">
        <f>SUM('Working sheet'!$D229:$P229)</f>
        <v>1791.9000000000003</v>
      </c>
      <c r="E229" s="14">
        <f>SUM('Working sheet'!$Q229)</f>
        <v>164.1</v>
      </c>
      <c r="F229" s="14">
        <f>SUM('Working sheet'!$R229:$T229)</f>
        <v>436.1</v>
      </c>
      <c r="G229" s="14">
        <f>SUM('Working sheet'!$U229)</f>
        <v>150.1</v>
      </c>
      <c r="H229" s="14">
        <f>SUM('Working sheet'!$V229)</f>
        <v>140.30000000000001</v>
      </c>
      <c r="I229" s="14">
        <f>SUM('Working sheet'!$W229:$AC229)</f>
        <v>977.90000000000009</v>
      </c>
      <c r="J229" s="26">
        <v>142</v>
      </c>
    </row>
    <row r="230" spans="1:10" x14ac:dyDescent="0.25">
      <c r="A230" s="17" t="s">
        <v>28</v>
      </c>
      <c r="B230" s="17">
        <v>2019</v>
      </c>
      <c r="C230" s="17" t="s">
        <v>36</v>
      </c>
      <c r="D230" s="16">
        <f>SUM('Working sheet'!$D230:$P230)</f>
        <v>1804.1999999999998</v>
      </c>
      <c r="E230" s="17">
        <f>SUM('Working sheet'!$Q230)</f>
        <v>164.2</v>
      </c>
      <c r="F230" s="17">
        <f>SUM('Working sheet'!$R230:$T230)</f>
        <v>448.59999999999997</v>
      </c>
      <c r="G230" s="17">
        <f>SUM('Working sheet'!$U230)</f>
        <v>150</v>
      </c>
      <c r="H230" s="17">
        <f>SUM('Working sheet'!$V230)</f>
        <v>147.80000000000001</v>
      </c>
      <c r="I230" s="17">
        <f>SUM('Working sheet'!$W230:$AC230)</f>
        <v>1013.6999999999998</v>
      </c>
      <c r="J230" s="25">
        <v>143.6</v>
      </c>
    </row>
    <row r="231" spans="1:10" x14ac:dyDescent="0.25">
      <c r="A231" s="14" t="s">
        <v>30</v>
      </c>
      <c r="B231" s="14">
        <v>2019</v>
      </c>
      <c r="C231" s="14" t="s">
        <v>36</v>
      </c>
      <c r="D231" s="13">
        <f>SUM('Working sheet'!$D231:$P231)</f>
        <v>1833.2999999999997</v>
      </c>
      <c r="E231" s="14">
        <f>SUM('Working sheet'!$Q231)</f>
        <v>166.7</v>
      </c>
      <c r="F231" s="14">
        <f>SUM('Working sheet'!$R231:$T231)</f>
        <v>418.4</v>
      </c>
      <c r="G231" s="14">
        <f>SUM('Working sheet'!$U231)</f>
        <v>149.4</v>
      </c>
      <c r="H231" s="14">
        <f>SUM('Working sheet'!$V231)</f>
        <v>130.5</v>
      </c>
      <c r="I231" s="14">
        <f>SUM('Working sheet'!$W231:$AC231)</f>
        <v>947.80000000000007</v>
      </c>
      <c r="J231" s="26">
        <v>142.1</v>
      </c>
    </row>
    <row r="232" spans="1:10" x14ac:dyDescent="0.25">
      <c r="A232" s="17" t="s">
        <v>31</v>
      </c>
      <c r="B232" s="17">
        <v>2019</v>
      </c>
      <c r="C232" s="17" t="s">
        <v>36</v>
      </c>
      <c r="D232" s="16">
        <f>SUM('Working sheet'!$D232:$P232)</f>
        <v>1814.1000000000001</v>
      </c>
      <c r="E232" s="17">
        <f>SUM('Working sheet'!$Q232)</f>
        <v>164.9</v>
      </c>
      <c r="F232" s="17">
        <f>SUM('Working sheet'!$R232:$T232)</f>
        <v>436.4</v>
      </c>
      <c r="G232" s="17">
        <f>SUM('Working sheet'!$U232)</f>
        <v>149.4</v>
      </c>
      <c r="H232" s="17">
        <f>SUM('Working sheet'!$V232)</f>
        <v>141.19999999999999</v>
      </c>
      <c r="I232" s="17">
        <f>SUM('Working sheet'!$W232:$AC232)</f>
        <v>980.80000000000007</v>
      </c>
      <c r="J232" s="25">
        <v>142.9</v>
      </c>
    </row>
    <row r="233" spans="1:10" x14ac:dyDescent="0.25">
      <c r="A233" s="14" t="s">
        <v>28</v>
      </c>
      <c r="B233" s="14">
        <v>2019</v>
      </c>
      <c r="C233" s="14" t="s">
        <v>37</v>
      </c>
      <c r="D233" s="13">
        <f>SUM('Working sheet'!$D233:$P233)</f>
        <v>1826.8999999999999</v>
      </c>
      <c r="E233" s="14">
        <f>SUM('Working sheet'!$Q233)</f>
        <v>164.5</v>
      </c>
      <c r="F233" s="14">
        <f>SUM('Working sheet'!$R233:$T233)</f>
        <v>449.1</v>
      </c>
      <c r="G233" s="14">
        <f>SUM('Working sheet'!$U233)</f>
        <v>151.1</v>
      </c>
      <c r="H233" s="14">
        <f>SUM('Working sheet'!$V233)</f>
        <v>146.80000000000001</v>
      </c>
      <c r="I233" s="14">
        <f>SUM('Working sheet'!$W233:$AC233)</f>
        <v>1020.3</v>
      </c>
      <c r="J233" s="26">
        <v>144.9</v>
      </c>
    </row>
    <row r="234" spans="1:10" x14ac:dyDescent="0.25">
      <c r="A234" s="17" t="s">
        <v>30</v>
      </c>
      <c r="B234" s="17">
        <v>2019</v>
      </c>
      <c r="C234" s="17" t="s">
        <v>37</v>
      </c>
      <c r="D234" s="16">
        <f>SUM('Working sheet'!$D234:$P234)</f>
        <v>1857.3999999999999</v>
      </c>
      <c r="E234" s="17">
        <f>SUM('Working sheet'!$Q234)</f>
        <v>167.2</v>
      </c>
      <c r="F234" s="17">
        <f>SUM('Working sheet'!$R234:$T234)</f>
        <v>419.3</v>
      </c>
      <c r="G234" s="17">
        <f>SUM('Working sheet'!$U234)</f>
        <v>150.6</v>
      </c>
      <c r="H234" s="17">
        <f>SUM('Working sheet'!$V234)</f>
        <v>127</v>
      </c>
      <c r="I234" s="17">
        <f>SUM('Working sheet'!$W234:$AC234)</f>
        <v>954.1</v>
      </c>
      <c r="J234" s="25">
        <v>143.30000000000001</v>
      </c>
    </row>
    <row r="235" spans="1:10" x14ac:dyDescent="0.25">
      <c r="A235" s="14" t="s">
        <v>31</v>
      </c>
      <c r="B235" s="14">
        <v>2019</v>
      </c>
      <c r="C235" s="14" t="s">
        <v>37</v>
      </c>
      <c r="D235" s="13">
        <f>SUM('Working sheet'!$D235:$P235)</f>
        <v>1837.5</v>
      </c>
      <c r="E235" s="14">
        <f>SUM('Working sheet'!$Q235)</f>
        <v>165.2</v>
      </c>
      <c r="F235" s="14">
        <f>SUM('Working sheet'!$R235:$T235)</f>
        <v>437</v>
      </c>
      <c r="G235" s="14">
        <f>SUM('Working sheet'!$U235)</f>
        <v>150.6</v>
      </c>
      <c r="H235" s="14">
        <f>SUM('Working sheet'!$V235)</f>
        <v>139.30000000000001</v>
      </c>
      <c r="I235" s="14">
        <f>SUM('Working sheet'!$W235:$AC235)</f>
        <v>987.40000000000009</v>
      </c>
      <c r="J235" s="26">
        <v>144.19999999999999</v>
      </c>
    </row>
    <row r="236" spans="1:10" x14ac:dyDescent="0.25">
      <c r="A236" s="17" t="s">
        <v>28</v>
      </c>
      <c r="B236" s="17">
        <v>2019</v>
      </c>
      <c r="C236" s="17" t="s">
        <v>38</v>
      </c>
      <c r="D236" s="16">
        <f>SUM('Working sheet'!$D236:$P236)</f>
        <v>1834.5000000000002</v>
      </c>
      <c r="E236" s="17">
        <f>SUM('Working sheet'!$Q236)</f>
        <v>165.1</v>
      </c>
      <c r="F236" s="17">
        <f>SUM('Working sheet'!$R236:$T236)</f>
        <v>449.5</v>
      </c>
      <c r="G236" s="17">
        <f>SUM('Working sheet'!$U236)</f>
        <v>151.9</v>
      </c>
      <c r="H236" s="17">
        <f>SUM('Working sheet'!$V236)</f>
        <v>146.4</v>
      </c>
      <c r="I236" s="17">
        <f>SUM('Working sheet'!$W236:$AC236)</f>
        <v>1025.7</v>
      </c>
      <c r="J236" s="25">
        <v>145.69999999999999</v>
      </c>
    </row>
    <row r="237" spans="1:10" x14ac:dyDescent="0.25">
      <c r="A237" s="14" t="s">
        <v>30</v>
      </c>
      <c r="B237" s="14">
        <v>2019</v>
      </c>
      <c r="C237" s="14" t="s">
        <v>38</v>
      </c>
      <c r="D237" s="13">
        <f>SUM('Working sheet'!$D237:$P237)</f>
        <v>1869.1</v>
      </c>
      <c r="E237" s="14">
        <f>SUM('Working sheet'!$Q237)</f>
        <v>167.9</v>
      </c>
      <c r="F237" s="14">
        <f>SUM('Working sheet'!$R237:$T237)</f>
        <v>420.2</v>
      </c>
      <c r="G237" s="14">
        <f>SUM('Working sheet'!$U237)</f>
        <v>151.6</v>
      </c>
      <c r="H237" s="14">
        <f>SUM('Working sheet'!$V237)</f>
        <v>125.5</v>
      </c>
      <c r="I237" s="14">
        <f>SUM('Working sheet'!$W237:$AC237)</f>
        <v>960.40000000000009</v>
      </c>
      <c r="J237" s="26">
        <v>144.19999999999999</v>
      </c>
    </row>
    <row r="238" spans="1:10" x14ac:dyDescent="0.25">
      <c r="A238" s="17" t="s">
        <v>31</v>
      </c>
      <c r="B238" s="17">
        <v>2019</v>
      </c>
      <c r="C238" s="17" t="s">
        <v>38</v>
      </c>
      <c r="D238" s="16">
        <f>SUM('Working sheet'!$D238:$P238)</f>
        <v>1846.5</v>
      </c>
      <c r="E238" s="17">
        <f>SUM('Working sheet'!$Q238)</f>
        <v>165.8</v>
      </c>
      <c r="F238" s="17">
        <f>SUM('Working sheet'!$R238:$T238)</f>
        <v>437.6</v>
      </c>
      <c r="G238" s="17">
        <f>SUM('Working sheet'!$U238)</f>
        <v>151.6</v>
      </c>
      <c r="H238" s="17">
        <f>SUM('Working sheet'!$V238)</f>
        <v>138.5</v>
      </c>
      <c r="I238" s="17">
        <f>SUM('Working sheet'!$W238:$AC238)</f>
        <v>993.2</v>
      </c>
      <c r="J238" s="25">
        <v>145</v>
      </c>
    </row>
    <row r="239" spans="1:10" x14ac:dyDescent="0.25">
      <c r="A239" s="14" t="s">
        <v>28</v>
      </c>
      <c r="B239" s="14">
        <v>2019</v>
      </c>
      <c r="C239" s="14" t="s">
        <v>39</v>
      </c>
      <c r="D239" s="13">
        <f>SUM('Working sheet'!$D239:$P239)</f>
        <v>1848.7</v>
      </c>
      <c r="E239" s="14">
        <f>SUM('Working sheet'!$Q239)</f>
        <v>165.7</v>
      </c>
      <c r="F239" s="14">
        <f>SUM('Working sheet'!$R239:$T239)</f>
        <v>449.29999999999995</v>
      </c>
      <c r="G239" s="14">
        <f>SUM('Working sheet'!$U239)</f>
        <v>152.6</v>
      </c>
      <c r="H239" s="14">
        <f>SUM('Working sheet'!$V239)</f>
        <v>146.9</v>
      </c>
      <c r="I239" s="14">
        <f>SUM('Working sheet'!$W239:$AC239)</f>
        <v>1029.4000000000003</v>
      </c>
      <c r="J239" s="26">
        <v>146.69999999999999</v>
      </c>
    </row>
    <row r="240" spans="1:10" x14ac:dyDescent="0.25">
      <c r="A240" s="17" t="s">
        <v>30</v>
      </c>
      <c r="B240" s="17">
        <v>2019</v>
      </c>
      <c r="C240" s="17" t="s">
        <v>39</v>
      </c>
      <c r="D240" s="16">
        <f>SUM('Working sheet'!$D240:$P240)</f>
        <v>1874.9</v>
      </c>
      <c r="E240" s="17">
        <f>SUM('Working sheet'!$Q240)</f>
        <v>168.6</v>
      </c>
      <c r="F240" s="17">
        <f>SUM('Working sheet'!$R240:$T240)</f>
        <v>420.8</v>
      </c>
      <c r="G240" s="17">
        <f>SUM('Working sheet'!$U240)</f>
        <v>152.19999999999999</v>
      </c>
      <c r="H240" s="17">
        <f>SUM('Working sheet'!$V240)</f>
        <v>126.6</v>
      </c>
      <c r="I240" s="17">
        <f>SUM('Working sheet'!$W240:$AC240)</f>
        <v>963.60000000000014</v>
      </c>
      <c r="J240" s="25">
        <v>144.69999999999999</v>
      </c>
    </row>
    <row r="241" spans="1:10" x14ac:dyDescent="0.25">
      <c r="A241" s="14" t="s">
        <v>31</v>
      </c>
      <c r="B241" s="14">
        <v>2019</v>
      </c>
      <c r="C241" s="14" t="s">
        <v>39</v>
      </c>
      <c r="D241" s="13">
        <f>SUM('Working sheet'!$D241:$P241)</f>
        <v>1857.6999999999998</v>
      </c>
      <c r="E241" s="14">
        <f>SUM('Working sheet'!$Q241)</f>
        <v>166.5</v>
      </c>
      <c r="F241" s="14">
        <f>SUM('Working sheet'!$R241:$T241)</f>
        <v>437.69999999999993</v>
      </c>
      <c r="G241" s="14">
        <f>SUM('Working sheet'!$U241)</f>
        <v>152.19999999999999</v>
      </c>
      <c r="H241" s="14">
        <f>SUM('Working sheet'!$V241)</f>
        <v>139.19999999999999</v>
      </c>
      <c r="I241" s="14">
        <f>SUM('Working sheet'!$W241:$AC241)</f>
        <v>996.60000000000014</v>
      </c>
      <c r="J241" s="26">
        <v>145.80000000000001</v>
      </c>
    </row>
    <row r="242" spans="1:10" x14ac:dyDescent="0.25">
      <c r="A242" s="17" t="s">
        <v>28</v>
      </c>
      <c r="B242" s="17">
        <v>2019</v>
      </c>
      <c r="C242" s="17" t="s">
        <v>40</v>
      </c>
      <c r="D242" s="16">
        <f>SUM('Working sheet'!$D242:$P242)</f>
        <v>1876.8999999999996</v>
      </c>
      <c r="E242" s="17">
        <f>SUM('Working sheet'!$Q242)</f>
        <v>166.3</v>
      </c>
      <c r="F242" s="17">
        <f>SUM('Working sheet'!$R242:$T242)</f>
        <v>449.4</v>
      </c>
      <c r="G242" s="17">
        <f>SUM('Working sheet'!$U242)</f>
        <v>153.30000000000001</v>
      </c>
      <c r="H242" s="17">
        <f>SUM('Working sheet'!$V242)</f>
        <v>147.69999999999999</v>
      </c>
      <c r="I242" s="17">
        <f>SUM('Working sheet'!$W242:$AC242)</f>
        <v>1031.3999999999999</v>
      </c>
      <c r="J242" s="25">
        <v>148.30000000000001</v>
      </c>
    </row>
    <row r="243" spans="1:10" x14ac:dyDescent="0.25">
      <c r="A243" s="14" t="s">
        <v>30</v>
      </c>
      <c r="B243" s="14">
        <v>2019</v>
      </c>
      <c r="C243" s="14" t="s">
        <v>40</v>
      </c>
      <c r="D243" s="13">
        <f>SUM('Working sheet'!$D243:$P243)</f>
        <v>1902.6000000000001</v>
      </c>
      <c r="E243" s="14">
        <f>SUM('Working sheet'!$Q243)</f>
        <v>169.3</v>
      </c>
      <c r="F243" s="14">
        <f>SUM('Working sheet'!$R243:$T243)</f>
        <v>422.20000000000005</v>
      </c>
      <c r="G243" s="14">
        <f>SUM('Working sheet'!$U243)</f>
        <v>153</v>
      </c>
      <c r="H243" s="14">
        <f>SUM('Working sheet'!$V243)</f>
        <v>128.9</v>
      </c>
      <c r="I243" s="14">
        <f>SUM('Working sheet'!$W243:$AC243)</f>
        <v>966</v>
      </c>
      <c r="J243" s="26">
        <v>146</v>
      </c>
    </row>
    <row r="244" spans="1:10" x14ac:dyDescent="0.25">
      <c r="A244" s="17" t="s">
        <v>31</v>
      </c>
      <c r="B244" s="17">
        <v>2019</v>
      </c>
      <c r="C244" s="17" t="s">
        <v>40</v>
      </c>
      <c r="D244" s="16">
        <f>SUM('Working sheet'!$D244:$P244)</f>
        <v>1885.5999999999997</v>
      </c>
      <c r="E244" s="17">
        <f>SUM('Working sheet'!$Q244)</f>
        <v>167.1</v>
      </c>
      <c r="F244" s="17">
        <f>SUM('Working sheet'!$R244:$T244)</f>
        <v>438.40000000000003</v>
      </c>
      <c r="G244" s="17">
        <f>SUM('Working sheet'!$U244)</f>
        <v>153</v>
      </c>
      <c r="H244" s="17">
        <f>SUM('Working sheet'!$V244)</f>
        <v>140.6</v>
      </c>
      <c r="I244" s="17">
        <f>SUM('Working sheet'!$W244:$AC244)</f>
        <v>998.8</v>
      </c>
      <c r="J244" s="25">
        <v>147.19999999999999</v>
      </c>
    </row>
    <row r="245" spans="1:10" x14ac:dyDescent="0.25">
      <c r="A245" s="14" t="s">
        <v>28</v>
      </c>
      <c r="B245" s="14">
        <v>2019</v>
      </c>
      <c r="C245" s="14" t="s">
        <v>42</v>
      </c>
      <c r="D245" s="13">
        <f>SUM('Working sheet'!$D245:$P245)</f>
        <v>1904.6000000000001</v>
      </c>
      <c r="E245" s="14">
        <f>SUM('Working sheet'!$Q245)</f>
        <v>167.2</v>
      </c>
      <c r="F245" s="14">
        <f>SUM('Working sheet'!$R245:$T245)</f>
        <v>450.8</v>
      </c>
      <c r="G245" s="14">
        <f>SUM('Working sheet'!$U245)</f>
        <v>153.19999999999999</v>
      </c>
      <c r="H245" s="14">
        <f>SUM('Working sheet'!$V245)</f>
        <v>148.4</v>
      </c>
      <c r="I245" s="14">
        <f>SUM('Working sheet'!$W245:$AC245)</f>
        <v>1033.9000000000001</v>
      </c>
      <c r="J245" s="26">
        <v>149.9</v>
      </c>
    </row>
    <row r="246" spans="1:10" x14ac:dyDescent="0.25">
      <c r="A246" s="17" t="s">
        <v>30</v>
      </c>
      <c r="B246" s="17">
        <v>2019</v>
      </c>
      <c r="C246" s="17" t="s">
        <v>42</v>
      </c>
      <c r="D246" s="16">
        <f>SUM('Working sheet'!$D246:$P246)</f>
        <v>1923.9999999999998</v>
      </c>
      <c r="E246" s="17">
        <f>SUM('Working sheet'!$Q246)</f>
        <v>169.9</v>
      </c>
      <c r="F246" s="17">
        <f>SUM('Working sheet'!$R246:$T246)</f>
        <v>423.09999999999997</v>
      </c>
      <c r="G246" s="17">
        <f>SUM('Working sheet'!$U246)</f>
        <v>153.5</v>
      </c>
      <c r="H246" s="17">
        <f>SUM('Working sheet'!$V246)</f>
        <v>132.19999999999999</v>
      </c>
      <c r="I246" s="17">
        <f>SUM('Working sheet'!$W246:$AC246)</f>
        <v>968.19999999999982</v>
      </c>
      <c r="J246" s="25">
        <v>147</v>
      </c>
    </row>
    <row r="247" spans="1:10" x14ac:dyDescent="0.25">
      <c r="A247" s="14" t="s">
        <v>31</v>
      </c>
      <c r="B247" s="14">
        <v>2019</v>
      </c>
      <c r="C247" s="14" t="s">
        <v>42</v>
      </c>
      <c r="D247" s="13">
        <f>SUM('Working sheet'!$D247:$P247)</f>
        <v>1910.9</v>
      </c>
      <c r="E247" s="14">
        <f>SUM('Working sheet'!$Q247)</f>
        <v>167.9</v>
      </c>
      <c r="F247" s="14">
        <f>SUM('Working sheet'!$R247:$T247)</f>
        <v>439.5</v>
      </c>
      <c r="G247" s="14">
        <f>SUM('Working sheet'!$U247)</f>
        <v>153.5</v>
      </c>
      <c r="H247" s="14">
        <f>SUM('Working sheet'!$V247)</f>
        <v>142.30000000000001</v>
      </c>
      <c r="I247" s="14">
        <f>SUM('Working sheet'!$W247:$AC247)</f>
        <v>1001</v>
      </c>
      <c r="J247" s="26">
        <v>148.6</v>
      </c>
    </row>
    <row r="248" spans="1:10" x14ac:dyDescent="0.25">
      <c r="A248" s="17" t="s">
        <v>28</v>
      </c>
      <c r="B248" s="17">
        <v>2019</v>
      </c>
      <c r="C248" s="17" t="s">
        <v>43</v>
      </c>
      <c r="D248" s="16">
        <f>SUM('Working sheet'!$D248:$P248)</f>
        <v>1940.9999999999995</v>
      </c>
      <c r="E248" s="17">
        <f>SUM('Working sheet'!$Q248)</f>
        <v>167.8</v>
      </c>
      <c r="F248" s="17">
        <f>SUM('Working sheet'!$R248:$T248)</f>
        <v>451.79999999999995</v>
      </c>
      <c r="G248" s="17">
        <f>SUM('Working sheet'!$U248)</f>
        <v>153.4</v>
      </c>
      <c r="H248" s="17">
        <f>SUM('Working sheet'!$V248)</f>
        <v>149.9</v>
      </c>
      <c r="I248" s="17">
        <f>SUM('Working sheet'!$W248:$AC248)</f>
        <v>1039.3</v>
      </c>
      <c r="J248" s="25">
        <v>152.30000000000001</v>
      </c>
    </row>
    <row r="249" spans="1:10" x14ac:dyDescent="0.25">
      <c r="A249" s="14" t="s">
        <v>30</v>
      </c>
      <c r="B249" s="14">
        <v>2019</v>
      </c>
      <c r="C249" s="14" t="s">
        <v>43</v>
      </c>
      <c r="D249" s="13">
        <f>SUM('Working sheet'!$D249:$P249)</f>
        <v>1956.7</v>
      </c>
      <c r="E249" s="14">
        <f>SUM('Working sheet'!$Q249)</f>
        <v>170.4</v>
      </c>
      <c r="F249" s="14">
        <f>SUM('Working sheet'!$R249:$T249)</f>
        <v>424.20000000000005</v>
      </c>
      <c r="G249" s="14">
        <f>SUM('Working sheet'!$U249)</f>
        <v>152.80000000000001</v>
      </c>
      <c r="H249" s="14">
        <f>SUM('Working sheet'!$V249)</f>
        <v>133.6</v>
      </c>
      <c r="I249" s="14">
        <f>SUM('Working sheet'!$W249:$AC249)</f>
        <v>974.8</v>
      </c>
      <c r="J249" s="26">
        <v>148.30000000000001</v>
      </c>
    </row>
    <row r="250" spans="1:10" x14ac:dyDescent="0.25">
      <c r="A250" s="17" t="s">
        <v>31</v>
      </c>
      <c r="B250" s="17">
        <v>2019</v>
      </c>
      <c r="C250" s="17" t="s">
        <v>43</v>
      </c>
      <c r="D250" s="16">
        <f>SUM('Working sheet'!$D250:$P250)</f>
        <v>1946.1000000000001</v>
      </c>
      <c r="E250" s="17">
        <f>SUM('Working sheet'!$Q250)</f>
        <v>168.5</v>
      </c>
      <c r="F250" s="17">
        <f>SUM('Working sheet'!$R250:$T250)</f>
        <v>440.6</v>
      </c>
      <c r="G250" s="17">
        <f>SUM('Working sheet'!$U250)</f>
        <v>152.80000000000001</v>
      </c>
      <c r="H250" s="17">
        <f>SUM('Working sheet'!$V250)</f>
        <v>143.69999999999999</v>
      </c>
      <c r="I250" s="17">
        <f>SUM('Working sheet'!$W250:$AC250)</f>
        <v>1006.9</v>
      </c>
      <c r="J250" s="25">
        <v>150.4</v>
      </c>
    </row>
    <row r="251" spans="1:10" x14ac:dyDescent="0.25">
      <c r="A251" s="14" t="s">
        <v>28</v>
      </c>
      <c r="B251" s="14">
        <v>2020</v>
      </c>
      <c r="C251" s="14" t="s">
        <v>29</v>
      </c>
      <c r="D251" s="13">
        <f>SUM('Working sheet'!$D251:$P251)</f>
        <v>1938.6</v>
      </c>
      <c r="E251" s="14">
        <f>SUM('Working sheet'!$Q251)</f>
        <v>168.6</v>
      </c>
      <c r="F251" s="14">
        <f>SUM('Working sheet'!$R251:$T251)</f>
        <v>452.30000000000007</v>
      </c>
      <c r="G251" s="14">
        <f>SUM('Working sheet'!$U251)</f>
        <v>154.4</v>
      </c>
      <c r="H251" s="14">
        <f>SUM('Working sheet'!$V251)</f>
        <v>150.4</v>
      </c>
      <c r="I251" s="14">
        <f>SUM('Working sheet'!$W251:$AC251)</f>
        <v>1046.0999999999999</v>
      </c>
      <c r="J251" s="26">
        <v>151.9</v>
      </c>
    </row>
    <row r="252" spans="1:10" x14ac:dyDescent="0.25">
      <c r="A252" s="17" t="s">
        <v>30</v>
      </c>
      <c r="B252" s="17">
        <v>2020</v>
      </c>
      <c r="C252" s="17" t="s">
        <v>29</v>
      </c>
      <c r="D252" s="16">
        <f>SUM('Working sheet'!$D252:$P252)</f>
        <v>1945.3999999999999</v>
      </c>
      <c r="E252" s="17">
        <f>SUM('Working sheet'!$Q252)</f>
        <v>170.8</v>
      </c>
      <c r="F252" s="17">
        <f>SUM('Working sheet'!$R252:$T252)</f>
        <v>425.1</v>
      </c>
      <c r="G252" s="17">
        <f>SUM('Working sheet'!$U252)</f>
        <v>153.9</v>
      </c>
      <c r="H252" s="17">
        <f>SUM('Working sheet'!$V252)</f>
        <v>135.1</v>
      </c>
      <c r="I252" s="17">
        <f>SUM('Working sheet'!$W252:$AC252)</f>
        <v>979.80000000000007</v>
      </c>
      <c r="J252" s="25">
        <v>148.19999999999999</v>
      </c>
    </row>
    <row r="253" spans="1:10" x14ac:dyDescent="0.25">
      <c r="A253" s="14" t="s">
        <v>31</v>
      </c>
      <c r="B253" s="14">
        <v>2020</v>
      </c>
      <c r="C253" s="14" t="s">
        <v>29</v>
      </c>
      <c r="D253" s="13">
        <f>SUM('Working sheet'!$D253:$P253)</f>
        <v>1940.3999999999999</v>
      </c>
      <c r="E253" s="14">
        <f>SUM('Working sheet'!$Q253)</f>
        <v>169.2</v>
      </c>
      <c r="F253" s="14">
        <f>SUM('Working sheet'!$R253:$T253)</f>
        <v>441.2</v>
      </c>
      <c r="G253" s="14">
        <f>SUM('Working sheet'!$U253)</f>
        <v>153.9</v>
      </c>
      <c r="H253" s="14">
        <f>SUM('Working sheet'!$V253)</f>
        <v>144.6</v>
      </c>
      <c r="I253" s="14">
        <f>SUM('Working sheet'!$W253:$AC253)</f>
        <v>1012.9</v>
      </c>
      <c r="J253" s="26">
        <v>150.19999999999999</v>
      </c>
    </row>
    <row r="254" spans="1:10" x14ac:dyDescent="0.25">
      <c r="A254" s="17" t="s">
        <v>28</v>
      </c>
      <c r="B254" s="17">
        <v>2020</v>
      </c>
      <c r="C254" s="17" t="s">
        <v>32</v>
      </c>
      <c r="D254" s="16">
        <f>SUM('Working sheet'!$D254:$P254)</f>
        <v>1909.7999999999997</v>
      </c>
      <c r="E254" s="17">
        <f>SUM('Working sheet'!$Q254)</f>
        <v>169.4</v>
      </c>
      <c r="F254" s="17">
        <f>SUM('Working sheet'!$R254:$T254)</f>
        <v>452.8</v>
      </c>
      <c r="G254" s="17">
        <f>SUM('Working sheet'!$U254)</f>
        <v>154.69999999999999</v>
      </c>
      <c r="H254" s="17">
        <f>SUM('Working sheet'!$V254)</f>
        <v>152.30000000000001</v>
      </c>
      <c r="I254" s="17">
        <f>SUM('Working sheet'!$W254:$AC254)</f>
        <v>1048.0999999999999</v>
      </c>
      <c r="J254" s="25">
        <v>150.4</v>
      </c>
    </row>
    <row r="255" spans="1:10" x14ac:dyDescent="0.25">
      <c r="A255" s="14" t="s">
        <v>30</v>
      </c>
      <c r="B255" s="14">
        <v>2020</v>
      </c>
      <c r="C255" s="14" t="s">
        <v>32</v>
      </c>
      <c r="D255" s="13">
        <f>SUM('Working sheet'!$D255:$P255)</f>
        <v>1916.6</v>
      </c>
      <c r="E255" s="14">
        <f>SUM('Working sheet'!$Q255)</f>
        <v>172</v>
      </c>
      <c r="F255" s="14">
        <f>SUM('Working sheet'!$R255:$T255)</f>
        <v>426</v>
      </c>
      <c r="G255" s="14">
        <f>SUM('Working sheet'!$U255)</f>
        <v>154.80000000000001</v>
      </c>
      <c r="H255" s="14">
        <f>SUM('Working sheet'!$V255)</f>
        <v>138.9</v>
      </c>
      <c r="I255" s="14">
        <f>SUM('Working sheet'!$W255:$AC255)</f>
        <v>981.80000000000007</v>
      </c>
      <c r="J255" s="26">
        <v>147.69999999999999</v>
      </c>
    </row>
    <row r="256" spans="1:10" x14ac:dyDescent="0.25">
      <c r="A256" s="17" t="s">
        <v>31</v>
      </c>
      <c r="B256" s="17">
        <v>2020</v>
      </c>
      <c r="C256" s="17" t="s">
        <v>32</v>
      </c>
      <c r="D256" s="16">
        <f>SUM('Working sheet'!$D256:$P256)</f>
        <v>1911.6</v>
      </c>
      <c r="E256" s="17">
        <f>SUM('Working sheet'!$Q256)</f>
        <v>170.1</v>
      </c>
      <c r="F256" s="17">
        <f>SUM('Working sheet'!$R256:$T256)</f>
        <v>442</v>
      </c>
      <c r="G256" s="17">
        <f>SUM('Working sheet'!$U256)</f>
        <v>154.80000000000001</v>
      </c>
      <c r="H256" s="17">
        <f>SUM('Working sheet'!$V256)</f>
        <v>147.19999999999999</v>
      </c>
      <c r="I256" s="17">
        <f>SUM('Working sheet'!$W256:$AC256)</f>
        <v>1014.8</v>
      </c>
      <c r="J256" s="25">
        <v>149.1</v>
      </c>
    </row>
    <row r="257" spans="1:10" x14ac:dyDescent="0.25">
      <c r="A257" s="14" t="s">
        <v>28</v>
      </c>
      <c r="B257" s="14">
        <v>2020</v>
      </c>
      <c r="C257" s="14" t="s">
        <v>33</v>
      </c>
      <c r="D257" s="13">
        <f>SUM('Working sheet'!$D257:$P257)</f>
        <v>1894.5999999999997</v>
      </c>
      <c r="E257" s="14">
        <f>SUM('Working sheet'!$Q257)</f>
        <v>170.5</v>
      </c>
      <c r="F257" s="14">
        <f>SUM('Working sheet'!$R257:$T257)</f>
        <v>453.5</v>
      </c>
      <c r="G257" s="14">
        <f>SUM('Working sheet'!$U257)</f>
        <v>155.1</v>
      </c>
      <c r="H257" s="14">
        <f>SUM('Working sheet'!$V257)</f>
        <v>153.4</v>
      </c>
      <c r="I257" s="14">
        <f>SUM('Working sheet'!$W257:$AC257)</f>
        <v>1050.1000000000001</v>
      </c>
      <c r="J257" s="26">
        <v>149.80000000000001</v>
      </c>
    </row>
    <row r="258" spans="1:10" x14ac:dyDescent="0.25">
      <c r="A258" s="17" t="s">
        <v>30</v>
      </c>
      <c r="B258" s="17">
        <v>2020</v>
      </c>
      <c r="C258" s="17" t="s">
        <v>33</v>
      </c>
      <c r="D258" s="16">
        <f>SUM('Working sheet'!$D258:$P258)</f>
        <v>1898.5</v>
      </c>
      <c r="E258" s="17">
        <f>SUM('Working sheet'!$Q258)</f>
        <v>173.3</v>
      </c>
      <c r="F258" s="17">
        <f>SUM('Working sheet'!$R258:$T258)</f>
        <v>427.1</v>
      </c>
      <c r="G258" s="17">
        <f>SUM('Working sheet'!$U258)</f>
        <v>154.5</v>
      </c>
      <c r="H258" s="17">
        <f>SUM('Working sheet'!$V258)</f>
        <v>141.4</v>
      </c>
      <c r="I258" s="17">
        <f>SUM('Working sheet'!$W258:$AC258)</f>
        <v>984.8</v>
      </c>
      <c r="J258" s="25">
        <v>147.30000000000001</v>
      </c>
    </row>
    <row r="259" spans="1:10" x14ac:dyDescent="0.25">
      <c r="A259" s="14" t="s">
        <v>31</v>
      </c>
      <c r="B259" s="14">
        <v>2020</v>
      </c>
      <c r="C259" s="14" t="s">
        <v>33</v>
      </c>
      <c r="D259" s="13">
        <f>SUM('Working sheet'!$D259:$P259)</f>
        <v>1895.4</v>
      </c>
      <c r="E259" s="14">
        <f>SUM('Working sheet'!$Q259)</f>
        <v>171.2</v>
      </c>
      <c r="F259" s="14">
        <f>SUM('Working sheet'!$R259:$T259)</f>
        <v>442.90000000000003</v>
      </c>
      <c r="G259" s="14">
        <f>SUM('Working sheet'!$U259)</f>
        <v>154.5</v>
      </c>
      <c r="H259" s="14">
        <f>SUM('Working sheet'!$V259)</f>
        <v>148.9</v>
      </c>
      <c r="I259" s="14">
        <f>SUM('Working sheet'!$W259:$AC259)</f>
        <v>1017.3999999999999</v>
      </c>
      <c r="J259" s="26">
        <v>148.6</v>
      </c>
    </row>
    <row r="260" spans="1:10" x14ac:dyDescent="0.25">
      <c r="A260" s="17" t="s">
        <v>28</v>
      </c>
      <c r="B260" s="17">
        <v>2020</v>
      </c>
      <c r="C260" s="17" t="s">
        <v>34</v>
      </c>
      <c r="D260" s="16">
        <f>SUM('Working sheet'!$D260:$P260)</f>
        <v>1966.9</v>
      </c>
      <c r="E260" s="17">
        <f>SUM('Working sheet'!$Q260)</f>
        <v>182.4</v>
      </c>
      <c r="F260" s="17">
        <f>SUM('Working sheet'!$R260:$T260)</f>
        <v>458.79999999999995</v>
      </c>
      <c r="G260" s="17">
        <f>SUM('Working sheet'!$U260)</f>
        <v>155.6</v>
      </c>
      <c r="H260" s="17">
        <f>SUM('Working sheet'!$V260)</f>
        <v>148.4</v>
      </c>
      <c r="I260" s="17">
        <f>SUM('Working sheet'!$W260:$AC260)</f>
        <v>1065.3</v>
      </c>
      <c r="J260" s="25">
        <v>152.69999999999999</v>
      </c>
    </row>
    <row r="261" spans="1:10" x14ac:dyDescent="0.25">
      <c r="A261" s="14" t="s">
        <v>30</v>
      </c>
      <c r="B261" s="14">
        <v>2020</v>
      </c>
      <c r="C261" s="14" t="s">
        <v>34</v>
      </c>
      <c r="D261" s="13">
        <f>SUM('Working sheet'!$D261:$P261)</f>
        <v>1992.2</v>
      </c>
      <c r="E261" s="14">
        <f>SUM('Working sheet'!$Q261)</f>
        <v>184.6</v>
      </c>
      <c r="F261" s="14">
        <f>SUM('Working sheet'!$R261:$T261)</f>
        <v>445.90000000000003</v>
      </c>
      <c r="G261" s="14">
        <f>SUM('Working sheet'!$U261)</f>
        <v>155.6</v>
      </c>
      <c r="H261" s="14">
        <f>SUM('Working sheet'!$V261)</f>
        <v>137.1</v>
      </c>
      <c r="I261" s="14">
        <f>SUM('Working sheet'!$W261:$AC261)</f>
        <v>1031</v>
      </c>
      <c r="J261" s="26">
        <v>151.80000000000001</v>
      </c>
    </row>
    <row r="262" spans="1:10" x14ac:dyDescent="0.25">
      <c r="A262" s="17" t="s">
        <v>31</v>
      </c>
      <c r="B262" s="17">
        <v>2020</v>
      </c>
      <c r="C262" s="17" t="s">
        <v>34</v>
      </c>
      <c r="D262" s="16">
        <f>SUM('Working sheet'!$D262:$P262)</f>
        <v>1977.8</v>
      </c>
      <c r="E262" s="17">
        <f>SUM('Working sheet'!$Q262)</f>
        <v>184.2</v>
      </c>
      <c r="F262" s="17">
        <f>SUM('Working sheet'!$R262:$T262)</f>
        <v>446.69999999999993</v>
      </c>
      <c r="G262" s="17">
        <f>SUM('Working sheet'!$U262)</f>
        <v>155.6</v>
      </c>
      <c r="H262" s="17">
        <f>SUM('Working sheet'!$V262)</f>
        <v>144.1</v>
      </c>
      <c r="I262" s="17">
        <f>SUM('Working sheet'!$W262:$AC262)</f>
        <v>1036.3</v>
      </c>
      <c r="J262" s="25">
        <v>151.80000000000001</v>
      </c>
    </row>
    <row r="263" spans="1:10" x14ac:dyDescent="0.25">
      <c r="A263" s="14" t="s">
        <v>28</v>
      </c>
      <c r="B263" s="14">
        <v>2020</v>
      </c>
      <c r="C263" s="14" t="s">
        <v>35</v>
      </c>
      <c r="D263" s="13">
        <f>SUM('Working sheet'!$D263:$P263)</f>
        <v>1966.1000000000001</v>
      </c>
      <c r="E263" s="14">
        <f>SUM('Working sheet'!$Q263)</f>
        <v>183.8</v>
      </c>
      <c r="F263" s="14">
        <f>SUM('Working sheet'!$R263:$T263)</f>
        <v>449.8</v>
      </c>
      <c r="G263" s="14">
        <f>SUM('Working sheet'!$U263)</f>
        <v>154.69999999999999</v>
      </c>
      <c r="H263" s="14">
        <f>SUM('Working sheet'!$V263)</f>
        <v>142.19999999999999</v>
      </c>
      <c r="I263" s="14">
        <f>SUM('Working sheet'!$W263:$AC263)</f>
        <v>1046.7</v>
      </c>
      <c r="J263" s="26">
        <v>152</v>
      </c>
    </row>
    <row r="264" spans="1:10" x14ac:dyDescent="0.25">
      <c r="A264" s="17" t="s">
        <v>30</v>
      </c>
      <c r="B264" s="17">
        <v>2020</v>
      </c>
      <c r="C264" s="17" t="s">
        <v>35</v>
      </c>
      <c r="D264" s="16">
        <f>SUM('Working sheet'!$D264:$P264)</f>
        <v>1971.6999999999998</v>
      </c>
      <c r="E264" s="17">
        <f>SUM('Working sheet'!$Q264)</f>
        <v>184.3</v>
      </c>
      <c r="F264" s="17">
        <f>SUM('Working sheet'!$R264:$T264)</f>
        <v>446.3</v>
      </c>
      <c r="G264" s="17">
        <f>SUM('Working sheet'!$U264)</f>
        <v>154.69999999999999</v>
      </c>
      <c r="H264" s="17">
        <f>SUM('Working sheet'!$V264)</f>
        <v>141.19999999999999</v>
      </c>
      <c r="I264" s="17">
        <f>SUM('Working sheet'!$W264:$AC264)</f>
        <v>1039.1000000000001</v>
      </c>
      <c r="J264" s="25">
        <v>151.80000000000001</v>
      </c>
    </row>
    <row r="265" spans="1:10" x14ac:dyDescent="0.25">
      <c r="A265" s="14" t="s">
        <v>31</v>
      </c>
      <c r="B265" s="14">
        <v>2020</v>
      </c>
      <c r="C265" s="14" t="s">
        <v>35</v>
      </c>
      <c r="D265" s="13">
        <f>SUM('Working sheet'!$D265:$P265)</f>
        <v>1971</v>
      </c>
      <c r="E265" s="14">
        <f>SUM('Working sheet'!$Q265)</f>
        <v>184.2</v>
      </c>
      <c r="F265" s="14">
        <f>SUM('Working sheet'!$R265:$T265)</f>
        <v>446.69999999999993</v>
      </c>
      <c r="G265" s="14">
        <f>SUM('Working sheet'!$U265)</f>
        <v>154.69999999999999</v>
      </c>
      <c r="H265" s="14">
        <f>SUM('Working sheet'!$V265)</f>
        <v>141.30000000000001</v>
      </c>
      <c r="I265" s="14">
        <f>SUM('Working sheet'!$W265:$AC265)</f>
        <v>1039.2</v>
      </c>
      <c r="J265" s="26">
        <v>151.80000000000001</v>
      </c>
    </row>
    <row r="266" spans="1:10" x14ac:dyDescent="0.25">
      <c r="A266" s="17" t="s">
        <v>28</v>
      </c>
      <c r="B266" s="17">
        <v>2020</v>
      </c>
      <c r="C266" s="17" t="s">
        <v>36</v>
      </c>
      <c r="D266" s="16">
        <f>SUM('Working sheet'!$D266:$P266)</f>
        <v>1951</v>
      </c>
      <c r="E266" s="17">
        <f>SUM('Working sheet'!$Q266)</f>
        <v>182.4</v>
      </c>
      <c r="F266" s="17">
        <f>SUM('Working sheet'!$R266:$T266)</f>
        <v>458.79999999999995</v>
      </c>
      <c r="G266" s="17">
        <f>SUM('Working sheet'!$U266)</f>
        <v>154.69999999999999</v>
      </c>
      <c r="H266" s="17">
        <f>SUM('Working sheet'!$V266)</f>
        <v>144.9</v>
      </c>
      <c r="I266" s="17">
        <f>SUM('Working sheet'!$W266:$AC266)</f>
        <v>1069.2</v>
      </c>
      <c r="J266" s="25">
        <v>152.69999999999999</v>
      </c>
    </row>
    <row r="267" spans="1:10" x14ac:dyDescent="0.25">
      <c r="A267" s="14" t="s">
        <v>30</v>
      </c>
      <c r="B267" s="14">
        <v>2020</v>
      </c>
      <c r="C267" s="14" t="s">
        <v>36</v>
      </c>
      <c r="D267" s="13">
        <f>SUM('Working sheet'!$D267:$P267)</f>
        <v>1994.9999999999998</v>
      </c>
      <c r="E267" s="14">
        <f>SUM('Working sheet'!$Q267)</f>
        <v>186.7</v>
      </c>
      <c r="F267" s="14">
        <f>SUM('Working sheet'!$R267:$T267)</f>
        <v>432.9</v>
      </c>
      <c r="G267" s="14">
        <f>SUM('Working sheet'!$U267)</f>
        <v>154.69999999999999</v>
      </c>
      <c r="H267" s="14">
        <f>SUM('Working sheet'!$V267)</f>
        <v>137.1</v>
      </c>
      <c r="I267" s="14">
        <f>SUM('Working sheet'!$W267:$AC267)</f>
        <v>1009</v>
      </c>
      <c r="J267" s="26">
        <v>150.80000000000001</v>
      </c>
    </row>
    <row r="268" spans="1:10" x14ac:dyDescent="0.25">
      <c r="A268" s="17" t="s">
        <v>31</v>
      </c>
      <c r="B268" s="17">
        <v>2020</v>
      </c>
      <c r="C268" s="17" t="s">
        <v>36</v>
      </c>
      <c r="D268" s="16">
        <f>SUM('Working sheet'!$D268:$P268)</f>
        <v>1966.8000000000002</v>
      </c>
      <c r="E268" s="17">
        <f>SUM('Working sheet'!$Q268)</f>
        <v>183.5</v>
      </c>
      <c r="F268" s="17">
        <f>SUM('Working sheet'!$R268:$T268)</f>
        <v>448.29999999999995</v>
      </c>
      <c r="G268" s="17">
        <f>SUM('Working sheet'!$U268)</f>
        <v>154.69999999999999</v>
      </c>
      <c r="H268" s="17">
        <f>SUM('Working sheet'!$V268)</f>
        <v>141.9</v>
      </c>
      <c r="I268" s="17">
        <f>SUM('Working sheet'!$W268:$AC268)</f>
        <v>1039.0999999999999</v>
      </c>
      <c r="J268" s="25">
        <v>151.80000000000001</v>
      </c>
    </row>
    <row r="269" spans="1:10" x14ac:dyDescent="0.25">
      <c r="A269" s="14" t="s">
        <v>28</v>
      </c>
      <c r="B269" s="14">
        <v>2020</v>
      </c>
      <c r="C269" s="14" t="s">
        <v>37</v>
      </c>
      <c r="D269" s="13">
        <f>SUM('Working sheet'!$D269:$P269)</f>
        <v>1951</v>
      </c>
      <c r="E269" s="14">
        <f>SUM('Working sheet'!$Q269)</f>
        <v>182.4</v>
      </c>
      <c r="F269" s="14">
        <f>SUM('Working sheet'!$R269:$T269)</f>
        <v>458.79999999999995</v>
      </c>
      <c r="G269" s="14">
        <f>SUM('Working sheet'!$U269)</f>
        <v>155.1</v>
      </c>
      <c r="H269" s="14">
        <f>SUM('Working sheet'!$V269)</f>
        <v>144.9</v>
      </c>
      <c r="I269" s="14">
        <f>SUM('Working sheet'!$W269:$AC269)</f>
        <v>1069.2</v>
      </c>
      <c r="J269" s="26">
        <v>152.69999999999999</v>
      </c>
    </row>
    <row r="270" spans="1:10" x14ac:dyDescent="0.25">
      <c r="A270" s="17" t="s">
        <v>30</v>
      </c>
      <c r="B270" s="17">
        <v>2020</v>
      </c>
      <c r="C270" s="17" t="s">
        <v>37</v>
      </c>
      <c r="D270" s="16">
        <f>SUM('Working sheet'!$D270:$P270)</f>
        <v>1994.9999999999998</v>
      </c>
      <c r="E270" s="17">
        <f>SUM('Working sheet'!$Q270)</f>
        <v>186.7</v>
      </c>
      <c r="F270" s="17">
        <f>SUM('Working sheet'!$R270:$T270)</f>
        <v>432.9</v>
      </c>
      <c r="G270" s="17">
        <f>SUM('Working sheet'!$U270)</f>
        <v>154.69999999999999</v>
      </c>
      <c r="H270" s="17">
        <f>SUM('Working sheet'!$V270)</f>
        <v>137.1</v>
      </c>
      <c r="I270" s="17">
        <f>SUM('Working sheet'!$W270:$AC270)</f>
        <v>1009</v>
      </c>
      <c r="J270" s="25">
        <v>150.80000000000001</v>
      </c>
    </row>
    <row r="271" spans="1:10" x14ac:dyDescent="0.25">
      <c r="A271" s="14" t="s">
        <v>31</v>
      </c>
      <c r="B271" s="14">
        <v>2020</v>
      </c>
      <c r="C271" s="14" t="s">
        <v>37</v>
      </c>
      <c r="D271" s="13">
        <f>SUM('Working sheet'!$D271:$P271)</f>
        <v>1966.8000000000002</v>
      </c>
      <c r="E271" s="14">
        <f>SUM('Working sheet'!$Q271)</f>
        <v>183.5</v>
      </c>
      <c r="F271" s="14">
        <f>SUM('Working sheet'!$R271:$T271)</f>
        <v>448.29999999999995</v>
      </c>
      <c r="G271" s="14">
        <f>SUM('Working sheet'!$U271)</f>
        <v>154.69999999999999</v>
      </c>
      <c r="H271" s="14">
        <f>SUM('Working sheet'!$V271)</f>
        <v>141.9</v>
      </c>
      <c r="I271" s="14">
        <f>SUM('Working sheet'!$W271:$AC271)</f>
        <v>1039.0999999999999</v>
      </c>
      <c r="J271" s="26">
        <v>151.80000000000001</v>
      </c>
    </row>
    <row r="272" spans="1:10" x14ac:dyDescent="0.25">
      <c r="A272" s="17" t="s">
        <v>28</v>
      </c>
      <c r="B272" s="17">
        <v>2020</v>
      </c>
      <c r="C272" s="17" t="s">
        <v>38</v>
      </c>
      <c r="D272" s="16">
        <f>SUM('Working sheet'!$D272:$P272)</f>
        <v>1978.6</v>
      </c>
      <c r="E272" s="17">
        <f>SUM('Working sheet'!$Q272)</f>
        <v>180.9</v>
      </c>
      <c r="F272" s="17">
        <f>SUM('Working sheet'!$R272:$T272)</f>
        <v>458.7</v>
      </c>
      <c r="G272" s="17">
        <f>SUM('Working sheet'!$U272)</f>
        <v>155.9</v>
      </c>
      <c r="H272" s="17">
        <f>SUM('Working sheet'!$V272)</f>
        <v>145.80000000000001</v>
      </c>
      <c r="I272" s="17">
        <f>SUM('Working sheet'!$W272:$AC272)</f>
        <v>1075.8000000000002</v>
      </c>
      <c r="J272" s="25">
        <v>154.69999999999999</v>
      </c>
    </row>
    <row r="273" spans="1:10" x14ac:dyDescent="0.25">
      <c r="A273" s="14" t="s">
        <v>30</v>
      </c>
      <c r="B273" s="14">
        <v>2020</v>
      </c>
      <c r="C273" s="14" t="s">
        <v>38</v>
      </c>
      <c r="D273" s="13">
        <f>SUM('Working sheet'!$D273:$P273)</f>
        <v>2024.8999999999999</v>
      </c>
      <c r="E273" s="14">
        <f>SUM('Working sheet'!$Q273)</f>
        <v>187.2</v>
      </c>
      <c r="F273" s="14">
        <f>SUM('Working sheet'!$R273:$T273)</f>
        <v>433</v>
      </c>
      <c r="G273" s="14">
        <f>SUM('Working sheet'!$U273)</f>
        <v>155.5</v>
      </c>
      <c r="H273" s="14">
        <f>SUM('Working sheet'!$V273)</f>
        <v>138.30000000000001</v>
      </c>
      <c r="I273" s="14">
        <f>SUM('Working sheet'!$W273:$AC273)</f>
        <v>1023.8</v>
      </c>
      <c r="J273" s="26">
        <v>152.9</v>
      </c>
    </row>
    <row r="274" spans="1:10" x14ac:dyDescent="0.25">
      <c r="A274" s="17" t="s">
        <v>31</v>
      </c>
      <c r="B274" s="17">
        <v>2020</v>
      </c>
      <c r="C274" s="17" t="s">
        <v>38</v>
      </c>
      <c r="D274" s="16">
        <f>SUM('Working sheet'!$D274:$P274)</f>
        <v>1995.1999999999998</v>
      </c>
      <c r="E274" s="17">
        <f>SUM('Working sheet'!$Q274)</f>
        <v>182.6</v>
      </c>
      <c r="F274" s="17">
        <f>SUM('Working sheet'!$R274:$T274)</f>
        <v>448.2</v>
      </c>
      <c r="G274" s="17">
        <f>SUM('Working sheet'!$U274)</f>
        <v>155.5</v>
      </c>
      <c r="H274" s="17">
        <f>SUM('Working sheet'!$V274)</f>
        <v>143</v>
      </c>
      <c r="I274" s="17">
        <f>SUM('Working sheet'!$W274:$AC274)</f>
        <v>1049.7</v>
      </c>
      <c r="J274" s="25">
        <v>153.9</v>
      </c>
    </row>
    <row r="275" spans="1:10" x14ac:dyDescent="0.25">
      <c r="A275" s="14" t="s">
        <v>28</v>
      </c>
      <c r="B275" s="14">
        <v>2020</v>
      </c>
      <c r="C275" s="14" t="s">
        <v>39</v>
      </c>
      <c r="D275" s="13">
        <f>SUM('Working sheet'!$D275:$P275)</f>
        <v>1987.3999999999999</v>
      </c>
      <c r="E275" s="14">
        <f>SUM('Working sheet'!$Q275)</f>
        <v>182.9</v>
      </c>
      <c r="F275" s="14">
        <f>SUM('Working sheet'!$R275:$T275)</f>
        <v>459.9</v>
      </c>
      <c r="G275" s="14">
        <f>SUM('Working sheet'!$U275)</f>
        <v>156.4</v>
      </c>
      <c r="H275" s="14">
        <f>SUM('Working sheet'!$V275)</f>
        <v>146.4</v>
      </c>
      <c r="I275" s="14">
        <f>SUM('Working sheet'!$W275:$AC275)</f>
        <v>1080.3</v>
      </c>
      <c r="J275" s="26">
        <v>155.4</v>
      </c>
    </row>
    <row r="276" spans="1:10" x14ac:dyDescent="0.25">
      <c r="A276" s="17" t="s">
        <v>30</v>
      </c>
      <c r="B276" s="17">
        <v>2020</v>
      </c>
      <c r="C276" s="17" t="s">
        <v>39</v>
      </c>
      <c r="D276" s="16">
        <f>SUM('Working sheet'!$D276:$P276)</f>
        <v>2041.6000000000001</v>
      </c>
      <c r="E276" s="17">
        <f>SUM('Working sheet'!$Q276)</f>
        <v>188.7</v>
      </c>
      <c r="F276" s="17">
        <f>SUM('Working sheet'!$R276:$T276)</f>
        <v>434.6</v>
      </c>
      <c r="G276" s="17">
        <f>SUM('Working sheet'!$U276)</f>
        <v>156.30000000000001</v>
      </c>
      <c r="H276" s="17">
        <f>SUM('Working sheet'!$V276)</f>
        <v>137.19999999999999</v>
      </c>
      <c r="I276" s="17">
        <f>SUM('Working sheet'!$W276:$AC276)</f>
        <v>1033</v>
      </c>
      <c r="J276" s="25">
        <v>154</v>
      </c>
    </row>
    <row r="277" spans="1:10" x14ac:dyDescent="0.25">
      <c r="A277" s="14" t="s">
        <v>31</v>
      </c>
      <c r="B277" s="14">
        <v>2020</v>
      </c>
      <c r="C277" s="14" t="s">
        <v>39</v>
      </c>
      <c r="D277" s="13">
        <f>SUM('Working sheet'!$D277:$P277)</f>
        <v>2007</v>
      </c>
      <c r="E277" s="14">
        <f>SUM('Working sheet'!$Q277)</f>
        <v>184.4</v>
      </c>
      <c r="F277" s="14">
        <f>SUM('Working sheet'!$R277:$T277)</f>
        <v>449.70000000000005</v>
      </c>
      <c r="G277" s="14">
        <f>SUM('Working sheet'!$U277)</f>
        <v>156.30000000000001</v>
      </c>
      <c r="H277" s="14">
        <f>SUM('Working sheet'!$V277)</f>
        <v>142.9</v>
      </c>
      <c r="I277" s="14">
        <f>SUM('Working sheet'!$W277:$AC277)</f>
        <v>1056.4000000000001</v>
      </c>
      <c r="J277" s="26">
        <v>154.69999999999999</v>
      </c>
    </row>
    <row r="278" spans="1:10" x14ac:dyDescent="0.25">
      <c r="A278" s="17" t="s">
        <v>28</v>
      </c>
      <c r="B278" s="17">
        <v>2020</v>
      </c>
      <c r="C278" s="17" t="s">
        <v>40</v>
      </c>
      <c r="D278" s="16">
        <f>SUM('Working sheet'!$D278:$P278)</f>
        <v>2030.9</v>
      </c>
      <c r="E278" s="17">
        <f>SUM('Working sheet'!$Q278)</f>
        <v>182.7</v>
      </c>
      <c r="F278" s="17">
        <f>SUM('Working sheet'!$R278:$T278)</f>
        <v>461.29999999999995</v>
      </c>
      <c r="G278" s="17">
        <f>SUM('Working sheet'!$U278)</f>
        <v>157.30000000000001</v>
      </c>
      <c r="H278" s="17">
        <f>SUM('Working sheet'!$V278)</f>
        <v>146.80000000000001</v>
      </c>
      <c r="I278" s="17">
        <f>SUM('Working sheet'!$W278:$AC278)</f>
        <v>1083.3</v>
      </c>
      <c r="J278" s="25">
        <v>157.5</v>
      </c>
    </row>
    <row r="279" spans="1:10" x14ac:dyDescent="0.25">
      <c r="A279" s="14" t="s">
        <v>30</v>
      </c>
      <c r="B279" s="14">
        <v>2020</v>
      </c>
      <c r="C279" s="14" t="s">
        <v>40</v>
      </c>
      <c r="D279" s="13">
        <f>SUM('Working sheet'!$D279:$P279)</f>
        <v>2080.1999999999998</v>
      </c>
      <c r="E279" s="14">
        <f>SUM('Working sheet'!$Q279)</f>
        <v>188.7</v>
      </c>
      <c r="F279" s="14">
        <f>SUM('Working sheet'!$R279:$T279)</f>
        <v>434.90000000000003</v>
      </c>
      <c r="G279" s="14">
        <f>SUM('Working sheet'!$U279)</f>
        <v>156.5</v>
      </c>
      <c r="H279" s="14">
        <f>SUM('Working sheet'!$V279)</f>
        <v>137.1</v>
      </c>
      <c r="I279" s="14">
        <f>SUM('Working sheet'!$W279:$AC279)</f>
        <v>1033.5</v>
      </c>
      <c r="J279" s="26">
        <v>155.19999999999999</v>
      </c>
    </row>
    <row r="280" spans="1:10" x14ac:dyDescent="0.25">
      <c r="A280" s="17" t="s">
        <v>31</v>
      </c>
      <c r="B280" s="17">
        <v>2020</v>
      </c>
      <c r="C280" s="17" t="s">
        <v>40</v>
      </c>
      <c r="D280" s="16">
        <f>SUM('Working sheet'!$D280:$P280)</f>
        <v>2048.6000000000004</v>
      </c>
      <c r="E280" s="17">
        <f>SUM('Working sheet'!$Q280)</f>
        <v>184.3</v>
      </c>
      <c r="F280" s="17">
        <f>SUM('Working sheet'!$R280:$T280)</f>
        <v>450.59999999999997</v>
      </c>
      <c r="G280" s="17">
        <f>SUM('Working sheet'!$U280)</f>
        <v>156.5</v>
      </c>
      <c r="H280" s="17">
        <f>SUM('Working sheet'!$V280)</f>
        <v>143.1</v>
      </c>
      <c r="I280" s="17">
        <f>SUM('Working sheet'!$W280:$AC280)</f>
        <v>1058</v>
      </c>
      <c r="J280" s="25">
        <v>156.4</v>
      </c>
    </row>
    <row r="281" spans="1:10" x14ac:dyDescent="0.25">
      <c r="A281" s="14" t="s">
        <v>28</v>
      </c>
      <c r="B281" s="14">
        <v>2020</v>
      </c>
      <c r="C281" s="14" t="s">
        <v>42</v>
      </c>
      <c r="D281" s="13">
        <f>SUM('Working sheet'!$D281:$P281)</f>
        <v>2082.4</v>
      </c>
      <c r="E281" s="14">
        <f>SUM('Working sheet'!$Q281)</f>
        <v>183.4</v>
      </c>
      <c r="F281" s="14">
        <f>SUM('Working sheet'!$R281:$T281)</f>
        <v>462.8</v>
      </c>
      <c r="G281" s="14">
        <f>SUM('Working sheet'!$U281)</f>
        <v>158.19999999999999</v>
      </c>
      <c r="H281" s="14">
        <f>SUM('Working sheet'!$V281)</f>
        <v>147.5</v>
      </c>
      <c r="I281" s="14">
        <f>SUM('Working sheet'!$W281:$AC281)</f>
        <v>1085.2</v>
      </c>
      <c r="J281" s="26">
        <v>159.80000000000001</v>
      </c>
    </row>
    <row r="282" spans="1:10" x14ac:dyDescent="0.25">
      <c r="A282" s="17" t="s">
        <v>30</v>
      </c>
      <c r="B282" s="17">
        <v>2020</v>
      </c>
      <c r="C282" s="17" t="s">
        <v>42</v>
      </c>
      <c r="D282" s="16">
        <f>SUM('Working sheet'!$D282:$P282)</f>
        <v>2120.6999999999998</v>
      </c>
      <c r="E282" s="17">
        <f>SUM('Working sheet'!$Q282)</f>
        <v>188.8</v>
      </c>
      <c r="F282" s="17">
        <f>SUM('Working sheet'!$R282:$T282)</f>
        <v>436.3</v>
      </c>
      <c r="G282" s="17">
        <f>SUM('Working sheet'!$U282)</f>
        <v>158</v>
      </c>
      <c r="H282" s="17">
        <f>SUM('Working sheet'!$V282)</f>
        <v>137.30000000000001</v>
      </c>
      <c r="I282" s="17">
        <f>SUM('Working sheet'!$W282:$AC282)</f>
        <v>1037.5999999999999</v>
      </c>
      <c r="J282" s="25">
        <v>156.69999999999999</v>
      </c>
    </row>
    <row r="283" spans="1:10" x14ac:dyDescent="0.25">
      <c r="A283" s="14" t="s">
        <v>31</v>
      </c>
      <c r="B283" s="14">
        <v>2020</v>
      </c>
      <c r="C283" s="14" t="s">
        <v>42</v>
      </c>
      <c r="D283" s="13">
        <f>SUM('Working sheet'!$D283:$P283)</f>
        <v>2095.6</v>
      </c>
      <c r="E283" s="14">
        <f>SUM('Working sheet'!$Q283)</f>
        <v>184.8</v>
      </c>
      <c r="F283" s="14">
        <f>SUM('Working sheet'!$R283:$T283)</f>
        <v>452.00000000000006</v>
      </c>
      <c r="G283" s="14">
        <f>SUM('Working sheet'!$U283)</f>
        <v>158</v>
      </c>
      <c r="H283" s="14">
        <f>SUM('Working sheet'!$V283)</f>
        <v>143.6</v>
      </c>
      <c r="I283" s="14">
        <f>SUM('Working sheet'!$W283:$AC283)</f>
        <v>1061.3999999999999</v>
      </c>
      <c r="J283" s="26">
        <v>158.4</v>
      </c>
    </row>
    <row r="284" spans="1:10" x14ac:dyDescent="0.25">
      <c r="A284" s="17" t="s">
        <v>28</v>
      </c>
      <c r="B284" s="17">
        <v>2020</v>
      </c>
      <c r="C284" s="17" t="s">
        <v>43</v>
      </c>
      <c r="D284" s="16">
        <f>SUM('Working sheet'!$D284:$P284)</f>
        <v>2100.5</v>
      </c>
      <c r="E284" s="17">
        <f>SUM('Working sheet'!$Q284)</f>
        <v>183.6</v>
      </c>
      <c r="F284" s="17">
        <f>SUM('Working sheet'!$R284:$T284)</f>
        <v>464.90000000000003</v>
      </c>
      <c r="G284" s="17">
        <f>SUM('Working sheet'!$U284)</f>
        <v>158.1</v>
      </c>
      <c r="H284" s="17">
        <f>SUM('Working sheet'!$V284)</f>
        <v>148.69999999999999</v>
      </c>
      <c r="I284" s="17">
        <f>SUM('Working sheet'!$W284:$AC284)</f>
        <v>1090</v>
      </c>
      <c r="J284" s="25">
        <v>160.69999999999999</v>
      </c>
    </row>
    <row r="285" spans="1:10" x14ac:dyDescent="0.25">
      <c r="A285" s="14" t="s">
        <v>30</v>
      </c>
      <c r="B285" s="14">
        <v>2020</v>
      </c>
      <c r="C285" s="14" t="s">
        <v>43</v>
      </c>
      <c r="D285" s="13">
        <f>SUM('Working sheet'!$D285:$P285)</f>
        <v>2125.4</v>
      </c>
      <c r="E285" s="14">
        <f>SUM('Working sheet'!$Q285)</f>
        <v>190.2</v>
      </c>
      <c r="F285" s="14">
        <f>SUM('Working sheet'!$R285:$T285)</f>
        <v>438.20000000000005</v>
      </c>
      <c r="G285" s="14">
        <f>SUM('Working sheet'!$U285)</f>
        <v>158.4</v>
      </c>
      <c r="H285" s="14">
        <f>SUM('Working sheet'!$V285)</f>
        <v>137.9</v>
      </c>
      <c r="I285" s="14">
        <f>SUM('Working sheet'!$W285:$AC285)</f>
        <v>1039.9000000000001</v>
      </c>
      <c r="J285" s="26">
        <v>156.9</v>
      </c>
    </row>
    <row r="286" spans="1:10" x14ac:dyDescent="0.25">
      <c r="A286" s="17" t="s">
        <v>31</v>
      </c>
      <c r="B286" s="17">
        <v>2020</v>
      </c>
      <c r="C286" s="17" t="s">
        <v>43</v>
      </c>
      <c r="D286" s="16">
        <f>SUM('Working sheet'!$D286:$P286)</f>
        <v>2109.1</v>
      </c>
      <c r="E286" s="17">
        <f>SUM('Working sheet'!$Q286)</f>
        <v>185.4</v>
      </c>
      <c r="F286" s="17">
        <f>SUM('Working sheet'!$R286:$T286)</f>
        <v>454</v>
      </c>
      <c r="G286" s="17">
        <f>SUM('Working sheet'!$U286)</f>
        <v>158.4</v>
      </c>
      <c r="H286" s="17">
        <f>SUM('Working sheet'!$V286)</f>
        <v>144.6</v>
      </c>
      <c r="I286" s="17">
        <f>SUM('Working sheet'!$W286:$AC286)</f>
        <v>1064.9000000000001</v>
      </c>
      <c r="J286" s="25">
        <v>158.9</v>
      </c>
    </row>
    <row r="287" spans="1:10" x14ac:dyDescent="0.25">
      <c r="A287" s="14" t="s">
        <v>28</v>
      </c>
      <c r="B287" s="14">
        <v>2021</v>
      </c>
      <c r="C287" s="14" t="s">
        <v>29</v>
      </c>
      <c r="D287" s="13">
        <f>SUM('Working sheet'!$D287:$P287)</f>
        <v>2065.6999999999998</v>
      </c>
      <c r="E287" s="14">
        <f>SUM('Working sheet'!$Q287)</f>
        <v>184.6</v>
      </c>
      <c r="F287" s="14">
        <f>SUM('Working sheet'!$R287:$T287)</f>
        <v>466.7</v>
      </c>
      <c r="G287" s="14">
        <f>SUM('Working sheet'!$U287)</f>
        <v>158.80000000000001</v>
      </c>
      <c r="H287" s="14">
        <f>SUM('Working sheet'!$V287)</f>
        <v>150.9</v>
      </c>
      <c r="I287" s="14">
        <f>SUM('Working sheet'!$W287:$AC287)</f>
        <v>1094.6000000000001</v>
      </c>
      <c r="J287" s="26">
        <v>158.5</v>
      </c>
    </row>
    <row r="288" spans="1:10" x14ac:dyDescent="0.25">
      <c r="A288" s="17" t="s">
        <v>30</v>
      </c>
      <c r="B288" s="17">
        <v>2021</v>
      </c>
      <c r="C288" s="17" t="s">
        <v>29</v>
      </c>
      <c r="D288" s="16">
        <f>SUM('Working sheet'!$D288:$P288)</f>
        <v>2097</v>
      </c>
      <c r="E288" s="17">
        <f>SUM('Working sheet'!$Q288)</f>
        <v>191.8</v>
      </c>
      <c r="F288" s="17">
        <f>SUM('Working sheet'!$R288:$T288)</f>
        <v>440</v>
      </c>
      <c r="G288" s="17">
        <f>SUM('Working sheet'!$U288)</f>
        <v>157.69999999999999</v>
      </c>
      <c r="H288" s="17">
        <f>SUM('Working sheet'!$V288)</f>
        <v>142.9</v>
      </c>
      <c r="I288" s="17">
        <f>SUM('Working sheet'!$W288:$AC288)</f>
        <v>1043.4999999999998</v>
      </c>
      <c r="J288" s="25">
        <v>156</v>
      </c>
    </row>
    <row r="289" spans="1:10" x14ac:dyDescent="0.25">
      <c r="A289" s="14" t="s">
        <v>31</v>
      </c>
      <c r="B289" s="14">
        <v>2021</v>
      </c>
      <c r="C289" s="14" t="s">
        <v>29</v>
      </c>
      <c r="D289" s="13">
        <f>SUM('Working sheet'!$D289:$P289)</f>
        <v>2076.5</v>
      </c>
      <c r="E289" s="14">
        <f>SUM('Working sheet'!$Q289)</f>
        <v>186.5</v>
      </c>
      <c r="F289" s="14">
        <f>SUM('Working sheet'!$R289:$T289)</f>
        <v>455.8</v>
      </c>
      <c r="G289" s="14">
        <f>SUM('Working sheet'!$U289)</f>
        <v>157.69999999999999</v>
      </c>
      <c r="H289" s="14">
        <f>SUM('Working sheet'!$V289)</f>
        <v>147.9</v>
      </c>
      <c r="I289" s="14">
        <f>SUM('Working sheet'!$W289:$AC289)</f>
        <v>1068.7</v>
      </c>
      <c r="J289" s="26">
        <v>157.30000000000001</v>
      </c>
    </row>
    <row r="290" spans="1:10" x14ac:dyDescent="0.25">
      <c r="A290" s="17" t="s">
        <v>28</v>
      </c>
      <c r="B290" s="17">
        <v>2021</v>
      </c>
      <c r="C290" s="17" t="s">
        <v>32</v>
      </c>
      <c r="D290" s="16">
        <f>SUM('Working sheet'!$D290:$P290)</f>
        <v>2025.3</v>
      </c>
      <c r="E290" s="17">
        <f>SUM('Working sheet'!$Q290)</f>
        <v>186.5</v>
      </c>
      <c r="F290" s="17">
        <f>SUM('Working sheet'!$R290:$T290)</f>
        <v>471.4</v>
      </c>
      <c r="G290" s="17">
        <f>SUM('Working sheet'!$U290)</f>
        <v>159.9</v>
      </c>
      <c r="H290" s="17">
        <f>SUM('Working sheet'!$V290)</f>
        <v>154.4</v>
      </c>
      <c r="I290" s="17">
        <f>SUM('Working sheet'!$W290:$AC290)</f>
        <v>1102.3</v>
      </c>
      <c r="J290" s="25">
        <v>156.69999999999999</v>
      </c>
    </row>
    <row r="291" spans="1:10" x14ac:dyDescent="0.25">
      <c r="A291" s="14" t="s">
        <v>30</v>
      </c>
      <c r="B291" s="14">
        <v>2021</v>
      </c>
      <c r="C291" s="14" t="s">
        <v>32</v>
      </c>
      <c r="D291" s="13">
        <f>SUM('Working sheet'!$D291:$P291)</f>
        <v>2066</v>
      </c>
      <c r="E291" s="14">
        <f>SUM('Working sheet'!$Q291)</f>
        <v>193.3</v>
      </c>
      <c r="F291" s="14">
        <f>SUM('Working sheet'!$R291:$T291)</f>
        <v>444.2</v>
      </c>
      <c r="G291" s="14">
        <f>SUM('Working sheet'!$U291)</f>
        <v>159.80000000000001</v>
      </c>
      <c r="H291" s="14">
        <f>SUM('Working sheet'!$V291)</f>
        <v>149.1</v>
      </c>
      <c r="I291" s="14">
        <f>SUM('Working sheet'!$W291:$AC291)</f>
        <v>1053.2</v>
      </c>
      <c r="J291" s="26">
        <v>156.5</v>
      </c>
    </row>
    <row r="292" spans="1:10" x14ac:dyDescent="0.25">
      <c r="A292" s="17" t="s">
        <v>31</v>
      </c>
      <c r="B292" s="17">
        <v>2021</v>
      </c>
      <c r="C292" s="17" t="s">
        <v>32</v>
      </c>
      <c r="D292" s="16">
        <f>SUM('Working sheet'!$D292:$P292)</f>
        <v>2039.3000000000002</v>
      </c>
      <c r="E292" s="17">
        <f>SUM('Working sheet'!$Q292)</f>
        <v>188.3</v>
      </c>
      <c r="F292" s="17">
        <f>SUM('Working sheet'!$R292:$T292)</f>
        <v>460.40000000000003</v>
      </c>
      <c r="G292" s="17">
        <f>SUM('Working sheet'!$U292)</f>
        <v>159.80000000000001</v>
      </c>
      <c r="H292" s="17">
        <f>SUM('Working sheet'!$V292)</f>
        <v>152.4</v>
      </c>
      <c r="I292" s="17">
        <f>SUM('Working sheet'!$W292:$AC292)</f>
        <v>1077.5000000000002</v>
      </c>
      <c r="J292" s="25">
        <v>156.6</v>
      </c>
    </row>
    <row r="293" spans="1:10" x14ac:dyDescent="0.25">
      <c r="A293" s="14" t="s">
        <v>28</v>
      </c>
      <c r="B293" s="14">
        <v>2021</v>
      </c>
      <c r="C293" s="14" t="s">
        <v>33</v>
      </c>
      <c r="D293" s="13">
        <f>SUM('Working sheet'!$D293:$P293)</f>
        <v>2025.7</v>
      </c>
      <c r="E293" s="14">
        <f>SUM('Working sheet'!$Q293)</f>
        <v>186.1</v>
      </c>
      <c r="F293" s="14">
        <f>SUM('Working sheet'!$R293:$T293)</f>
        <v>472.9</v>
      </c>
      <c r="G293" s="14">
        <f>SUM('Working sheet'!$U293)</f>
        <v>0</v>
      </c>
      <c r="H293" s="14">
        <f>SUM('Working sheet'!$V293)</f>
        <v>156</v>
      </c>
      <c r="I293" s="14">
        <f>SUM('Working sheet'!$W293:$AC293)</f>
        <v>1102.7</v>
      </c>
      <c r="J293" s="26">
        <v>156.69999999999999</v>
      </c>
    </row>
    <row r="294" spans="1:10" x14ac:dyDescent="0.25">
      <c r="A294" s="17" t="s">
        <v>30</v>
      </c>
      <c r="B294" s="17">
        <v>2021</v>
      </c>
      <c r="C294" s="17" t="s">
        <v>33</v>
      </c>
      <c r="D294" s="16">
        <f>SUM('Working sheet'!$D294:$P294)</f>
        <v>2064.4999999999995</v>
      </c>
      <c r="E294" s="17">
        <f>SUM('Working sheet'!$Q294)</f>
        <v>193.5</v>
      </c>
      <c r="F294" s="17">
        <f>SUM('Working sheet'!$R294:$T294)</f>
        <v>446.4</v>
      </c>
      <c r="G294" s="17">
        <f>SUM('Working sheet'!$U294)</f>
        <v>159.9</v>
      </c>
      <c r="H294" s="17">
        <f>SUM('Working sheet'!$V294)</f>
        <v>154.80000000000001</v>
      </c>
      <c r="I294" s="17">
        <f>SUM('Working sheet'!$W294:$AC294)</f>
        <v>1056.9000000000001</v>
      </c>
      <c r="J294" s="25">
        <v>156.9</v>
      </c>
    </row>
    <row r="295" spans="1:10" x14ac:dyDescent="0.25">
      <c r="A295" s="14" t="s">
        <v>31</v>
      </c>
      <c r="B295" s="14">
        <v>2021</v>
      </c>
      <c r="C295" s="14" t="s">
        <v>33</v>
      </c>
      <c r="D295" s="13">
        <f>SUM('Working sheet'!$D295:$P295)</f>
        <v>2039.3999999999999</v>
      </c>
      <c r="E295" s="14">
        <f>SUM('Working sheet'!$Q295)</f>
        <v>188.1</v>
      </c>
      <c r="F295" s="14">
        <f>SUM('Working sheet'!$R295:$T295)</f>
        <v>462.1</v>
      </c>
      <c r="G295" s="14">
        <f>SUM('Working sheet'!$U295)</f>
        <v>159.9</v>
      </c>
      <c r="H295" s="14">
        <f>SUM('Working sheet'!$V295)</f>
        <v>155.5</v>
      </c>
      <c r="I295" s="14">
        <f>SUM('Working sheet'!$W295:$AC295)</f>
        <v>1079.4999999999998</v>
      </c>
      <c r="J295" s="26">
        <v>156.80000000000001</v>
      </c>
    </row>
    <row r="296" spans="1:10" x14ac:dyDescent="0.25">
      <c r="A296" s="17" t="s">
        <v>28</v>
      </c>
      <c r="B296" s="17">
        <v>2021</v>
      </c>
      <c r="C296" s="17" t="s">
        <v>34</v>
      </c>
      <c r="D296" s="16">
        <f>SUM('Working sheet'!$D296:$P296)</f>
        <v>2049.5</v>
      </c>
      <c r="E296" s="17">
        <f>SUM('Working sheet'!$Q296)</f>
        <v>186.8</v>
      </c>
      <c r="F296" s="17">
        <f>SUM('Working sheet'!$R296:$T296)</f>
        <v>475.69999999999993</v>
      </c>
      <c r="G296" s="17">
        <f>SUM('Working sheet'!$U296)</f>
        <v>0</v>
      </c>
      <c r="H296" s="17">
        <f>SUM('Working sheet'!$V296)</f>
        <v>156</v>
      </c>
      <c r="I296" s="17">
        <f>SUM('Working sheet'!$W296:$AC296)</f>
        <v>1107.8000000000002</v>
      </c>
      <c r="J296" s="25">
        <v>157.6</v>
      </c>
    </row>
    <row r="297" spans="1:10" x14ac:dyDescent="0.25">
      <c r="A297" s="14" t="s">
        <v>30</v>
      </c>
      <c r="B297" s="14">
        <v>2021</v>
      </c>
      <c r="C297" s="14" t="s">
        <v>34</v>
      </c>
      <c r="D297" s="13">
        <f>SUM('Working sheet'!$D297:$P297)</f>
        <v>2089.6</v>
      </c>
      <c r="E297" s="14">
        <f>SUM('Working sheet'!$Q297)</f>
        <v>194.4</v>
      </c>
      <c r="F297" s="14">
        <f>SUM('Working sheet'!$R297:$T297)</f>
        <v>448.6</v>
      </c>
      <c r="G297" s="14">
        <f>SUM('Working sheet'!$U297)</f>
        <v>161.4</v>
      </c>
      <c r="H297" s="14">
        <f>SUM('Working sheet'!$V297)</f>
        <v>154.9</v>
      </c>
      <c r="I297" s="14">
        <f>SUM('Working sheet'!$W297:$AC297)</f>
        <v>1061</v>
      </c>
      <c r="J297" s="26">
        <v>158</v>
      </c>
    </row>
    <row r="298" spans="1:10" x14ac:dyDescent="0.25">
      <c r="A298" s="17" t="s">
        <v>31</v>
      </c>
      <c r="B298" s="17">
        <v>2021</v>
      </c>
      <c r="C298" s="17" t="s">
        <v>34</v>
      </c>
      <c r="D298" s="16">
        <f>SUM('Working sheet'!$D298:$P298)</f>
        <v>2064.1</v>
      </c>
      <c r="E298" s="17">
        <f>SUM('Working sheet'!$Q298)</f>
        <v>188.8</v>
      </c>
      <c r="F298" s="17">
        <f>SUM('Working sheet'!$R298:$T298)</f>
        <v>464.6</v>
      </c>
      <c r="G298" s="17">
        <f>SUM('Working sheet'!$U298)</f>
        <v>161.4</v>
      </c>
      <c r="H298" s="17">
        <f>SUM('Working sheet'!$V298)</f>
        <v>155.6</v>
      </c>
      <c r="I298" s="17">
        <f>SUM('Working sheet'!$W298:$AC298)</f>
        <v>1084</v>
      </c>
      <c r="J298" s="25">
        <v>157.80000000000001</v>
      </c>
    </row>
    <row r="299" spans="1:10" x14ac:dyDescent="0.25">
      <c r="A299" s="14" t="s">
        <v>28</v>
      </c>
      <c r="B299" s="14">
        <v>2021</v>
      </c>
      <c r="C299" s="14" t="s">
        <v>35</v>
      </c>
      <c r="D299" s="13">
        <f>SUM('Working sheet'!$D299:$P299)</f>
        <v>2095.2999999999997</v>
      </c>
      <c r="E299" s="14">
        <f>SUM('Working sheet'!$Q299)</f>
        <v>189.6</v>
      </c>
      <c r="F299" s="14">
        <f>SUM('Working sheet'!$R299:$T299)</f>
        <v>490.4</v>
      </c>
      <c r="G299" s="14">
        <f>SUM('Working sheet'!$U299)</f>
        <v>161.1</v>
      </c>
      <c r="H299" s="14">
        <f>SUM('Working sheet'!$V299)</f>
        <v>161.69999999999999</v>
      </c>
      <c r="I299" s="14">
        <f>SUM('Working sheet'!$W299:$AC299)</f>
        <v>1129.0999999999999</v>
      </c>
      <c r="J299" s="26">
        <v>161.1</v>
      </c>
    </row>
    <row r="300" spans="1:10" x14ac:dyDescent="0.25">
      <c r="A300" s="17" t="s">
        <v>30</v>
      </c>
      <c r="B300" s="17">
        <v>2021</v>
      </c>
      <c r="C300" s="17" t="s">
        <v>35</v>
      </c>
      <c r="D300" s="16">
        <f>SUM('Working sheet'!$D300:$P300)</f>
        <v>2124.7000000000003</v>
      </c>
      <c r="E300" s="17">
        <f>SUM('Working sheet'!$Q300)</f>
        <v>198.2</v>
      </c>
      <c r="F300" s="17">
        <f>SUM('Working sheet'!$R300:$T300)</f>
        <v>450.79999999999995</v>
      </c>
      <c r="G300" s="17">
        <f>SUM('Working sheet'!$U300)</f>
        <v>161.6</v>
      </c>
      <c r="H300" s="17">
        <f>SUM('Working sheet'!$V300)</f>
        <v>155.5</v>
      </c>
      <c r="I300" s="17">
        <f>SUM('Working sheet'!$W300:$AC300)</f>
        <v>1074.5</v>
      </c>
      <c r="J300" s="25">
        <v>159.5</v>
      </c>
    </row>
    <row r="301" spans="1:10" x14ac:dyDescent="0.25">
      <c r="A301" s="14" t="s">
        <v>31</v>
      </c>
      <c r="B301" s="14">
        <v>2021</v>
      </c>
      <c r="C301" s="14" t="s">
        <v>35</v>
      </c>
      <c r="D301" s="13">
        <f>SUM('Working sheet'!$D301:$P301)</f>
        <v>2105.7000000000003</v>
      </c>
      <c r="E301" s="14">
        <f>SUM('Working sheet'!$Q301)</f>
        <v>191.9</v>
      </c>
      <c r="F301" s="14">
        <f>SUM('Working sheet'!$R301:$T301)</f>
        <v>474.29999999999995</v>
      </c>
      <c r="G301" s="14">
        <f>SUM('Working sheet'!$U301)</f>
        <v>161.6</v>
      </c>
      <c r="H301" s="14">
        <f>SUM('Working sheet'!$V301)</f>
        <v>159.4</v>
      </c>
      <c r="I301" s="14">
        <f>SUM('Working sheet'!$W301:$AC301)</f>
        <v>1101.8000000000002</v>
      </c>
      <c r="J301" s="26">
        <v>160.4</v>
      </c>
    </row>
    <row r="302" spans="1:10" x14ac:dyDescent="0.25">
      <c r="A302" s="17" t="s">
        <v>28</v>
      </c>
      <c r="B302" s="17">
        <v>2021</v>
      </c>
      <c r="C302" s="17" t="s">
        <v>36</v>
      </c>
      <c r="D302" s="16">
        <f>SUM('Working sheet'!$D302:$P302)</f>
        <v>2122.6</v>
      </c>
      <c r="E302" s="17">
        <f>SUM('Working sheet'!$Q302)</f>
        <v>189.1</v>
      </c>
      <c r="F302" s="17">
        <f>SUM('Working sheet'!$R302:$T302)</f>
        <v>489.80000000000007</v>
      </c>
      <c r="G302" s="17">
        <f>SUM('Working sheet'!$U302)</f>
        <v>161</v>
      </c>
      <c r="H302" s="17">
        <f>SUM('Working sheet'!$V302)</f>
        <v>162.1</v>
      </c>
      <c r="I302" s="17">
        <f>SUM('Working sheet'!$W302:$AC302)</f>
        <v>1131.1999999999998</v>
      </c>
      <c r="J302" s="25">
        <v>162.1</v>
      </c>
    </row>
    <row r="303" spans="1:10" x14ac:dyDescent="0.25">
      <c r="A303" s="14" t="s">
        <v>30</v>
      </c>
      <c r="B303" s="14">
        <v>2021</v>
      </c>
      <c r="C303" s="14" t="s">
        <v>36</v>
      </c>
      <c r="D303" s="13">
        <f>SUM('Working sheet'!$D303:$P303)</f>
        <v>2154.1999999999998</v>
      </c>
      <c r="E303" s="14">
        <f>SUM('Working sheet'!$Q303)</f>
        <v>195.6</v>
      </c>
      <c r="F303" s="14">
        <f>SUM('Working sheet'!$R303:$T303)</f>
        <v>452.6</v>
      </c>
      <c r="G303" s="14">
        <f>SUM('Working sheet'!$U303)</f>
        <v>160.5</v>
      </c>
      <c r="H303" s="14">
        <f>SUM('Working sheet'!$V303)</f>
        <v>156.1</v>
      </c>
      <c r="I303" s="14">
        <f>SUM('Working sheet'!$W303:$AC303)</f>
        <v>1078.3</v>
      </c>
      <c r="J303" s="26">
        <v>160.4</v>
      </c>
    </row>
    <row r="304" spans="1:10" x14ac:dyDescent="0.25">
      <c r="A304" s="17" t="s">
        <v>31</v>
      </c>
      <c r="B304" s="17">
        <v>2021</v>
      </c>
      <c r="C304" s="17" t="s">
        <v>36</v>
      </c>
      <c r="D304" s="16">
        <f>SUM('Working sheet'!$D304:$P304)</f>
        <v>2133.9</v>
      </c>
      <c r="E304" s="17">
        <f>SUM('Working sheet'!$Q304)</f>
        <v>190.8</v>
      </c>
      <c r="F304" s="17">
        <f>SUM('Working sheet'!$R304:$T304)</f>
        <v>474.7</v>
      </c>
      <c r="G304" s="17">
        <f>SUM('Working sheet'!$U304)</f>
        <v>160.5</v>
      </c>
      <c r="H304" s="17">
        <f>SUM('Working sheet'!$V304)</f>
        <v>159.80000000000001</v>
      </c>
      <c r="I304" s="17">
        <f>SUM('Working sheet'!$W304:$AC304)</f>
        <v>1104.8</v>
      </c>
      <c r="J304" s="25">
        <v>161.30000000000001</v>
      </c>
    </row>
    <row r="305" spans="1:10" x14ac:dyDescent="0.25">
      <c r="A305" s="14" t="s">
        <v>28</v>
      </c>
      <c r="B305" s="14">
        <v>2021</v>
      </c>
      <c r="C305" s="14" t="s">
        <v>37</v>
      </c>
      <c r="D305" s="13">
        <f>SUM('Working sheet'!$D305:$P305)</f>
        <v>2132.4</v>
      </c>
      <c r="E305" s="14">
        <f>SUM('Working sheet'!$Q305)</f>
        <v>189.7</v>
      </c>
      <c r="F305" s="14">
        <f>SUM('Working sheet'!$R305:$T305)</f>
        <v>492.40000000000003</v>
      </c>
      <c r="G305" s="14">
        <f>SUM('Working sheet'!$U305)</f>
        <v>161.80000000000001</v>
      </c>
      <c r="H305" s="14">
        <f>SUM('Working sheet'!$V305)</f>
        <v>162.5</v>
      </c>
      <c r="I305" s="14">
        <f>SUM('Working sheet'!$W305:$AC305)</f>
        <v>1138.9000000000001</v>
      </c>
      <c r="J305" s="26">
        <v>163.19999999999999</v>
      </c>
    </row>
    <row r="306" spans="1:10" x14ac:dyDescent="0.25">
      <c r="A306" s="17" t="s">
        <v>30</v>
      </c>
      <c r="B306" s="17">
        <v>2021</v>
      </c>
      <c r="C306" s="17" t="s">
        <v>37</v>
      </c>
      <c r="D306" s="16">
        <f>SUM('Working sheet'!$D306:$P306)</f>
        <v>2171.8000000000002</v>
      </c>
      <c r="E306" s="17">
        <f>SUM('Working sheet'!$Q306)</f>
        <v>195.5</v>
      </c>
      <c r="F306" s="17">
        <f>SUM('Working sheet'!$R306:$T306)</f>
        <v>455.3</v>
      </c>
      <c r="G306" s="17">
        <f>SUM('Working sheet'!$U306)</f>
        <v>161.5</v>
      </c>
      <c r="H306" s="17">
        <f>SUM('Working sheet'!$V306)</f>
        <v>157.69999999999999</v>
      </c>
      <c r="I306" s="17">
        <f>SUM('Working sheet'!$W306:$AC306)</f>
        <v>1087.8000000000002</v>
      </c>
      <c r="J306" s="25">
        <v>161.80000000000001</v>
      </c>
    </row>
    <row r="307" spans="1:10" x14ac:dyDescent="0.25">
      <c r="A307" s="14" t="s">
        <v>31</v>
      </c>
      <c r="B307" s="14">
        <v>2021</v>
      </c>
      <c r="C307" s="14" t="s">
        <v>37</v>
      </c>
      <c r="D307" s="13">
        <f>SUM('Working sheet'!$D307:$P307)</f>
        <v>2147</v>
      </c>
      <c r="E307" s="14">
        <f>SUM('Working sheet'!$Q307)</f>
        <v>191.2</v>
      </c>
      <c r="F307" s="14">
        <f>SUM('Working sheet'!$R307:$T307)</f>
        <v>477.29999999999995</v>
      </c>
      <c r="G307" s="14">
        <f>SUM('Working sheet'!$U307)</f>
        <v>161.5</v>
      </c>
      <c r="H307" s="14">
        <f>SUM('Working sheet'!$V307)</f>
        <v>160.69999999999999</v>
      </c>
      <c r="I307" s="14">
        <f>SUM('Working sheet'!$W307:$AC307)</f>
        <v>1113.5</v>
      </c>
      <c r="J307" s="26">
        <v>162.5</v>
      </c>
    </row>
    <row r="308" spans="1:10" x14ac:dyDescent="0.25">
      <c r="A308" s="17" t="s">
        <v>28</v>
      </c>
      <c r="B308" s="17">
        <v>2021</v>
      </c>
      <c r="C308" s="17" t="s">
        <v>38</v>
      </c>
      <c r="D308" s="16">
        <f>SUM('Working sheet'!$D308:$P308)</f>
        <v>2130.8000000000002</v>
      </c>
      <c r="E308" s="17">
        <f>SUM('Working sheet'!$Q308)</f>
        <v>190.2</v>
      </c>
      <c r="F308" s="17">
        <f>SUM('Working sheet'!$R308:$T308)</f>
        <v>495.90000000000003</v>
      </c>
      <c r="G308" s="17">
        <f>SUM('Working sheet'!$U308)</f>
        <v>162.1</v>
      </c>
      <c r="H308" s="17">
        <f>SUM('Working sheet'!$V308)</f>
        <v>163.1</v>
      </c>
      <c r="I308" s="17">
        <f>SUM('Working sheet'!$W308:$AC308)</f>
        <v>1141.8999999999999</v>
      </c>
      <c r="J308" s="25">
        <v>163.6</v>
      </c>
    </row>
    <row r="309" spans="1:10" x14ac:dyDescent="0.25">
      <c r="A309" s="14" t="s">
        <v>30</v>
      </c>
      <c r="B309" s="14">
        <v>2021</v>
      </c>
      <c r="C309" s="14" t="s">
        <v>38</v>
      </c>
      <c r="D309" s="13">
        <f>SUM('Working sheet'!$D309:$P309)</f>
        <v>2157.9</v>
      </c>
      <c r="E309" s="14">
        <f>SUM('Working sheet'!$Q309)</f>
        <v>196.5</v>
      </c>
      <c r="F309" s="14">
        <f>SUM('Working sheet'!$R309:$T309)</f>
        <v>460.7</v>
      </c>
      <c r="G309" s="14">
        <f>SUM('Working sheet'!$U309)</f>
        <v>162.1</v>
      </c>
      <c r="H309" s="14">
        <f>SUM('Working sheet'!$V309)</f>
        <v>160.69999999999999</v>
      </c>
      <c r="I309" s="14">
        <f>SUM('Working sheet'!$W309:$AC309)</f>
        <v>1096.0999999999999</v>
      </c>
      <c r="J309" s="26">
        <v>162.30000000000001</v>
      </c>
    </row>
    <row r="310" spans="1:10" x14ac:dyDescent="0.25">
      <c r="A310" s="17" t="s">
        <v>31</v>
      </c>
      <c r="B310" s="17">
        <v>2021</v>
      </c>
      <c r="C310" s="17" t="s">
        <v>38</v>
      </c>
      <c r="D310" s="16">
        <f>SUM('Working sheet'!$D310:$P310)</f>
        <v>2142</v>
      </c>
      <c r="E310" s="17">
        <f>SUM('Working sheet'!$Q310)</f>
        <v>192.1</v>
      </c>
      <c r="F310" s="17">
        <f>SUM('Working sheet'!$R310:$T310)</f>
        <v>483</v>
      </c>
      <c r="G310" s="17">
        <f>SUM('Working sheet'!$U310)</f>
        <v>162.1</v>
      </c>
      <c r="H310" s="17">
        <f>SUM('Working sheet'!$V310)</f>
        <v>162.6</v>
      </c>
      <c r="I310" s="17">
        <f>SUM('Working sheet'!$W310:$AC310)</f>
        <v>1121.3</v>
      </c>
      <c r="J310" s="25">
        <v>163.19999999999999</v>
      </c>
    </row>
    <row r="311" spans="1:10" x14ac:dyDescent="0.25">
      <c r="A311" s="14" t="s">
        <v>28</v>
      </c>
      <c r="B311" s="14">
        <v>2021</v>
      </c>
      <c r="C311" s="14" t="s">
        <v>39</v>
      </c>
      <c r="D311" s="13">
        <f>SUM('Working sheet'!$D311:$P311)</f>
        <v>2133.6</v>
      </c>
      <c r="E311" s="14">
        <f>SUM('Working sheet'!$Q311)</f>
        <v>190.5</v>
      </c>
      <c r="F311" s="14">
        <f>SUM('Working sheet'!$R311:$T311)</f>
        <v>498.4</v>
      </c>
      <c r="G311" s="14">
        <f>SUM('Working sheet'!$U311)</f>
        <v>162.9</v>
      </c>
      <c r="H311" s="14">
        <f>SUM('Working sheet'!$V311)</f>
        <v>163.69999999999999</v>
      </c>
      <c r="I311" s="14">
        <f>SUM('Working sheet'!$W311:$AC311)</f>
        <v>1146.2</v>
      </c>
      <c r="J311" s="26">
        <v>164</v>
      </c>
    </row>
    <row r="312" spans="1:10" x14ac:dyDescent="0.25">
      <c r="A312" s="17" t="s">
        <v>30</v>
      </c>
      <c r="B312" s="17">
        <v>2021</v>
      </c>
      <c r="C312" s="17" t="s">
        <v>39</v>
      </c>
      <c r="D312" s="16">
        <f>SUM('Working sheet'!$D312:$P312)</f>
        <v>2157.9</v>
      </c>
      <c r="E312" s="17">
        <f>SUM('Working sheet'!$Q312)</f>
        <v>196.5</v>
      </c>
      <c r="F312" s="17">
        <f>SUM('Working sheet'!$R312:$T312)</f>
        <v>460.79999999999995</v>
      </c>
      <c r="G312" s="17">
        <f>SUM('Working sheet'!$U312)</f>
        <v>162.1</v>
      </c>
      <c r="H312" s="17">
        <f>SUM('Working sheet'!$V312)</f>
        <v>160.80000000000001</v>
      </c>
      <c r="I312" s="17">
        <f>SUM('Working sheet'!$W312:$AC312)</f>
        <v>1096.4000000000001</v>
      </c>
      <c r="J312" s="25">
        <v>162.30000000000001</v>
      </c>
    </row>
    <row r="313" spans="1:10" x14ac:dyDescent="0.25">
      <c r="A313" s="14" t="s">
        <v>31</v>
      </c>
      <c r="B313" s="14">
        <v>2021</v>
      </c>
      <c r="C313" s="14" t="s">
        <v>39</v>
      </c>
      <c r="D313" s="13">
        <f>SUM('Working sheet'!$D313:$P313)</f>
        <v>2142</v>
      </c>
      <c r="E313" s="14">
        <f>SUM('Working sheet'!$Q313)</f>
        <v>192.1</v>
      </c>
      <c r="F313" s="14">
        <f>SUM('Working sheet'!$R313:$T313)</f>
        <v>483.2</v>
      </c>
      <c r="G313" s="14">
        <f>SUM('Working sheet'!$U313)</f>
        <v>162.1</v>
      </c>
      <c r="H313" s="14">
        <f>SUM('Working sheet'!$V313)</f>
        <v>162.6</v>
      </c>
      <c r="I313" s="14">
        <f>SUM('Working sheet'!$W313:$AC313)</f>
        <v>1121.3</v>
      </c>
      <c r="J313" s="26">
        <v>163.19999999999999</v>
      </c>
    </row>
    <row r="314" spans="1:10" x14ac:dyDescent="0.25">
      <c r="A314" s="17" t="s">
        <v>28</v>
      </c>
      <c r="B314" s="17">
        <v>2021</v>
      </c>
      <c r="C314" s="17" t="s">
        <v>40</v>
      </c>
      <c r="D314" s="16">
        <f>SUM('Working sheet'!$D314:$P314)</f>
        <v>2164.1999999999998</v>
      </c>
      <c r="E314" s="17">
        <f>SUM('Working sheet'!$Q314)</f>
        <v>191.2</v>
      </c>
      <c r="F314" s="17">
        <f>SUM('Working sheet'!$R314:$T314)</f>
        <v>502.00000000000006</v>
      </c>
      <c r="G314" s="17">
        <f>SUM('Working sheet'!$U314)</f>
        <v>163.9</v>
      </c>
      <c r="H314" s="17">
        <f>SUM('Working sheet'!$V314)</f>
        <v>165.5</v>
      </c>
      <c r="I314" s="17">
        <f>SUM('Working sheet'!$W314:$AC314)</f>
        <v>1152</v>
      </c>
      <c r="J314" s="25">
        <v>166.3</v>
      </c>
    </row>
    <row r="315" spans="1:10" x14ac:dyDescent="0.25">
      <c r="A315" s="14" t="s">
        <v>30</v>
      </c>
      <c r="B315" s="14">
        <v>2021</v>
      </c>
      <c r="C315" s="14" t="s">
        <v>40</v>
      </c>
      <c r="D315" s="13">
        <f>SUM('Working sheet'!$D315:$P315)</f>
        <v>2198.4000000000005</v>
      </c>
      <c r="E315" s="14">
        <f>SUM('Working sheet'!$Q315)</f>
        <v>197</v>
      </c>
      <c r="F315" s="14">
        <f>SUM('Working sheet'!$R315:$T315)</f>
        <v>463.50000000000006</v>
      </c>
      <c r="G315" s="14">
        <f>SUM('Working sheet'!$U315)</f>
        <v>163.6</v>
      </c>
      <c r="H315" s="14">
        <f>SUM('Working sheet'!$V315)</f>
        <v>162.19999999999999</v>
      </c>
      <c r="I315" s="14">
        <f>SUM('Working sheet'!$W315:$AC315)</f>
        <v>1102.7</v>
      </c>
      <c r="J315" s="26">
        <v>164.6</v>
      </c>
    </row>
    <row r="316" spans="1:10" x14ac:dyDescent="0.25">
      <c r="A316" s="17" t="s">
        <v>31</v>
      </c>
      <c r="B316" s="17">
        <v>2021</v>
      </c>
      <c r="C316" s="17" t="s">
        <v>40</v>
      </c>
      <c r="D316" s="16">
        <f>SUM('Working sheet'!$D316:$P316)</f>
        <v>2175.5</v>
      </c>
      <c r="E316" s="17">
        <f>SUM('Working sheet'!$Q316)</f>
        <v>192.7</v>
      </c>
      <c r="F316" s="17">
        <f>SUM('Working sheet'!$R316:$T316)</f>
        <v>486.3</v>
      </c>
      <c r="G316" s="17">
        <f>SUM('Working sheet'!$U316)</f>
        <v>163.6</v>
      </c>
      <c r="H316" s="17">
        <f>SUM('Working sheet'!$V316)</f>
        <v>164.2</v>
      </c>
      <c r="I316" s="17">
        <f>SUM('Working sheet'!$W316:$AC316)</f>
        <v>1127.5</v>
      </c>
      <c r="J316" s="25">
        <v>165.5</v>
      </c>
    </row>
    <row r="317" spans="1:10" x14ac:dyDescent="0.25">
      <c r="A317" s="14" t="s">
        <v>28</v>
      </c>
      <c r="B317" s="14">
        <v>2021</v>
      </c>
      <c r="C317" s="14" t="s">
        <v>42</v>
      </c>
      <c r="D317" s="13">
        <f>SUM('Working sheet'!$D317:$P317)</f>
        <v>2182</v>
      </c>
      <c r="E317" s="14">
        <f>SUM('Working sheet'!$Q317)</f>
        <v>191.4</v>
      </c>
      <c r="F317" s="14">
        <f>SUM('Working sheet'!$R317:$T317)</f>
        <v>506.2</v>
      </c>
      <c r="G317" s="14">
        <f>SUM('Working sheet'!$U317)</f>
        <v>163.80000000000001</v>
      </c>
      <c r="H317" s="14">
        <f>SUM('Working sheet'!$V317)</f>
        <v>165.3</v>
      </c>
      <c r="I317" s="14">
        <f>SUM('Working sheet'!$W317:$AC317)</f>
        <v>1155.8999999999999</v>
      </c>
      <c r="J317" s="26">
        <v>167.6</v>
      </c>
    </row>
    <row r="318" spans="1:10" x14ac:dyDescent="0.25">
      <c r="A318" s="17" t="s">
        <v>30</v>
      </c>
      <c r="B318" s="17">
        <v>2021</v>
      </c>
      <c r="C318" s="17" t="s">
        <v>42</v>
      </c>
      <c r="D318" s="16">
        <f>SUM('Working sheet'!$D318:$P318)</f>
        <v>2217.8999999999996</v>
      </c>
      <c r="E318" s="17">
        <f>SUM('Working sheet'!$Q318)</f>
        <v>197</v>
      </c>
      <c r="F318" s="17">
        <f>SUM('Working sheet'!$R318:$T318)</f>
        <v>467.3</v>
      </c>
      <c r="G318" s="17">
        <f>SUM('Working sheet'!$U318)</f>
        <v>164.2</v>
      </c>
      <c r="H318" s="17">
        <f>SUM('Working sheet'!$V318)</f>
        <v>161.6</v>
      </c>
      <c r="I318" s="17">
        <f>SUM('Working sheet'!$W318:$AC318)</f>
        <v>1107.1999999999998</v>
      </c>
      <c r="J318" s="25">
        <v>165.6</v>
      </c>
    </row>
    <row r="319" spans="1:10" x14ac:dyDescent="0.25">
      <c r="A319" s="14" t="s">
        <v>31</v>
      </c>
      <c r="B319" s="14">
        <v>2021</v>
      </c>
      <c r="C319" s="14" t="s">
        <v>42</v>
      </c>
      <c r="D319" s="13">
        <f>SUM('Working sheet'!$D319:$P319)</f>
        <v>2194.1</v>
      </c>
      <c r="E319" s="14">
        <f>SUM('Working sheet'!$Q319)</f>
        <v>192.9</v>
      </c>
      <c r="F319" s="14">
        <f>SUM('Working sheet'!$R319:$T319)</f>
        <v>490.40000000000003</v>
      </c>
      <c r="G319" s="14">
        <f>SUM('Working sheet'!$U319)</f>
        <v>164.2</v>
      </c>
      <c r="H319" s="14">
        <f>SUM('Working sheet'!$V319)</f>
        <v>163.9</v>
      </c>
      <c r="I319" s="14">
        <f>SUM('Working sheet'!$W319:$AC319)</f>
        <v>1131.7000000000003</v>
      </c>
      <c r="J319" s="26">
        <v>166.7</v>
      </c>
    </row>
    <row r="320" spans="1:10" x14ac:dyDescent="0.25">
      <c r="A320" s="17" t="s">
        <v>28</v>
      </c>
      <c r="B320" s="17">
        <v>2021</v>
      </c>
      <c r="C320" s="17" t="s">
        <v>43</v>
      </c>
      <c r="D320" s="16">
        <f>SUM('Working sheet'!$D320:$P320)</f>
        <v>2168.1999999999998</v>
      </c>
      <c r="E320" s="17">
        <f>SUM('Working sheet'!$Q320)</f>
        <v>190.8</v>
      </c>
      <c r="F320" s="17">
        <f>SUM('Working sheet'!$R320:$T320)</f>
        <v>510.3</v>
      </c>
      <c r="G320" s="17">
        <f>SUM('Working sheet'!$U320)</f>
        <v>164</v>
      </c>
      <c r="H320" s="17">
        <f>SUM('Working sheet'!$V320)</f>
        <v>165.6</v>
      </c>
      <c r="I320" s="17">
        <f>SUM('Working sheet'!$W320:$AC320)</f>
        <v>1161</v>
      </c>
      <c r="J320" s="25">
        <v>167</v>
      </c>
    </row>
    <row r="321" spans="1:10" x14ac:dyDescent="0.25">
      <c r="A321" s="14" t="s">
        <v>30</v>
      </c>
      <c r="B321" s="14">
        <v>2021</v>
      </c>
      <c r="C321" s="14" t="s">
        <v>43</v>
      </c>
      <c r="D321" s="13">
        <f>SUM('Working sheet'!$D321:$P321)</f>
        <v>2206.3000000000002</v>
      </c>
      <c r="E321" s="14">
        <f>SUM('Working sheet'!$Q321)</f>
        <v>196.8</v>
      </c>
      <c r="F321" s="14">
        <f>SUM('Working sheet'!$R321:$T321)</f>
        <v>470.7</v>
      </c>
      <c r="G321" s="14">
        <f>SUM('Working sheet'!$U321)</f>
        <v>163.4</v>
      </c>
      <c r="H321" s="14">
        <f>SUM('Working sheet'!$V321)</f>
        <v>161.69999999999999</v>
      </c>
      <c r="I321" s="14">
        <f>SUM('Working sheet'!$W321:$AC321)</f>
        <v>1111.3</v>
      </c>
      <c r="J321" s="26">
        <v>165.2</v>
      </c>
    </row>
    <row r="322" spans="1:10" x14ac:dyDescent="0.25">
      <c r="A322" s="17" t="s">
        <v>31</v>
      </c>
      <c r="B322" s="17">
        <v>2021</v>
      </c>
      <c r="C322" s="17" t="s">
        <v>43</v>
      </c>
      <c r="D322" s="16">
        <f>SUM('Working sheet'!$D322:$P322)</f>
        <v>2180.9</v>
      </c>
      <c r="E322" s="17">
        <f>SUM('Working sheet'!$Q322)</f>
        <v>192.4</v>
      </c>
      <c r="F322" s="17">
        <f>SUM('Working sheet'!$R322:$T322)</f>
        <v>494.2</v>
      </c>
      <c r="G322" s="17">
        <f>SUM('Working sheet'!$U322)</f>
        <v>163.4</v>
      </c>
      <c r="H322" s="17">
        <f>SUM('Working sheet'!$V322)</f>
        <v>164.1</v>
      </c>
      <c r="I322" s="17">
        <f>SUM('Working sheet'!$W322:$AC322)</f>
        <v>1136.0999999999999</v>
      </c>
      <c r="J322" s="25">
        <v>166.2</v>
      </c>
    </row>
    <row r="323" spans="1:10" x14ac:dyDescent="0.25">
      <c r="A323" s="14" t="s">
        <v>28</v>
      </c>
      <c r="B323" s="14">
        <v>2022</v>
      </c>
      <c r="C323" s="14" t="s">
        <v>29</v>
      </c>
      <c r="D323" s="13">
        <f>SUM('Working sheet'!$D323:$P323)</f>
        <v>2153</v>
      </c>
      <c r="E323" s="14">
        <f>SUM('Working sheet'!$Q323)</f>
        <v>190.7</v>
      </c>
      <c r="F323" s="14">
        <f>SUM('Working sheet'!$R323:$T323)</f>
        <v>515.20000000000005</v>
      </c>
      <c r="G323" s="14">
        <f>SUM('Working sheet'!$U323)</f>
        <v>165</v>
      </c>
      <c r="H323" s="14">
        <f>SUM('Working sheet'!$V323)</f>
        <v>165.8</v>
      </c>
      <c r="I323" s="14">
        <f>SUM('Working sheet'!$W323:$AC323)</f>
        <v>1165</v>
      </c>
      <c r="J323" s="26">
        <v>166.4</v>
      </c>
    </row>
    <row r="324" spans="1:10" x14ac:dyDescent="0.25">
      <c r="A324" s="17" t="s">
        <v>30</v>
      </c>
      <c r="B324" s="17">
        <v>2022</v>
      </c>
      <c r="C324" s="17" t="s">
        <v>29</v>
      </c>
      <c r="D324" s="16">
        <f>SUM('Working sheet'!$D324:$P324)</f>
        <v>2186.6999999999998</v>
      </c>
      <c r="E324" s="17">
        <f>SUM('Working sheet'!$Q324)</f>
        <v>196.4</v>
      </c>
      <c r="F324" s="17">
        <f>SUM('Working sheet'!$R324:$T324)</f>
        <v>475.4</v>
      </c>
      <c r="G324" s="17">
        <f>SUM('Working sheet'!$U324)</f>
        <v>164.5</v>
      </c>
      <c r="H324" s="17">
        <f>SUM('Working sheet'!$V324)</f>
        <v>161.6</v>
      </c>
      <c r="I324" s="17">
        <f>SUM('Working sheet'!$W324:$AC324)</f>
        <v>1116.3999999999999</v>
      </c>
      <c r="J324" s="25">
        <v>165</v>
      </c>
    </row>
    <row r="325" spans="1:10" x14ac:dyDescent="0.25">
      <c r="A325" s="14" t="s">
        <v>31</v>
      </c>
      <c r="B325" s="14">
        <v>2022</v>
      </c>
      <c r="C325" s="14" t="s">
        <v>29</v>
      </c>
      <c r="D325" s="13">
        <f>SUM('Working sheet'!$D325:$P325)</f>
        <v>2164.1999999999998</v>
      </c>
      <c r="E325" s="14">
        <f>SUM('Working sheet'!$Q325)</f>
        <v>192.2</v>
      </c>
      <c r="F325" s="14">
        <f>SUM('Working sheet'!$R325:$T325)</f>
        <v>499.1</v>
      </c>
      <c r="G325" s="14">
        <f>SUM('Working sheet'!$U325)</f>
        <v>164.5</v>
      </c>
      <c r="H325" s="14">
        <f>SUM('Working sheet'!$V325)</f>
        <v>164.2</v>
      </c>
      <c r="I325" s="14">
        <f>SUM('Working sheet'!$W325:$AC325)</f>
        <v>1140.6000000000001</v>
      </c>
      <c r="J325" s="26">
        <v>165.7</v>
      </c>
    </row>
    <row r="326" spans="1:10" x14ac:dyDescent="0.25">
      <c r="A326" s="17" t="s">
        <v>28</v>
      </c>
      <c r="B326" s="17">
        <v>2022</v>
      </c>
      <c r="C326" s="17" t="s">
        <v>32</v>
      </c>
      <c r="D326" s="16">
        <f>SUM('Working sheet'!$D326:$P326)</f>
        <v>2150.4</v>
      </c>
      <c r="E326" s="17">
        <f>SUM('Working sheet'!$Q326)</f>
        <v>191.5</v>
      </c>
      <c r="F326" s="17">
        <f>SUM('Working sheet'!$R326:$T326)</f>
        <v>518.79999999999995</v>
      </c>
      <c r="G326" s="17">
        <f>SUM('Working sheet'!$U326)</f>
        <v>165.4</v>
      </c>
      <c r="H326" s="17">
        <f>SUM('Working sheet'!$V326)</f>
        <v>167.4</v>
      </c>
      <c r="I326" s="17">
        <f>SUM('Working sheet'!$W326:$AC326)</f>
        <v>1169.8</v>
      </c>
      <c r="J326" s="25">
        <v>166.7</v>
      </c>
    </row>
    <row r="327" spans="1:10" x14ac:dyDescent="0.25">
      <c r="A327" s="14" t="s">
        <v>30</v>
      </c>
      <c r="B327" s="14">
        <v>2022</v>
      </c>
      <c r="C327" s="14" t="s">
        <v>32</v>
      </c>
      <c r="D327" s="13">
        <f>SUM('Working sheet'!$D327:$P327)</f>
        <v>2183.5</v>
      </c>
      <c r="E327" s="14">
        <f>SUM('Working sheet'!$Q327)</f>
        <v>196.5</v>
      </c>
      <c r="F327" s="14">
        <f>SUM('Working sheet'!$R327:$T327)</f>
        <v>479.5</v>
      </c>
      <c r="G327" s="14">
        <f>SUM('Working sheet'!$U327)</f>
        <v>165.5</v>
      </c>
      <c r="H327" s="14">
        <f>SUM('Working sheet'!$V327)</f>
        <v>163</v>
      </c>
      <c r="I327" s="14">
        <f>SUM('Working sheet'!$W327:$AC327)</f>
        <v>1122.8000000000002</v>
      </c>
      <c r="J327" s="26">
        <v>165.5</v>
      </c>
    </row>
    <row r="328" spans="1:10" x14ac:dyDescent="0.25">
      <c r="A328" s="17" t="s">
        <v>31</v>
      </c>
      <c r="B328" s="17">
        <v>2022</v>
      </c>
      <c r="C328" s="17" t="s">
        <v>32</v>
      </c>
      <c r="D328" s="16">
        <f>SUM('Working sheet'!$D328:$P328)</f>
        <v>2161.2000000000003</v>
      </c>
      <c r="E328" s="17">
        <f>SUM('Working sheet'!$Q328)</f>
        <v>192.8</v>
      </c>
      <c r="F328" s="17">
        <f>SUM('Working sheet'!$R328:$T328)</f>
        <v>502.80000000000007</v>
      </c>
      <c r="G328" s="17">
        <f>SUM('Working sheet'!$U328)</f>
        <v>165.5</v>
      </c>
      <c r="H328" s="17">
        <f>SUM('Working sheet'!$V328)</f>
        <v>165.7</v>
      </c>
      <c r="I328" s="17">
        <f>SUM('Working sheet'!$W328:$AC328)</f>
        <v>1146.3</v>
      </c>
      <c r="J328" s="25">
        <v>166.1</v>
      </c>
    </row>
    <row r="329" spans="1:10" x14ac:dyDescent="0.25">
      <c r="A329" s="14" t="s">
        <v>28</v>
      </c>
      <c r="B329" s="14">
        <v>2022</v>
      </c>
      <c r="C329" s="14" t="s">
        <v>33</v>
      </c>
      <c r="D329" s="13">
        <f>SUM('Working sheet'!$D329:$P329)</f>
        <v>2179.1000000000004</v>
      </c>
      <c r="E329" s="14">
        <f>SUM('Working sheet'!$Q329)</f>
        <v>192.3</v>
      </c>
      <c r="F329" s="14">
        <f>SUM('Working sheet'!$R329:$T329)</f>
        <v>523.70000000000005</v>
      </c>
      <c r="G329" s="14">
        <f>SUM('Working sheet'!$U329)</f>
        <v>166.2</v>
      </c>
      <c r="H329" s="14">
        <f>SUM('Working sheet'!$V329)</f>
        <v>168.9</v>
      </c>
      <c r="I329" s="14">
        <f>SUM('Working sheet'!$W329:$AC329)</f>
        <v>1177.4000000000001</v>
      </c>
      <c r="J329" s="26">
        <v>168.7</v>
      </c>
    </row>
    <row r="330" spans="1:10" x14ac:dyDescent="0.25">
      <c r="A330" s="17" t="s">
        <v>30</v>
      </c>
      <c r="B330" s="17">
        <v>2022</v>
      </c>
      <c r="C330" s="17" t="s">
        <v>33</v>
      </c>
      <c r="D330" s="16">
        <f>SUM('Working sheet'!$D330:$P330)</f>
        <v>2196.3000000000002</v>
      </c>
      <c r="E330" s="17">
        <f>SUM('Working sheet'!$Q330)</f>
        <v>197.5</v>
      </c>
      <c r="F330" s="17">
        <f>SUM('Working sheet'!$R330:$T330)</f>
        <v>484.6</v>
      </c>
      <c r="G330" s="17">
        <f>SUM('Working sheet'!$U330)</f>
        <v>165.3</v>
      </c>
      <c r="H330" s="17">
        <f>SUM('Working sheet'!$V330)</f>
        <v>164.5</v>
      </c>
      <c r="I330" s="17">
        <f>SUM('Working sheet'!$W330:$AC330)</f>
        <v>1131.8999999999999</v>
      </c>
      <c r="J330" s="25">
        <v>166.5</v>
      </c>
    </row>
    <row r="331" spans="1:10" x14ac:dyDescent="0.25">
      <c r="A331" s="14" t="s">
        <v>31</v>
      </c>
      <c r="B331" s="14">
        <v>2022</v>
      </c>
      <c r="C331" s="14" t="s">
        <v>33</v>
      </c>
      <c r="D331" s="13">
        <f>SUM('Working sheet'!$D331:$P331)</f>
        <v>2184.2000000000003</v>
      </c>
      <c r="E331" s="14">
        <f>SUM('Working sheet'!$Q331)</f>
        <v>193.7</v>
      </c>
      <c r="F331" s="14">
        <f>SUM('Working sheet'!$R331:$T331)</f>
        <v>507.79999999999995</v>
      </c>
      <c r="G331" s="14">
        <f>SUM('Working sheet'!$U331)</f>
        <v>165.3</v>
      </c>
      <c r="H331" s="14">
        <f>SUM('Working sheet'!$V331)</f>
        <v>167.2</v>
      </c>
      <c r="I331" s="14">
        <f>SUM('Working sheet'!$W331:$AC331)</f>
        <v>1154.8</v>
      </c>
      <c r="J331" s="26">
        <v>167.7</v>
      </c>
    </row>
    <row r="332" spans="1:10" x14ac:dyDescent="0.25">
      <c r="A332" s="17" t="s">
        <v>28</v>
      </c>
      <c r="B332" s="17">
        <v>2022</v>
      </c>
      <c r="C332" s="17" t="s">
        <v>34</v>
      </c>
      <c r="D332" s="16">
        <f>SUM('Working sheet'!$D332:$P332)</f>
        <v>2206.6</v>
      </c>
      <c r="E332" s="17">
        <f>SUM('Working sheet'!$Q332)</f>
        <v>192.8</v>
      </c>
      <c r="F332" s="17">
        <f>SUM('Working sheet'!$R332:$T332)</f>
        <v>529.70000000000005</v>
      </c>
      <c r="G332" s="17">
        <f>SUM('Working sheet'!$U332)</f>
        <v>167.3</v>
      </c>
      <c r="H332" s="17">
        <f>SUM('Working sheet'!$V332)</f>
        <v>173.3</v>
      </c>
      <c r="I332" s="17">
        <f>SUM('Working sheet'!$W332:$AC332)</f>
        <v>1188.1999999999998</v>
      </c>
      <c r="J332" s="25">
        <v>170.8</v>
      </c>
    </row>
    <row r="333" spans="1:10" x14ac:dyDescent="0.25">
      <c r="A333" s="14" t="s">
        <v>30</v>
      </c>
      <c r="B333" s="14">
        <v>2022</v>
      </c>
      <c r="C333" s="14" t="s">
        <v>34</v>
      </c>
      <c r="D333" s="13">
        <f>SUM('Working sheet'!$D333:$P333)</f>
        <v>2230.4</v>
      </c>
      <c r="E333" s="14">
        <f>SUM('Working sheet'!$Q333)</f>
        <v>197.1</v>
      </c>
      <c r="F333" s="14">
        <f>SUM('Working sheet'!$R333:$T333)</f>
        <v>489.2</v>
      </c>
      <c r="G333" s="14">
        <f>SUM('Working sheet'!$U333)</f>
        <v>167</v>
      </c>
      <c r="H333" s="14">
        <f>SUM('Working sheet'!$V333)</f>
        <v>170.5</v>
      </c>
      <c r="I333" s="14">
        <f>SUM('Working sheet'!$W333:$AC333)</f>
        <v>1145.8</v>
      </c>
      <c r="J333" s="26">
        <v>169.2</v>
      </c>
    </row>
    <row r="334" spans="1:10" x14ac:dyDescent="0.25">
      <c r="A334" s="17" t="s">
        <v>31</v>
      </c>
      <c r="B334" s="17">
        <v>2022</v>
      </c>
      <c r="C334" s="17" t="s">
        <v>34</v>
      </c>
      <c r="D334" s="16">
        <f>SUM('Working sheet'!$D334:$P334)</f>
        <v>2214.3000000000002</v>
      </c>
      <c r="E334" s="17">
        <f>SUM('Working sheet'!$Q334)</f>
        <v>193.9</v>
      </c>
      <c r="F334" s="17">
        <f>SUM('Working sheet'!$R334:$T334)</f>
        <v>513.20000000000005</v>
      </c>
      <c r="G334" s="17">
        <f>SUM('Working sheet'!$U334)</f>
        <v>167</v>
      </c>
      <c r="H334" s="17">
        <f>SUM('Working sheet'!$V334)</f>
        <v>172.2</v>
      </c>
      <c r="I334" s="17">
        <f>SUM('Working sheet'!$W334:$AC334)</f>
        <v>1167.5</v>
      </c>
      <c r="J334" s="25">
        <v>170.1</v>
      </c>
    </row>
    <row r="335" spans="1:10" x14ac:dyDescent="0.25">
      <c r="A335" s="14" t="s">
        <v>28</v>
      </c>
      <c r="B335" s="14">
        <v>2022</v>
      </c>
      <c r="C335" s="14" t="s">
        <v>35</v>
      </c>
      <c r="D335" s="13">
        <f>SUM('Working sheet'!$D335:$P335)</f>
        <v>2226.8000000000002</v>
      </c>
      <c r="E335" s="14">
        <f>SUM('Working sheet'!$Q335)</f>
        <v>192.9</v>
      </c>
      <c r="F335" s="14">
        <f>SUM('Working sheet'!$R335:$T335)</f>
        <v>535.5</v>
      </c>
      <c r="G335" s="14">
        <f>SUM('Working sheet'!$U335)</f>
        <v>167.2</v>
      </c>
      <c r="H335" s="14">
        <f>SUM('Working sheet'!$V335)</f>
        <v>175.3</v>
      </c>
      <c r="I335" s="14">
        <f>SUM('Working sheet'!$W335:$AC335)</f>
        <v>1192.5000000000002</v>
      </c>
      <c r="J335" s="26">
        <v>172.5</v>
      </c>
    </row>
    <row r="336" spans="1:10" x14ac:dyDescent="0.25">
      <c r="A336" s="17" t="s">
        <v>30</v>
      </c>
      <c r="B336" s="17">
        <v>2022</v>
      </c>
      <c r="C336" s="17" t="s">
        <v>35</v>
      </c>
      <c r="D336" s="16">
        <f>SUM('Working sheet'!$D336:$P336)</f>
        <v>2262.2000000000003</v>
      </c>
      <c r="E336" s="17">
        <f>SUM('Working sheet'!$Q336)</f>
        <v>197.5</v>
      </c>
      <c r="F336" s="17">
        <f>SUM('Working sheet'!$R336:$T336)</f>
        <v>493.7</v>
      </c>
      <c r="G336" s="17">
        <f>SUM('Working sheet'!$U336)</f>
        <v>167.5</v>
      </c>
      <c r="H336" s="17">
        <f>SUM('Working sheet'!$V336)</f>
        <v>173.5</v>
      </c>
      <c r="I336" s="17">
        <f>SUM('Working sheet'!$W336:$AC336)</f>
        <v>1151</v>
      </c>
      <c r="J336" s="25">
        <v>170.8</v>
      </c>
    </row>
    <row r="337" spans="1:10" x14ac:dyDescent="0.25">
      <c r="A337" s="14" t="s">
        <v>31</v>
      </c>
      <c r="B337" s="14">
        <v>2022</v>
      </c>
      <c r="C337" s="14" t="s">
        <v>35</v>
      </c>
      <c r="D337" s="13">
        <f>SUM('Working sheet'!$D337:$P337)</f>
        <v>2238.9000000000005</v>
      </c>
      <c r="E337" s="14">
        <f>SUM('Working sheet'!$Q337)</f>
        <v>194.1</v>
      </c>
      <c r="F337" s="14">
        <f>SUM('Working sheet'!$R337:$T337)</f>
        <v>518.6</v>
      </c>
      <c r="G337" s="14">
        <f>SUM('Working sheet'!$U337)</f>
        <v>167.5</v>
      </c>
      <c r="H337" s="14">
        <f>SUM('Working sheet'!$V337)</f>
        <v>174.6</v>
      </c>
      <c r="I337" s="14">
        <f>SUM('Working sheet'!$W337:$AC337)</f>
        <v>1171.9000000000001</v>
      </c>
      <c r="J337" s="26">
        <v>171.7</v>
      </c>
    </row>
    <row r="338" spans="1:10" x14ac:dyDescent="0.25">
      <c r="A338" s="17" t="s">
        <v>28</v>
      </c>
      <c r="B338" s="17">
        <v>2022</v>
      </c>
      <c r="C338" s="17" t="s">
        <v>36</v>
      </c>
      <c r="D338" s="16">
        <f>SUM('Working sheet'!$D338:$P338)</f>
        <v>2248.3000000000002</v>
      </c>
      <c r="E338" s="17">
        <f>SUM('Working sheet'!$Q338)</f>
        <v>192.9</v>
      </c>
      <c r="F338" s="17">
        <f>SUM('Working sheet'!$R338:$T338)</f>
        <v>539.79999999999995</v>
      </c>
      <c r="G338" s="17">
        <f>SUM('Working sheet'!$U338)</f>
        <v>167.3</v>
      </c>
      <c r="H338" s="17">
        <f>SUM('Working sheet'!$V338)</f>
        <v>176.7</v>
      </c>
      <c r="I338" s="17">
        <f>SUM('Working sheet'!$W338:$AC338)</f>
        <v>1195.0999999999999</v>
      </c>
      <c r="J338" s="25">
        <v>173.6</v>
      </c>
    </row>
    <row r="339" spans="1:10" x14ac:dyDescent="0.25">
      <c r="A339" s="14" t="s">
        <v>30</v>
      </c>
      <c r="B339" s="14">
        <v>2022</v>
      </c>
      <c r="C339" s="14" t="s">
        <v>36</v>
      </c>
      <c r="D339" s="13">
        <f>SUM('Working sheet'!$D339:$P339)</f>
        <v>2287.5</v>
      </c>
      <c r="E339" s="14">
        <f>SUM('Working sheet'!$Q339)</f>
        <v>198.3</v>
      </c>
      <c r="F339" s="14">
        <f>SUM('Working sheet'!$R339:$T339)</f>
        <v>498.4</v>
      </c>
      <c r="G339" s="14">
        <f>SUM('Working sheet'!$U339)</f>
        <v>166.8</v>
      </c>
      <c r="H339" s="14">
        <f>SUM('Working sheet'!$V339)</f>
        <v>174.9</v>
      </c>
      <c r="I339" s="14">
        <f>SUM('Working sheet'!$W339:$AC339)</f>
        <v>1153.8</v>
      </c>
      <c r="J339" s="26">
        <v>171.4</v>
      </c>
    </row>
    <row r="340" spans="1:10" x14ac:dyDescent="0.25">
      <c r="A340" s="17" t="s">
        <v>31</v>
      </c>
      <c r="B340" s="17">
        <v>2022</v>
      </c>
      <c r="C340" s="17" t="s">
        <v>36</v>
      </c>
      <c r="D340" s="16">
        <f>SUM('Working sheet'!$D340:$P340)</f>
        <v>2261.9</v>
      </c>
      <c r="E340" s="17">
        <f>SUM('Working sheet'!$Q340)</f>
        <v>194.3</v>
      </c>
      <c r="F340" s="17">
        <f>SUM('Working sheet'!$R340:$T340)</f>
        <v>523</v>
      </c>
      <c r="G340" s="17">
        <f>SUM('Working sheet'!$U340)</f>
        <v>166.8</v>
      </c>
      <c r="H340" s="17">
        <f>SUM('Working sheet'!$V340)</f>
        <v>176</v>
      </c>
      <c r="I340" s="17">
        <f>SUM('Working sheet'!$W340:$AC340)</f>
        <v>1174.5999999999999</v>
      </c>
      <c r="J340" s="25">
        <v>172.6</v>
      </c>
    </row>
    <row r="341" spans="1:10" x14ac:dyDescent="0.25">
      <c r="A341" s="14" t="s">
        <v>28</v>
      </c>
      <c r="B341" s="14">
        <v>2022</v>
      </c>
      <c r="C341" s="14" t="s">
        <v>37</v>
      </c>
      <c r="D341" s="13">
        <f>SUM('Working sheet'!$D341:$P341)</f>
        <v>2252.5</v>
      </c>
      <c r="E341" s="14">
        <f>SUM('Working sheet'!$Q341)</f>
        <v>193.2</v>
      </c>
      <c r="F341" s="14">
        <f>SUM('Working sheet'!$R341:$T341)</f>
        <v>544</v>
      </c>
      <c r="G341" s="14">
        <f>SUM('Working sheet'!$U341)</f>
        <v>168.4</v>
      </c>
      <c r="H341" s="14">
        <f>SUM('Working sheet'!$V341)</f>
        <v>179.6</v>
      </c>
      <c r="I341" s="14">
        <f>SUM('Working sheet'!$W341:$AC341)</f>
        <v>1201.2</v>
      </c>
      <c r="J341" s="26">
        <v>174.3</v>
      </c>
    </row>
    <row r="342" spans="1:10" x14ac:dyDescent="0.25">
      <c r="A342" s="17" t="s">
        <v>30</v>
      </c>
      <c r="B342" s="17">
        <v>2022</v>
      </c>
      <c r="C342" s="17" t="s">
        <v>37</v>
      </c>
      <c r="D342" s="16">
        <f>SUM('Working sheet'!$D342:$P342)</f>
        <v>2291.6</v>
      </c>
      <c r="E342" s="17">
        <f>SUM('Working sheet'!$Q342)</f>
        <v>198.6</v>
      </c>
      <c r="F342" s="17">
        <f>SUM('Working sheet'!$R342:$T342)</f>
        <v>502</v>
      </c>
      <c r="G342" s="17">
        <f>SUM('Working sheet'!$U342)</f>
        <v>167.8</v>
      </c>
      <c r="H342" s="17">
        <f>SUM('Working sheet'!$V342)</f>
        <v>179.5</v>
      </c>
      <c r="I342" s="17">
        <f>SUM('Working sheet'!$W342:$AC342)</f>
        <v>1160.4000000000001</v>
      </c>
      <c r="J342" s="25">
        <v>172.3</v>
      </c>
    </row>
    <row r="343" spans="1:10" x14ac:dyDescent="0.25">
      <c r="A343" s="14" t="s">
        <v>31</v>
      </c>
      <c r="B343" s="14">
        <v>2022</v>
      </c>
      <c r="C343" s="14" t="s">
        <v>37</v>
      </c>
      <c r="D343" s="13">
        <f>SUM('Working sheet'!$D343:$P343)</f>
        <v>2266.3000000000002</v>
      </c>
      <c r="E343" s="14">
        <f>SUM('Working sheet'!$Q343)</f>
        <v>194.6</v>
      </c>
      <c r="F343" s="14">
        <f>SUM('Working sheet'!$R343:$T343)</f>
        <v>526.90000000000009</v>
      </c>
      <c r="G343" s="14">
        <f>SUM('Working sheet'!$U343)</f>
        <v>167.8</v>
      </c>
      <c r="H343" s="14">
        <f>SUM('Working sheet'!$V343)</f>
        <v>179.6</v>
      </c>
      <c r="I343" s="14">
        <f>SUM('Working sheet'!$W343:$AC343)</f>
        <v>1180.9000000000001</v>
      </c>
      <c r="J343" s="26">
        <v>173.4</v>
      </c>
    </row>
    <row r="344" spans="1:10" x14ac:dyDescent="0.25">
      <c r="A344" s="17" t="s">
        <v>28</v>
      </c>
      <c r="B344" s="17">
        <v>2022</v>
      </c>
      <c r="C344" s="17" t="s">
        <v>38</v>
      </c>
      <c r="D344" s="16">
        <f>SUM('Working sheet'!$D344:$P344)</f>
        <v>2255.7999999999997</v>
      </c>
      <c r="E344" s="17">
        <f>SUM('Working sheet'!$Q344)</f>
        <v>193.7</v>
      </c>
      <c r="F344" s="17">
        <f>SUM('Working sheet'!$R344:$T344)</f>
        <v>547.9</v>
      </c>
      <c r="G344" s="17">
        <f>SUM('Working sheet'!$U344)</f>
        <v>169.3</v>
      </c>
      <c r="H344" s="17">
        <f>SUM('Working sheet'!$V344)</f>
        <v>179.1</v>
      </c>
      <c r="I344" s="17">
        <f>SUM('Working sheet'!$W344:$AC344)</f>
        <v>1207</v>
      </c>
      <c r="J344" s="25">
        <v>175.3</v>
      </c>
    </row>
    <row r="345" spans="1:10" x14ac:dyDescent="0.25">
      <c r="A345" s="14" t="s">
        <v>30</v>
      </c>
      <c r="B345" s="14">
        <v>2022</v>
      </c>
      <c r="C345" s="14" t="s">
        <v>38</v>
      </c>
      <c r="D345" s="13">
        <f>SUM('Working sheet'!$D345:$P345)</f>
        <v>2293.6999999999998</v>
      </c>
      <c r="E345" s="14">
        <f>SUM('Working sheet'!$Q345)</f>
        <v>198.7</v>
      </c>
      <c r="F345" s="14">
        <f>SUM('Working sheet'!$R345:$T345)</f>
        <v>505.29999999999995</v>
      </c>
      <c r="G345" s="14">
        <f>SUM('Working sheet'!$U345)</f>
        <v>169</v>
      </c>
      <c r="H345" s="14">
        <f>SUM('Working sheet'!$V345)</f>
        <v>178.4</v>
      </c>
      <c r="I345" s="14">
        <f>SUM('Working sheet'!$W345:$AC345)</f>
        <v>1166.3</v>
      </c>
      <c r="J345" s="26">
        <v>173.1</v>
      </c>
    </row>
    <row r="346" spans="1:10" x14ac:dyDescent="0.25">
      <c r="A346" s="17" t="s">
        <v>31</v>
      </c>
      <c r="B346" s="17">
        <v>2022</v>
      </c>
      <c r="C346" s="17" t="s">
        <v>38</v>
      </c>
      <c r="D346" s="16">
        <f>SUM('Working sheet'!$D346:$P346)</f>
        <v>2269.2000000000003</v>
      </c>
      <c r="E346" s="17">
        <f>SUM('Working sheet'!$Q346)</f>
        <v>195</v>
      </c>
      <c r="F346" s="17">
        <f>SUM('Working sheet'!$R346:$T346)</f>
        <v>530.70000000000005</v>
      </c>
      <c r="G346" s="17">
        <f>SUM('Working sheet'!$U346)</f>
        <v>169</v>
      </c>
      <c r="H346" s="17">
        <f>SUM('Working sheet'!$V346)</f>
        <v>178.8</v>
      </c>
      <c r="I346" s="17">
        <f>SUM('Working sheet'!$W346:$AC346)</f>
        <v>1186.7</v>
      </c>
      <c r="J346" s="25">
        <v>174.3</v>
      </c>
    </row>
    <row r="347" spans="1:10" x14ac:dyDescent="0.25">
      <c r="A347" s="14" t="s">
        <v>28</v>
      </c>
      <c r="B347" s="14">
        <v>2022</v>
      </c>
      <c r="C347" s="14" t="s">
        <v>39</v>
      </c>
      <c r="D347" s="13">
        <f>SUM('Working sheet'!$D347:$P347)</f>
        <v>2267.8000000000002</v>
      </c>
      <c r="E347" s="14">
        <f>SUM('Working sheet'!$Q347)</f>
        <v>194.5</v>
      </c>
      <c r="F347" s="14">
        <f>SUM('Working sheet'!$R347:$T347)</f>
        <v>552.5</v>
      </c>
      <c r="G347" s="14">
        <f>SUM('Working sheet'!$U347)</f>
        <v>170.4</v>
      </c>
      <c r="H347" s="14">
        <f>SUM('Working sheet'!$V347)</f>
        <v>179.7</v>
      </c>
      <c r="I347" s="14">
        <f>SUM('Working sheet'!$W347:$AC347)</f>
        <v>1210.7999999999997</v>
      </c>
      <c r="J347" s="26">
        <v>176.4</v>
      </c>
    </row>
    <row r="348" spans="1:10" x14ac:dyDescent="0.25">
      <c r="A348" s="17" t="s">
        <v>30</v>
      </c>
      <c r="B348" s="17">
        <v>2022</v>
      </c>
      <c r="C348" s="17" t="s">
        <v>39</v>
      </c>
      <c r="D348" s="16">
        <f>SUM('Working sheet'!$D348:$P348)</f>
        <v>2306.4</v>
      </c>
      <c r="E348" s="17">
        <f>SUM('Working sheet'!$Q348)</f>
        <v>199.7</v>
      </c>
      <c r="F348" s="17">
        <f>SUM('Working sheet'!$R348:$T348)</f>
        <v>509.7</v>
      </c>
      <c r="G348" s="17">
        <f>SUM('Working sheet'!$U348)</f>
        <v>169.5</v>
      </c>
      <c r="H348" s="17">
        <f>SUM('Working sheet'!$V348)</f>
        <v>179.2</v>
      </c>
      <c r="I348" s="17">
        <f>SUM('Working sheet'!$W348:$AC348)</f>
        <v>1170.8999999999999</v>
      </c>
      <c r="J348" s="25">
        <v>174.1</v>
      </c>
    </row>
    <row r="349" spans="1:10" x14ac:dyDescent="0.25">
      <c r="A349" s="14" t="s">
        <v>31</v>
      </c>
      <c r="B349" s="14">
        <v>2022</v>
      </c>
      <c r="C349" s="14" t="s">
        <v>39</v>
      </c>
      <c r="D349" s="13">
        <f>SUM('Working sheet'!$D349:$P349)</f>
        <v>2280.9</v>
      </c>
      <c r="E349" s="14">
        <f>SUM('Working sheet'!$Q349)</f>
        <v>195.9</v>
      </c>
      <c r="F349" s="14">
        <f>SUM('Working sheet'!$R349:$T349)</f>
        <v>535.1</v>
      </c>
      <c r="G349" s="14">
        <f>SUM('Working sheet'!$U349)</f>
        <v>169.5</v>
      </c>
      <c r="H349" s="14">
        <f>SUM('Working sheet'!$V349)</f>
        <v>179.5</v>
      </c>
      <c r="I349" s="14">
        <f>SUM('Working sheet'!$W349:$AC349)</f>
        <v>1190.9000000000001</v>
      </c>
      <c r="J349" s="26">
        <v>175.3</v>
      </c>
    </row>
    <row r="350" spans="1:10" x14ac:dyDescent="0.25">
      <c r="A350" s="17" t="s">
        <v>28</v>
      </c>
      <c r="B350" s="17">
        <v>2022</v>
      </c>
      <c r="C350" s="17" t="s">
        <v>40</v>
      </c>
      <c r="D350" s="16">
        <f>SUM('Working sheet'!$D350:$P350)</f>
        <v>2284.5</v>
      </c>
      <c r="E350" s="17">
        <f>SUM('Working sheet'!$Q350)</f>
        <v>194.9</v>
      </c>
      <c r="F350" s="17">
        <f>SUM('Working sheet'!$R350:$T350)</f>
        <v>556.4</v>
      </c>
      <c r="G350" s="17">
        <f>SUM('Working sheet'!$U350)</f>
        <v>171.5</v>
      </c>
      <c r="H350" s="17">
        <f>SUM('Working sheet'!$V350)</f>
        <v>180.8</v>
      </c>
      <c r="I350" s="17">
        <f>SUM('Working sheet'!$W350:$AC350)</f>
        <v>1216</v>
      </c>
      <c r="J350" s="25">
        <v>177.9</v>
      </c>
    </row>
    <row r="351" spans="1:10" x14ac:dyDescent="0.25">
      <c r="A351" s="14" t="s">
        <v>30</v>
      </c>
      <c r="B351" s="14">
        <v>2022</v>
      </c>
      <c r="C351" s="14" t="s">
        <v>40</v>
      </c>
      <c r="D351" s="13">
        <f>SUM('Working sheet'!$D351:$P351)</f>
        <v>2322.3000000000002</v>
      </c>
      <c r="E351" s="14">
        <f>SUM('Working sheet'!$Q351)</f>
        <v>200.1</v>
      </c>
      <c r="F351" s="14">
        <f>SUM('Working sheet'!$R351:$T351)</f>
        <v>511.70000000000005</v>
      </c>
      <c r="G351" s="14">
        <f>SUM('Working sheet'!$U351)</f>
        <v>171.2</v>
      </c>
      <c r="H351" s="14">
        <f>SUM('Working sheet'!$V351)</f>
        <v>180</v>
      </c>
      <c r="I351" s="14">
        <f>SUM('Working sheet'!$W351:$AC351)</f>
        <v>1176.0999999999999</v>
      </c>
      <c r="J351" s="26">
        <v>175.3</v>
      </c>
    </row>
    <row r="352" spans="1:10" x14ac:dyDescent="0.25">
      <c r="A352" s="17" t="s">
        <v>31</v>
      </c>
      <c r="B352" s="17">
        <v>2022</v>
      </c>
      <c r="C352" s="17" t="s">
        <v>40</v>
      </c>
      <c r="D352" s="16">
        <f>SUM('Working sheet'!$D352:$P352)</f>
        <v>2297.3000000000002</v>
      </c>
      <c r="E352" s="17">
        <f>SUM('Working sheet'!$Q352)</f>
        <v>196.3</v>
      </c>
      <c r="F352" s="17">
        <f>SUM('Working sheet'!$R352:$T352)</f>
        <v>538.20000000000005</v>
      </c>
      <c r="G352" s="17">
        <f>SUM('Working sheet'!$U352)</f>
        <v>171.2</v>
      </c>
      <c r="H352" s="17">
        <f>SUM('Working sheet'!$V352)</f>
        <v>180.5</v>
      </c>
      <c r="I352" s="17">
        <f>SUM('Working sheet'!$W352:$AC352)</f>
        <v>1196.2</v>
      </c>
      <c r="J352" s="25">
        <v>176.7</v>
      </c>
    </row>
    <row r="353" spans="1:10" x14ac:dyDescent="0.25">
      <c r="A353" s="14" t="s">
        <v>28</v>
      </c>
      <c r="B353" s="14">
        <v>2022</v>
      </c>
      <c r="C353" s="14" t="s">
        <v>42</v>
      </c>
      <c r="D353" s="13">
        <f>SUM('Working sheet'!$D353:$P353)</f>
        <v>2287.6999999999998</v>
      </c>
      <c r="E353" s="14">
        <f>SUM('Working sheet'!$Q353)</f>
        <v>195.5</v>
      </c>
      <c r="F353" s="14">
        <f>SUM('Working sheet'!$R353:$T353)</f>
        <v>559.29999999999995</v>
      </c>
      <c r="G353" s="14">
        <f>SUM('Working sheet'!$U353)</f>
        <v>171.3</v>
      </c>
      <c r="H353" s="14">
        <f>SUM('Working sheet'!$V353)</f>
        <v>181.9</v>
      </c>
      <c r="I353" s="14">
        <f>SUM('Working sheet'!$W353:$AC353)</f>
        <v>1220.9999999999998</v>
      </c>
      <c r="J353" s="26">
        <v>177.8</v>
      </c>
    </row>
    <row r="354" spans="1:10" x14ac:dyDescent="0.25">
      <c r="A354" s="17" t="s">
        <v>30</v>
      </c>
      <c r="B354" s="17">
        <v>2022</v>
      </c>
      <c r="C354" s="17" t="s">
        <v>42</v>
      </c>
      <c r="D354" s="16">
        <f>SUM('Working sheet'!$D354:$P354)</f>
        <v>2314.4</v>
      </c>
      <c r="E354" s="17">
        <f>SUM('Working sheet'!$Q354)</f>
        <v>200.6</v>
      </c>
      <c r="F354" s="17">
        <f>SUM('Working sheet'!$R354:$T354)</f>
        <v>514.9</v>
      </c>
      <c r="G354" s="17">
        <f>SUM('Working sheet'!$U354)</f>
        <v>171.8</v>
      </c>
      <c r="H354" s="17">
        <f>SUM('Working sheet'!$V354)</f>
        <v>180.3</v>
      </c>
      <c r="I354" s="17">
        <f>SUM('Working sheet'!$W354:$AC354)</f>
        <v>1181</v>
      </c>
      <c r="J354" s="25">
        <v>174.1</v>
      </c>
    </row>
    <row r="355" spans="1:10" x14ac:dyDescent="0.25">
      <c r="A355" s="14" t="s">
        <v>31</v>
      </c>
      <c r="B355" s="14">
        <v>2022</v>
      </c>
      <c r="C355" s="14" t="s">
        <v>42</v>
      </c>
      <c r="D355" s="13">
        <f>SUM('Working sheet'!$D355:$P355)</f>
        <v>2296.8000000000002</v>
      </c>
      <c r="E355" s="14">
        <f>SUM('Working sheet'!$Q355)</f>
        <v>196.9</v>
      </c>
      <c r="F355" s="14">
        <f>SUM('Working sheet'!$R355:$T355)</f>
        <v>541.4</v>
      </c>
      <c r="G355" s="14">
        <f>SUM('Working sheet'!$U355)</f>
        <v>171.8</v>
      </c>
      <c r="H355" s="14">
        <f>SUM('Working sheet'!$V355)</f>
        <v>181.3</v>
      </c>
      <c r="I355" s="14">
        <f>SUM('Working sheet'!$W355:$AC355)</f>
        <v>1201.0999999999999</v>
      </c>
      <c r="J355" s="26">
        <v>176.5</v>
      </c>
    </row>
    <row r="356" spans="1:10" x14ac:dyDescent="0.25">
      <c r="A356" s="17" t="s">
        <v>28</v>
      </c>
      <c r="B356" s="17">
        <v>2022</v>
      </c>
      <c r="C356" s="17" t="s">
        <v>43</v>
      </c>
      <c r="D356" s="16">
        <f>SUM('Working sheet'!$D356:$P356)</f>
        <v>2277.1</v>
      </c>
      <c r="E356" s="17">
        <f>SUM('Working sheet'!$Q356)</f>
        <v>195.9</v>
      </c>
      <c r="F356" s="17">
        <f>SUM('Working sheet'!$R356:$T356)</f>
        <v>561.79999999999995</v>
      </c>
      <c r="G356" s="17">
        <f>SUM('Working sheet'!$U356)</f>
        <v>171.4</v>
      </c>
      <c r="H356" s="17">
        <f>SUM('Working sheet'!$V356)</f>
        <v>182.8</v>
      </c>
      <c r="I356" s="17">
        <f>SUM('Working sheet'!$W356:$AC356)</f>
        <v>1227.4000000000001</v>
      </c>
      <c r="J356" s="25">
        <v>177.1</v>
      </c>
    </row>
    <row r="357" spans="1:10" x14ac:dyDescent="0.25">
      <c r="A357" s="14" t="s">
        <v>30</v>
      </c>
      <c r="B357" s="14">
        <v>2022</v>
      </c>
      <c r="C357" s="14" t="s">
        <v>43</v>
      </c>
      <c r="D357" s="13">
        <f>SUM('Working sheet'!$D357:$P357)</f>
        <v>2295.7999999999997</v>
      </c>
      <c r="E357" s="14">
        <f>SUM('Working sheet'!$Q357)</f>
        <v>201.1</v>
      </c>
      <c r="F357" s="14">
        <f>SUM('Working sheet'!$R357:$T357)</f>
        <v>517.9</v>
      </c>
      <c r="G357" s="14">
        <f>SUM('Working sheet'!$U357)</f>
        <v>170.7</v>
      </c>
      <c r="H357" s="14">
        <f>SUM('Working sheet'!$V357)</f>
        <v>180.6</v>
      </c>
      <c r="I357" s="14">
        <f>SUM('Working sheet'!$W357:$AC357)</f>
        <v>1187</v>
      </c>
      <c r="J357" s="26">
        <v>174.1</v>
      </c>
    </row>
    <row r="358" spans="1:10" x14ac:dyDescent="0.25">
      <c r="A358" s="17" t="s">
        <v>31</v>
      </c>
      <c r="B358" s="17">
        <v>2022</v>
      </c>
      <c r="C358" s="17" t="s">
        <v>43</v>
      </c>
      <c r="D358" s="16">
        <f>SUM('Working sheet'!$D358:$P358)</f>
        <v>2283.4</v>
      </c>
      <c r="E358" s="17">
        <f>SUM('Working sheet'!$Q358)</f>
        <v>197.3</v>
      </c>
      <c r="F358" s="17">
        <f>SUM('Working sheet'!$R358:$T358)</f>
        <v>544</v>
      </c>
      <c r="G358" s="17">
        <f>SUM('Working sheet'!$U358)</f>
        <v>170.7</v>
      </c>
      <c r="H358" s="17">
        <f>SUM('Working sheet'!$V358)</f>
        <v>182</v>
      </c>
      <c r="I358" s="17">
        <f>SUM('Working sheet'!$W358:$AC358)</f>
        <v>1207.4000000000001</v>
      </c>
      <c r="J358" s="25">
        <v>175.7</v>
      </c>
    </row>
    <row r="359" spans="1:10" x14ac:dyDescent="0.25">
      <c r="A359" s="14" t="s">
        <v>28</v>
      </c>
      <c r="B359" s="14">
        <v>2023</v>
      </c>
      <c r="C359" s="14" t="s">
        <v>29</v>
      </c>
      <c r="D359" s="13">
        <f>SUM('Working sheet'!$D359:$P359)</f>
        <v>2283.2000000000003</v>
      </c>
      <c r="E359" s="14">
        <f>SUM('Working sheet'!$Q359)</f>
        <v>196.9</v>
      </c>
      <c r="F359" s="14">
        <f>SUM('Working sheet'!$R359:$T359)</f>
        <v>563.9</v>
      </c>
      <c r="G359" s="14">
        <f>SUM('Working sheet'!$U359)</f>
        <v>172.8</v>
      </c>
      <c r="H359" s="14">
        <f>SUM('Working sheet'!$V359)</f>
        <v>183.2</v>
      </c>
      <c r="I359" s="14">
        <f>SUM('Working sheet'!$W359:$AC359)</f>
        <v>1234.5999999999999</v>
      </c>
      <c r="J359" s="26">
        <v>177.8</v>
      </c>
    </row>
    <row r="360" spans="1:10" x14ac:dyDescent="0.25">
      <c r="A360" s="17" t="s">
        <v>30</v>
      </c>
      <c r="B360" s="17">
        <v>2023</v>
      </c>
      <c r="C360" s="17" t="s">
        <v>29</v>
      </c>
      <c r="D360" s="16">
        <f>SUM('Working sheet'!$D360:$P360)</f>
        <v>2310.2000000000003</v>
      </c>
      <c r="E360" s="17">
        <f>SUM('Working sheet'!$Q360)</f>
        <v>201.6</v>
      </c>
      <c r="F360" s="17">
        <f>SUM('Working sheet'!$R360:$T360)</f>
        <v>520.6</v>
      </c>
      <c r="G360" s="17">
        <f>SUM('Working sheet'!$U360)</f>
        <v>172.1</v>
      </c>
      <c r="H360" s="17">
        <f>SUM('Working sheet'!$V360)</f>
        <v>180.1</v>
      </c>
      <c r="I360" s="17">
        <f>SUM('Working sheet'!$W360:$AC360)</f>
        <v>1193.3</v>
      </c>
      <c r="J360" s="25">
        <v>174.9</v>
      </c>
    </row>
    <row r="361" spans="1:10" x14ac:dyDescent="0.25">
      <c r="A361" s="14" t="s">
        <v>31</v>
      </c>
      <c r="B361" s="14">
        <v>2023</v>
      </c>
      <c r="C361" s="14" t="s">
        <v>29</v>
      </c>
      <c r="D361" s="13">
        <f>SUM('Working sheet'!$D361:$P361)</f>
        <v>2292.6999999999998</v>
      </c>
      <c r="E361" s="14">
        <f>SUM('Working sheet'!$Q361)</f>
        <v>198.2</v>
      </c>
      <c r="F361" s="14">
        <f>SUM('Working sheet'!$R361:$T361)</f>
        <v>546.29999999999995</v>
      </c>
      <c r="G361" s="14">
        <f>SUM('Working sheet'!$U361)</f>
        <v>172.1</v>
      </c>
      <c r="H361" s="14">
        <f>SUM('Working sheet'!$V361)</f>
        <v>182</v>
      </c>
      <c r="I361" s="14">
        <f>SUM('Working sheet'!$W361:$AC361)</f>
        <v>1214</v>
      </c>
      <c r="J361" s="26">
        <v>176.5</v>
      </c>
    </row>
    <row r="362" spans="1:10" x14ac:dyDescent="0.25">
      <c r="A362" s="17" t="s">
        <v>28</v>
      </c>
      <c r="B362" s="17">
        <v>2023</v>
      </c>
      <c r="C362" s="17" t="s">
        <v>32</v>
      </c>
      <c r="D362" s="16">
        <f>SUM('Working sheet'!$D362:$P362)</f>
        <v>2265.6999999999998</v>
      </c>
      <c r="E362" s="17">
        <f>SUM('Working sheet'!$Q362)</f>
        <v>198.3</v>
      </c>
      <c r="F362" s="17">
        <f>SUM('Working sheet'!$R362:$T362)</f>
        <v>566.6</v>
      </c>
      <c r="G362" s="17">
        <f>SUM('Working sheet'!$U362)</f>
        <v>173.5</v>
      </c>
      <c r="H362" s="17">
        <f>SUM('Working sheet'!$V362)</f>
        <v>181.6</v>
      </c>
      <c r="I362" s="17">
        <f>SUM('Working sheet'!$W362:$AC362)</f>
        <v>1244.1000000000001</v>
      </c>
      <c r="J362" s="25">
        <v>178</v>
      </c>
    </row>
    <row r="363" spans="1:10" x14ac:dyDescent="0.25">
      <c r="A363" s="14" t="s">
        <v>30</v>
      </c>
      <c r="B363" s="14">
        <v>2023</v>
      </c>
      <c r="C363" s="14" t="s">
        <v>32</v>
      </c>
      <c r="D363" s="13">
        <f>SUM('Working sheet'!$D363:$P363)</f>
        <v>2303.1999999999998</v>
      </c>
      <c r="E363" s="14">
        <f>SUM('Working sheet'!$Q363)</f>
        <v>202.7</v>
      </c>
      <c r="F363" s="14">
        <f>SUM('Working sheet'!$R363:$T363)</f>
        <v>525.5</v>
      </c>
      <c r="G363" s="14">
        <f>SUM('Working sheet'!$U363)</f>
        <v>173.5</v>
      </c>
      <c r="H363" s="14">
        <f>SUM('Working sheet'!$V363)</f>
        <v>182.8</v>
      </c>
      <c r="I363" s="14">
        <f>SUM('Working sheet'!$W363:$AC363)</f>
        <v>1202.1000000000001</v>
      </c>
      <c r="J363" s="26">
        <v>176.3</v>
      </c>
    </row>
    <row r="364" spans="1:10" x14ac:dyDescent="0.25">
      <c r="A364" s="17" t="s">
        <v>31</v>
      </c>
      <c r="B364" s="17">
        <v>2023</v>
      </c>
      <c r="C364" s="17" t="s">
        <v>32</v>
      </c>
      <c r="D364" s="16">
        <f>SUM('Working sheet'!$D364:$P364)</f>
        <v>2279.1</v>
      </c>
      <c r="E364" s="17">
        <f>SUM('Working sheet'!$Q364)</f>
        <v>199.5</v>
      </c>
      <c r="F364" s="17">
        <f>SUM('Working sheet'!$R364:$T364)</f>
        <v>550</v>
      </c>
      <c r="G364" s="17">
        <f>SUM('Working sheet'!$U364)</f>
        <v>173.5</v>
      </c>
      <c r="H364" s="17">
        <f>SUM('Working sheet'!$V364)</f>
        <v>182.1</v>
      </c>
      <c r="I364" s="17">
        <f>SUM('Working sheet'!$W364:$AC364)</f>
        <v>1223.1999999999998</v>
      </c>
      <c r="J364" s="25">
        <v>177.2</v>
      </c>
    </row>
    <row r="365" spans="1:10" x14ac:dyDescent="0.25">
      <c r="A365" s="14" t="s">
        <v>28</v>
      </c>
      <c r="B365" s="14">
        <v>2023</v>
      </c>
      <c r="C365" s="14" t="s">
        <v>33</v>
      </c>
      <c r="D365" s="13">
        <f>SUM('Working sheet'!$D365:$P365)</f>
        <v>2265.8000000000002</v>
      </c>
      <c r="E365" s="14">
        <f>SUM('Working sheet'!$Q365)</f>
        <v>198.4</v>
      </c>
      <c r="F365" s="14">
        <f>SUM('Working sheet'!$R365:$T365)</f>
        <v>566.6</v>
      </c>
      <c r="G365" s="14">
        <f>SUM('Working sheet'!$U365)</f>
        <v>174.4</v>
      </c>
      <c r="H365" s="14">
        <f>SUM('Working sheet'!$V365)</f>
        <v>181.4</v>
      </c>
      <c r="I365" s="14">
        <f>SUM('Working sheet'!$W365:$AC365)</f>
        <v>1244.1000000000001</v>
      </c>
      <c r="J365" s="26">
        <v>178</v>
      </c>
    </row>
    <row r="366" spans="1:10" x14ac:dyDescent="0.25">
      <c r="A366" s="17" t="s">
        <v>30</v>
      </c>
      <c r="B366" s="17">
        <v>2023</v>
      </c>
      <c r="C366" s="17" t="s">
        <v>33</v>
      </c>
      <c r="D366" s="16">
        <f>SUM('Working sheet'!$D366:$P366)</f>
        <v>2303.4</v>
      </c>
      <c r="E366" s="17">
        <f>SUM('Working sheet'!$Q366)</f>
        <v>202.7</v>
      </c>
      <c r="F366" s="17">
        <f>SUM('Working sheet'!$R366:$T366)</f>
        <v>525.4</v>
      </c>
      <c r="G366" s="17">
        <f>SUM('Working sheet'!$U366)</f>
        <v>173.5</v>
      </c>
      <c r="H366" s="17">
        <f>SUM('Working sheet'!$V366)</f>
        <v>182.6</v>
      </c>
      <c r="I366" s="17">
        <f>SUM('Working sheet'!$W366:$AC366)</f>
        <v>1202.2</v>
      </c>
      <c r="J366" s="25">
        <v>176.3</v>
      </c>
    </row>
    <row r="367" spans="1:10" x14ac:dyDescent="0.25">
      <c r="A367" s="14" t="s">
        <v>31</v>
      </c>
      <c r="B367" s="14">
        <v>2023</v>
      </c>
      <c r="C367" s="14" t="s">
        <v>33</v>
      </c>
      <c r="D367" s="13">
        <f>SUM('Working sheet'!$D367:$P367)</f>
        <v>2279.1999999999998</v>
      </c>
      <c r="E367" s="14">
        <f>SUM('Working sheet'!$Q367)</f>
        <v>199.5</v>
      </c>
      <c r="F367" s="14">
        <f>SUM('Working sheet'!$R367:$T367)</f>
        <v>549.9</v>
      </c>
      <c r="G367" s="14">
        <f>SUM('Working sheet'!$U367)</f>
        <v>173.5</v>
      </c>
      <c r="H367" s="14">
        <f>SUM('Working sheet'!$V367)</f>
        <v>181.9</v>
      </c>
      <c r="I367" s="14">
        <f>SUM('Working sheet'!$W367:$AC367)</f>
        <v>1223.1999999999998</v>
      </c>
      <c r="J367" s="26">
        <v>177.2</v>
      </c>
    </row>
    <row r="368" spans="1:10" x14ac:dyDescent="0.25">
      <c r="A368" s="17" t="s">
        <v>28</v>
      </c>
      <c r="B368" s="17">
        <v>2023</v>
      </c>
      <c r="C368" s="17" t="s">
        <v>34</v>
      </c>
      <c r="D368" s="16">
        <f>SUM('Working sheet'!$D368:$P368)</f>
        <v>2274.1999999999998</v>
      </c>
      <c r="E368" s="17">
        <f>SUM('Working sheet'!$Q368)</f>
        <v>199.5</v>
      </c>
      <c r="F368" s="17">
        <f>SUM('Working sheet'!$R368:$T368)</f>
        <v>568.20000000000005</v>
      </c>
      <c r="G368" s="17">
        <f>SUM('Working sheet'!$U368)</f>
        <v>174.4</v>
      </c>
      <c r="H368" s="17">
        <f>SUM('Working sheet'!$V368)</f>
        <v>181.5</v>
      </c>
      <c r="I368" s="17">
        <f>SUM('Working sheet'!$W368:$AC368)</f>
        <v>1251</v>
      </c>
      <c r="J368" s="25">
        <v>178.8</v>
      </c>
    </row>
    <row r="369" spans="1:10" x14ac:dyDescent="0.25">
      <c r="A369" s="14" t="s">
        <v>30</v>
      </c>
      <c r="B369" s="14">
        <v>2023</v>
      </c>
      <c r="C369" s="14" t="s">
        <v>34</v>
      </c>
      <c r="D369" s="13">
        <f>SUM('Working sheet'!$D369:$P369)</f>
        <v>2317.7000000000003</v>
      </c>
      <c r="E369" s="14">
        <f>SUM('Working sheet'!$Q369)</f>
        <v>203.5</v>
      </c>
      <c r="F369" s="14">
        <f>SUM('Working sheet'!$R369:$T369)</f>
        <v>527.6</v>
      </c>
      <c r="G369" s="14">
        <f>SUM('Working sheet'!$U369)</f>
        <v>175.2</v>
      </c>
      <c r="H369" s="14">
        <f>SUM('Working sheet'!$V369)</f>
        <v>182.1</v>
      </c>
      <c r="I369" s="14">
        <f>SUM('Working sheet'!$W369:$AC369)</f>
        <v>1209.5000000000002</v>
      </c>
      <c r="J369" s="26">
        <v>177.4</v>
      </c>
    </row>
    <row r="370" spans="1:10" x14ac:dyDescent="0.25">
      <c r="A370" s="17" t="s">
        <v>31</v>
      </c>
      <c r="B370" s="17">
        <v>2023</v>
      </c>
      <c r="C370" s="17" t="s">
        <v>34</v>
      </c>
      <c r="D370" s="16">
        <f>SUM('Working sheet'!$D370:$P370)</f>
        <v>2289.6000000000004</v>
      </c>
      <c r="E370" s="17">
        <f>SUM('Working sheet'!$Q370)</f>
        <v>200.6</v>
      </c>
      <c r="F370" s="17">
        <f>SUM('Working sheet'!$R370:$T370)</f>
        <v>551.79999999999995</v>
      </c>
      <c r="G370" s="17">
        <f>SUM('Working sheet'!$U370)</f>
        <v>175.2</v>
      </c>
      <c r="H370" s="17">
        <f>SUM('Working sheet'!$V370)</f>
        <v>181.7</v>
      </c>
      <c r="I370" s="17">
        <f>SUM('Working sheet'!$W370:$AC370)</f>
        <v>1230.1999999999998</v>
      </c>
      <c r="J370" s="25">
        <v>178.1</v>
      </c>
    </row>
    <row r="371" spans="1:10" x14ac:dyDescent="0.25">
      <c r="A371" s="14" t="s">
        <v>28</v>
      </c>
      <c r="B371" s="14">
        <v>2023</v>
      </c>
      <c r="C371" s="14" t="s">
        <v>35</v>
      </c>
      <c r="D371" s="13">
        <f>SUM('Working sheet'!$D371:$P371)</f>
        <v>2290.7000000000007</v>
      </c>
      <c r="E371" s="14">
        <f>SUM('Working sheet'!$Q371)</f>
        <v>199.9</v>
      </c>
      <c r="F371" s="14">
        <f>SUM('Working sheet'!$R371:$T371)</f>
        <v>569.90000000000009</v>
      </c>
      <c r="G371" s="14">
        <f>SUM('Working sheet'!$U371)</f>
        <v>175.3</v>
      </c>
      <c r="H371" s="14">
        <f>SUM('Working sheet'!$V371)</f>
        <v>182.5</v>
      </c>
      <c r="I371" s="14">
        <f>SUM('Working sheet'!$W371:$AC371)</f>
        <v>1255.8</v>
      </c>
      <c r="J371" s="26">
        <v>179.8</v>
      </c>
    </row>
    <row r="372" spans="1:10" x14ac:dyDescent="0.25">
      <c r="A372" s="17" t="s">
        <v>30</v>
      </c>
      <c r="B372" s="17">
        <v>2023</v>
      </c>
      <c r="C372" s="17" t="s">
        <v>35</v>
      </c>
      <c r="D372" s="16">
        <f>SUM('Working sheet'!$D372:$P372)</f>
        <v>2335.1</v>
      </c>
      <c r="E372" s="17">
        <f>SUM('Working sheet'!$Q372)</f>
        <v>204.2</v>
      </c>
      <c r="F372" s="17">
        <f>SUM('Working sheet'!$R372:$T372)</f>
        <v>528.70000000000005</v>
      </c>
      <c r="G372" s="17">
        <f>SUM('Working sheet'!$U372)</f>
        <v>175.6</v>
      </c>
      <c r="H372" s="17">
        <f>SUM('Working sheet'!$V372)</f>
        <v>183.4</v>
      </c>
      <c r="I372" s="17">
        <f>SUM('Working sheet'!$W372:$AC372)</f>
        <v>1213.8999999999996</v>
      </c>
      <c r="J372" s="25">
        <v>178.2</v>
      </c>
    </row>
    <row r="373" spans="1:10" x14ac:dyDescent="0.25">
      <c r="A373" s="14" t="s">
        <v>31</v>
      </c>
      <c r="B373" s="14">
        <v>2023</v>
      </c>
      <c r="C373" s="14" t="s">
        <v>35</v>
      </c>
      <c r="D373" s="13">
        <f>SUM('Working sheet'!$D373:$P373)</f>
        <v>2306.9</v>
      </c>
      <c r="E373" s="14">
        <f>SUM('Working sheet'!$Q373)</f>
        <v>201</v>
      </c>
      <c r="F373" s="14">
        <f>SUM('Working sheet'!$R373:$T373)</f>
        <v>553.20000000000005</v>
      </c>
      <c r="G373" s="14">
        <f>SUM('Working sheet'!$U373)</f>
        <v>175.6</v>
      </c>
      <c r="H373" s="14">
        <f>SUM('Working sheet'!$V373)</f>
        <v>182.8</v>
      </c>
      <c r="I373" s="14">
        <f>SUM('Working sheet'!$W373:$AC373)</f>
        <v>1234.9000000000001</v>
      </c>
      <c r="J373" s="26">
        <v>179.1</v>
      </c>
    </row>
  </sheetData>
  <sheetProtection algorithmName="SHA-512" hashValue="SyF1P4/nXKxLTSVMhQ61qb+ccPJ17zpnhGNgfpYe6JJ98fp+5qqMBhQaLA1Y/7tHrbTUEYA2T7bATrwBcQEQYg==" saltValue="UpM88Ooh0m55NAfqLL52Ww==" spinCount="100000"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C018D-CD75-48CF-8F95-544B2497C54D}">
  <dimension ref="B1:F28"/>
  <sheetViews>
    <sheetView workbookViewId="0">
      <selection activeCell="G13" sqref="G13"/>
    </sheetView>
  </sheetViews>
  <sheetFormatPr defaultRowHeight="15" x14ac:dyDescent="0.25"/>
  <cols>
    <col min="2" max="2" width="33.42578125" bestFit="1" customWidth="1"/>
    <col min="3" max="3" width="25.28515625" bestFit="1" customWidth="1"/>
    <col min="6" max="6" width="25.28515625" bestFit="1" customWidth="1"/>
  </cols>
  <sheetData>
    <row r="1" spans="2:6" x14ac:dyDescent="0.25">
      <c r="B1" s="1" t="s">
        <v>52</v>
      </c>
      <c r="C1" s="1" t="s">
        <v>53</v>
      </c>
      <c r="F1" s="2" t="s">
        <v>48</v>
      </c>
    </row>
    <row r="2" spans="2:6" x14ac:dyDescent="0.25">
      <c r="B2" s="2" t="s">
        <v>3</v>
      </c>
      <c r="C2" s="2" t="s">
        <v>48</v>
      </c>
      <c r="F2" s="2" t="s">
        <v>49</v>
      </c>
    </row>
    <row r="3" spans="2:6" x14ac:dyDescent="0.25">
      <c r="B3" s="2" t="s">
        <v>4</v>
      </c>
      <c r="C3" s="2" t="s">
        <v>48</v>
      </c>
      <c r="F3" s="2" t="s">
        <v>50</v>
      </c>
    </row>
    <row r="4" spans="2:6" x14ac:dyDescent="0.25">
      <c r="B4" s="2" t="s">
        <v>5</v>
      </c>
      <c r="C4" s="2" t="s">
        <v>48</v>
      </c>
      <c r="F4" s="2" t="s">
        <v>19</v>
      </c>
    </row>
    <row r="5" spans="2:6" x14ac:dyDescent="0.25">
      <c r="B5" s="2" t="s">
        <v>6</v>
      </c>
      <c r="C5" s="2" t="s">
        <v>48</v>
      </c>
      <c r="F5" s="2" t="s">
        <v>51</v>
      </c>
    </row>
    <row r="6" spans="2:6" x14ac:dyDescent="0.25">
      <c r="B6" s="2" t="s">
        <v>7</v>
      </c>
      <c r="C6" s="2" t="s">
        <v>48</v>
      </c>
      <c r="F6" s="2" t="s">
        <v>26</v>
      </c>
    </row>
    <row r="7" spans="2:6" x14ac:dyDescent="0.25">
      <c r="B7" s="2" t="s">
        <v>8</v>
      </c>
      <c r="C7" s="2" t="s">
        <v>48</v>
      </c>
    </row>
    <row r="8" spans="2:6" x14ac:dyDescent="0.25">
      <c r="B8" s="2" t="s">
        <v>9</v>
      </c>
      <c r="C8" s="2" t="s">
        <v>48</v>
      </c>
    </row>
    <row r="9" spans="2:6" x14ac:dyDescent="0.25">
      <c r="B9" s="2" t="s">
        <v>10</v>
      </c>
      <c r="C9" s="2" t="s">
        <v>48</v>
      </c>
    </row>
    <row r="10" spans="2:6" x14ac:dyDescent="0.25">
      <c r="B10" s="2" t="s">
        <v>11</v>
      </c>
      <c r="C10" s="2" t="s">
        <v>48</v>
      </c>
    </row>
    <row r="11" spans="2:6" x14ac:dyDescent="0.25">
      <c r="B11" s="2" t="s">
        <v>12</v>
      </c>
      <c r="C11" s="2" t="s">
        <v>48</v>
      </c>
    </row>
    <row r="12" spans="2:6" x14ac:dyDescent="0.25">
      <c r="B12" s="2" t="s">
        <v>13</v>
      </c>
      <c r="C12" s="2" t="s">
        <v>48</v>
      </c>
    </row>
    <row r="13" spans="2:6" x14ac:dyDescent="0.25">
      <c r="B13" s="2" t="s">
        <v>54</v>
      </c>
      <c r="C13" s="2" t="s">
        <v>48</v>
      </c>
    </row>
    <row r="14" spans="2:6" x14ac:dyDescent="0.25">
      <c r="B14" s="2" t="s">
        <v>14</v>
      </c>
      <c r="C14" s="2" t="s">
        <v>48</v>
      </c>
    </row>
    <row r="15" spans="2:6" x14ac:dyDescent="0.25">
      <c r="B15" s="2" t="s">
        <v>15</v>
      </c>
      <c r="C15" s="2" t="s">
        <v>49</v>
      </c>
    </row>
    <row r="16" spans="2:6" x14ac:dyDescent="0.25">
      <c r="B16" s="2" t="s">
        <v>16</v>
      </c>
      <c r="C16" s="2" t="s">
        <v>50</v>
      </c>
    </row>
    <row r="17" spans="2:3" x14ac:dyDescent="0.25">
      <c r="B17" s="2" t="s">
        <v>17</v>
      </c>
      <c r="C17" s="2" t="s">
        <v>50</v>
      </c>
    </row>
    <row r="18" spans="2:3" x14ac:dyDescent="0.25">
      <c r="B18" s="2" t="s">
        <v>18</v>
      </c>
      <c r="C18" s="2" t="s">
        <v>50</v>
      </c>
    </row>
    <row r="19" spans="2:3" x14ac:dyDescent="0.25">
      <c r="B19" s="2" t="s">
        <v>19</v>
      </c>
      <c r="C19" s="2" t="s">
        <v>19</v>
      </c>
    </row>
    <row r="20" spans="2:3" x14ac:dyDescent="0.25">
      <c r="B20" s="2" t="s">
        <v>20</v>
      </c>
      <c r="C20" s="2" t="s">
        <v>51</v>
      </c>
    </row>
    <row r="21" spans="2:3" x14ac:dyDescent="0.25">
      <c r="B21" s="2" t="s">
        <v>21</v>
      </c>
      <c r="C21" s="2" t="s">
        <v>26</v>
      </c>
    </row>
    <row r="22" spans="2:3" x14ac:dyDescent="0.25">
      <c r="B22" s="2" t="s">
        <v>47</v>
      </c>
      <c r="C22" s="2" t="s">
        <v>26</v>
      </c>
    </row>
    <row r="23" spans="2:3" x14ac:dyDescent="0.25">
      <c r="B23" s="2" t="s">
        <v>22</v>
      </c>
      <c r="C23" s="2" t="s">
        <v>26</v>
      </c>
    </row>
    <row r="24" spans="2:3" x14ac:dyDescent="0.25">
      <c r="B24" s="2" t="s">
        <v>23</v>
      </c>
      <c r="C24" s="2" t="s">
        <v>26</v>
      </c>
    </row>
    <row r="25" spans="2:3" x14ac:dyDescent="0.25">
      <c r="B25" s="2" t="s">
        <v>24</v>
      </c>
      <c r="C25" s="2" t="s">
        <v>26</v>
      </c>
    </row>
    <row r="26" spans="2:3" x14ac:dyDescent="0.25">
      <c r="B26" s="2" t="s">
        <v>25</v>
      </c>
      <c r="C26" s="2" t="s">
        <v>26</v>
      </c>
    </row>
    <row r="27" spans="2:3" x14ac:dyDescent="0.25">
      <c r="B27" s="2" t="s">
        <v>26</v>
      </c>
      <c r="C27" s="2" t="s">
        <v>26</v>
      </c>
    </row>
    <row r="28" spans="2:3" x14ac:dyDescent="0.25">
      <c r="B28" s="2" t="s">
        <v>27</v>
      </c>
      <c r="C28" s="2" t="s">
        <v>55</v>
      </c>
    </row>
  </sheetData>
  <sheetProtection algorithmName="SHA-512" hashValue="0TXyBrZAWhUDGo81TRvBY/OWlrxKwimPvfN3pQRgQf7pw6IGN80/R55oSnZpti1NUFlnLPv1O65egAeGDZef2A==" saltValue="WnBFbkmwIiywjKNqYgrak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AD58B-89D3-4820-8F97-59ABEB37A210}">
  <dimension ref="A1"/>
  <sheetViews>
    <sheetView tabSelected="1" workbookViewId="0">
      <selection sqref="A1:XFD1048576"/>
    </sheetView>
  </sheetViews>
  <sheetFormatPr defaultRowHeight="15" x14ac:dyDescent="0.25"/>
  <cols>
    <col min="1" max="16384" width="9.140625" style="6"/>
  </cols>
  <sheetData/>
  <sheetProtection algorithmName="SHA-512" hashValue="Xvq26NvZXlg3nG6g92KXsrWPteFnKkLr9CFP3M0PzlIOCUwUDaseUsEWkYIobgLNthWcICRCevui/CncxuvK0g==" saltValue="VHuwWhGwKd6t9mKrEFioag==" spinCount="100000" sheet="1" objects="1" scenarios="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7854-8A8C-410B-AEA6-C2CC7786D68E}">
  <dimension ref="A1:S2233"/>
  <sheetViews>
    <sheetView workbookViewId="0">
      <selection activeCell="M28" sqref="M28"/>
    </sheetView>
  </sheetViews>
  <sheetFormatPr defaultRowHeight="15" x14ac:dyDescent="0.25"/>
  <cols>
    <col min="1" max="1" width="12.140625" bestFit="1" customWidth="1"/>
    <col min="2" max="2" width="7.28515625" bestFit="1" customWidth="1"/>
    <col min="3" max="3" width="10.42578125" bestFit="1" customWidth="1"/>
    <col min="4" max="4" width="25.28515625" bestFit="1" customWidth="1"/>
    <col min="5" max="5" width="8.28515625" bestFit="1" customWidth="1"/>
    <col min="8" max="8" width="25.28515625" bestFit="1" customWidth="1"/>
    <col min="9" max="9" width="16.85546875" bestFit="1" customWidth="1"/>
    <col min="10" max="10" width="13.85546875" bestFit="1" customWidth="1"/>
    <col min="11" max="11" width="17.85546875" bestFit="1" customWidth="1"/>
    <col min="12" max="12" width="18.85546875" bestFit="1" customWidth="1"/>
  </cols>
  <sheetData>
    <row r="1" spans="1:18" x14ac:dyDescent="0.25">
      <c r="A1" t="s">
        <v>0</v>
      </c>
      <c r="B1" t="s">
        <v>1</v>
      </c>
      <c r="C1" t="s">
        <v>2</v>
      </c>
      <c r="D1" t="s">
        <v>59</v>
      </c>
      <c r="E1" t="s">
        <v>60</v>
      </c>
      <c r="F1" s="6"/>
      <c r="G1" s="6"/>
      <c r="H1" s="6"/>
      <c r="I1" s="6"/>
      <c r="J1" s="6"/>
      <c r="K1" s="6"/>
      <c r="L1" s="6"/>
      <c r="M1" s="6"/>
      <c r="N1" s="6"/>
      <c r="O1" s="6"/>
      <c r="P1" s="6"/>
      <c r="Q1" s="6"/>
      <c r="R1" s="6"/>
    </row>
    <row r="2" spans="1:18" x14ac:dyDescent="0.25">
      <c r="A2" s="7" t="s">
        <v>28</v>
      </c>
      <c r="B2">
        <v>2013</v>
      </c>
      <c r="C2" s="7" t="s">
        <v>29</v>
      </c>
      <c r="D2" s="7" t="s">
        <v>48</v>
      </c>
      <c r="E2">
        <v>1371.6999999999998</v>
      </c>
      <c r="F2" s="6"/>
      <c r="G2" s="6"/>
      <c r="H2" s="6"/>
      <c r="I2" s="6"/>
      <c r="J2" s="6"/>
      <c r="K2" s="6"/>
      <c r="L2" s="6"/>
      <c r="M2" s="6"/>
      <c r="N2" s="6"/>
      <c r="O2" s="6"/>
      <c r="P2" s="6"/>
      <c r="Q2" s="6"/>
      <c r="R2" s="6"/>
    </row>
    <row r="3" spans="1:18" x14ac:dyDescent="0.25">
      <c r="A3" s="7" t="s">
        <v>28</v>
      </c>
      <c r="B3">
        <v>2013</v>
      </c>
      <c r="C3" s="7" t="s">
        <v>29</v>
      </c>
      <c r="D3" s="7" t="s">
        <v>49</v>
      </c>
      <c r="E3">
        <v>105.1</v>
      </c>
      <c r="F3" s="6"/>
      <c r="G3" s="6"/>
      <c r="H3" s="6"/>
      <c r="I3" s="6"/>
      <c r="J3" s="6"/>
      <c r="K3" s="6"/>
      <c r="L3" s="6"/>
      <c r="M3" s="6"/>
      <c r="N3" s="6"/>
      <c r="O3" s="6"/>
      <c r="P3" s="6"/>
      <c r="Q3" s="6"/>
      <c r="R3" s="6"/>
    </row>
    <row r="4" spans="1:18" x14ac:dyDescent="0.25">
      <c r="A4" s="7" t="s">
        <v>28</v>
      </c>
      <c r="B4">
        <v>2013</v>
      </c>
      <c r="C4" s="7" t="s">
        <v>29</v>
      </c>
      <c r="D4" s="7" t="s">
        <v>50</v>
      </c>
      <c r="E4">
        <v>318.70000000000005</v>
      </c>
      <c r="F4" s="6"/>
      <c r="G4" s="6"/>
      <c r="H4" s="6"/>
      <c r="I4" s="6"/>
      <c r="J4" s="6"/>
      <c r="K4" s="6"/>
      <c r="L4" s="6"/>
      <c r="M4" s="6"/>
      <c r="N4" s="6"/>
      <c r="O4" s="6"/>
      <c r="P4" s="6"/>
      <c r="Q4" s="6"/>
      <c r="R4" s="6"/>
    </row>
    <row r="5" spans="1:18" x14ac:dyDescent="0.25">
      <c r="A5" s="7" t="s">
        <v>28</v>
      </c>
      <c r="B5">
        <v>2013</v>
      </c>
      <c r="C5" s="7" t="s">
        <v>29</v>
      </c>
      <c r="D5" s="7" t="s">
        <v>19</v>
      </c>
      <c r="E5">
        <v>100.4</v>
      </c>
      <c r="F5" s="6"/>
      <c r="G5" s="6"/>
      <c r="H5" s="28" t="s">
        <v>1</v>
      </c>
      <c r="I5" s="29">
        <v>2023</v>
      </c>
      <c r="J5" s="6"/>
      <c r="K5" s="6"/>
      <c r="L5" s="6"/>
      <c r="M5" s="6"/>
      <c r="N5" s="6"/>
      <c r="O5" s="6"/>
      <c r="P5" s="6"/>
      <c r="Q5" s="6"/>
      <c r="R5" s="6"/>
    </row>
    <row r="6" spans="1:18" x14ac:dyDescent="0.25">
      <c r="A6" s="7" t="s">
        <v>28</v>
      </c>
      <c r="B6">
        <v>2013</v>
      </c>
      <c r="C6" s="7" t="s">
        <v>29</v>
      </c>
      <c r="D6" s="7" t="s">
        <v>51</v>
      </c>
      <c r="E6">
        <v>105.5</v>
      </c>
      <c r="F6" s="6"/>
      <c r="G6" s="6"/>
      <c r="H6" s="28" t="s">
        <v>2</v>
      </c>
      <c r="I6" s="28" t="s">
        <v>35</v>
      </c>
      <c r="J6" s="6"/>
      <c r="K6" s="6"/>
      <c r="L6" s="6"/>
      <c r="M6" s="6"/>
      <c r="N6" s="6"/>
      <c r="O6" s="6"/>
      <c r="P6" s="6"/>
      <c r="Q6" s="6"/>
      <c r="R6" s="6"/>
    </row>
    <row r="7" spans="1:18" x14ac:dyDescent="0.25">
      <c r="A7" s="7" t="s">
        <v>28</v>
      </c>
      <c r="B7">
        <v>2013</v>
      </c>
      <c r="C7" s="7" t="s">
        <v>29</v>
      </c>
      <c r="D7" s="7" t="s">
        <v>26</v>
      </c>
      <c r="E7">
        <v>728</v>
      </c>
      <c r="F7" s="6"/>
      <c r="G7" s="6"/>
      <c r="H7" s="6"/>
      <c r="I7" s="6"/>
      <c r="J7" s="6"/>
      <c r="K7" s="6"/>
      <c r="L7" s="6"/>
      <c r="M7" s="6"/>
      <c r="N7" s="6"/>
      <c r="O7" s="6"/>
      <c r="P7" s="6"/>
      <c r="Q7" s="6"/>
      <c r="R7" s="6"/>
    </row>
    <row r="8" spans="1:18" x14ac:dyDescent="0.25">
      <c r="A8" s="7" t="s">
        <v>30</v>
      </c>
      <c r="B8">
        <v>2013</v>
      </c>
      <c r="C8" s="7" t="s">
        <v>29</v>
      </c>
      <c r="D8" s="7" t="s">
        <v>48</v>
      </c>
      <c r="E8">
        <v>1376.4</v>
      </c>
      <c r="F8" s="6"/>
      <c r="G8" s="6"/>
      <c r="H8" s="6"/>
      <c r="I8" s="28" t="s">
        <v>57</v>
      </c>
      <c r="J8" s="6"/>
      <c r="K8" s="6"/>
      <c r="L8" s="6"/>
      <c r="M8" s="6"/>
      <c r="N8" s="6"/>
      <c r="O8" s="6"/>
      <c r="P8" s="6"/>
      <c r="Q8" s="6"/>
      <c r="R8" s="6"/>
    </row>
    <row r="9" spans="1:18" x14ac:dyDescent="0.25">
      <c r="A9" s="7" t="s">
        <v>30</v>
      </c>
      <c r="B9">
        <v>2013</v>
      </c>
      <c r="C9" s="7" t="s">
        <v>29</v>
      </c>
      <c r="D9" s="7" t="s">
        <v>49</v>
      </c>
      <c r="E9">
        <v>105.2</v>
      </c>
      <c r="F9" s="6"/>
      <c r="G9" s="6"/>
      <c r="H9" s="6"/>
      <c r="I9" s="6" t="s">
        <v>31</v>
      </c>
      <c r="J9" s="6"/>
      <c r="K9" s="6"/>
      <c r="L9" s="6"/>
      <c r="M9" s="6"/>
      <c r="N9" s="6"/>
      <c r="O9" s="6"/>
      <c r="P9" s="6"/>
      <c r="Q9" s="6"/>
      <c r="R9" s="6"/>
    </row>
    <row r="10" spans="1:18" x14ac:dyDescent="0.25">
      <c r="A10" s="7" t="s">
        <v>30</v>
      </c>
      <c r="B10">
        <v>2013</v>
      </c>
      <c r="C10" s="7" t="s">
        <v>29</v>
      </c>
      <c r="D10" s="7" t="s">
        <v>50</v>
      </c>
      <c r="E10">
        <v>316.7</v>
      </c>
      <c r="F10" s="6"/>
      <c r="G10" s="6"/>
      <c r="H10" s="28" t="s">
        <v>62</v>
      </c>
      <c r="I10" s="28" t="s">
        <v>64</v>
      </c>
      <c r="J10" s="28" t="s">
        <v>63</v>
      </c>
      <c r="K10" s="6"/>
      <c r="L10" s="6"/>
      <c r="M10" s="6"/>
      <c r="N10" s="6"/>
      <c r="O10" s="6"/>
      <c r="P10" s="6"/>
      <c r="Q10" s="6"/>
      <c r="R10" s="6"/>
    </row>
    <row r="11" spans="1:18" x14ac:dyDescent="0.25">
      <c r="A11" s="7" t="s">
        <v>30</v>
      </c>
      <c r="B11">
        <v>2013</v>
      </c>
      <c r="C11" s="7" t="s">
        <v>29</v>
      </c>
      <c r="D11" s="7" t="s">
        <v>19</v>
      </c>
      <c r="E11">
        <v>100.3</v>
      </c>
      <c r="F11" s="6"/>
      <c r="G11" s="6"/>
      <c r="H11" s="29" t="s">
        <v>50</v>
      </c>
      <c r="I11" s="30">
        <v>553.20000000000005</v>
      </c>
      <c r="J11" s="31">
        <v>0.11885527672739772</v>
      </c>
      <c r="K11" s="6"/>
      <c r="L11" s="6"/>
      <c r="M11" s="6"/>
      <c r="N11" s="6"/>
      <c r="O11" s="6"/>
      <c r="P11" s="6"/>
      <c r="Q11" s="6"/>
      <c r="R11" s="6"/>
    </row>
    <row r="12" spans="1:18" x14ac:dyDescent="0.25">
      <c r="A12" s="7" t="s">
        <v>30</v>
      </c>
      <c r="B12">
        <v>2013</v>
      </c>
      <c r="C12" s="7" t="s">
        <v>29</v>
      </c>
      <c r="D12" s="7" t="s">
        <v>51</v>
      </c>
      <c r="E12">
        <v>105.4</v>
      </c>
      <c r="F12" s="6"/>
      <c r="G12" s="6"/>
      <c r="H12" s="29" t="s">
        <v>48</v>
      </c>
      <c r="I12" s="30">
        <v>2306.9</v>
      </c>
      <c r="J12" s="31">
        <v>0.49563853557923682</v>
      </c>
      <c r="K12" s="6"/>
      <c r="L12" s="6"/>
      <c r="M12" s="6"/>
      <c r="N12" s="6"/>
      <c r="O12" s="6"/>
      <c r="P12" s="6"/>
      <c r="Q12" s="6"/>
      <c r="R12" s="6"/>
    </row>
    <row r="13" spans="1:18" x14ac:dyDescent="0.25">
      <c r="A13" s="7" t="s">
        <v>30</v>
      </c>
      <c r="B13">
        <v>2013</v>
      </c>
      <c r="C13" s="7" t="s">
        <v>29</v>
      </c>
      <c r="D13" s="7" t="s">
        <v>26</v>
      </c>
      <c r="E13">
        <v>726.5</v>
      </c>
      <c r="F13" s="6"/>
      <c r="G13" s="6"/>
      <c r="H13" s="29" t="s">
        <v>51</v>
      </c>
      <c r="I13" s="30">
        <v>182.8</v>
      </c>
      <c r="J13" s="31">
        <v>3.9274664833276039E-2</v>
      </c>
      <c r="K13" s="6"/>
      <c r="L13" s="6"/>
      <c r="M13" s="6"/>
      <c r="N13" s="6"/>
      <c r="O13" s="6"/>
      <c r="P13" s="6"/>
      <c r="Q13" s="6"/>
      <c r="R13" s="6"/>
    </row>
    <row r="14" spans="1:18" x14ac:dyDescent="0.25">
      <c r="A14" s="7" t="s">
        <v>31</v>
      </c>
      <c r="B14">
        <v>2013</v>
      </c>
      <c r="C14" s="7" t="s">
        <v>29</v>
      </c>
      <c r="D14" s="7" t="s">
        <v>48</v>
      </c>
      <c r="E14">
        <v>1373.3000000000002</v>
      </c>
      <c r="F14" s="6"/>
      <c r="G14" s="6"/>
      <c r="H14" s="29" t="s">
        <v>19</v>
      </c>
      <c r="I14" s="30">
        <v>175.6</v>
      </c>
      <c r="J14" s="31">
        <v>3.7727741491921617E-2</v>
      </c>
      <c r="K14" s="6"/>
      <c r="L14" s="6"/>
      <c r="M14" s="6"/>
      <c r="N14" s="6"/>
      <c r="O14" s="6"/>
      <c r="P14" s="6"/>
      <c r="Q14" s="6"/>
      <c r="R14" s="6"/>
    </row>
    <row r="15" spans="1:18" x14ac:dyDescent="0.25">
      <c r="A15" s="7" t="s">
        <v>31</v>
      </c>
      <c r="B15">
        <v>2013</v>
      </c>
      <c r="C15" s="7" t="s">
        <v>29</v>
      </c>
      <c r="D15" s="7" t="s">
        <v>49</v>
      </c>
      <c r="E15">
        <v>105.1</v>
      </c>
      <c r="F15" s="6"/>
      <c r="G15" s="6"/>
      <c r="H15" s="29" t="s">
        <v>26</v>
      </c>
      <c r="I15" s="30">
        <v>1234.9000000000001</v>
      </c>
      <c r="J15" s="31">
        <v>0.26531883808869028</v>
      </c>
      <c r="K15" s="6"/>
      <c r="L15" s="6"/>
      <c r="M15" s="6"/>
      <c r="N15" s="6"/>
      <c r="O15" s="6"/>
      <c r="P15" s="6"/>
      <c r="Q15" s="6"/>
      <c r="R15" s="6"/>
    </row>
    <row r="16" spans="1:18" x14ac:dyDescent="0.25">
      <c r="A16" s="7" t="s">
        <v>31</v>
      </c>
      <c r="B16">
        <v>2013</v>
      </c>
      <c r="C16" s="7" t="s">
        <v>29</v>
      </c>
      <c r="D16" s="7" t="s">
        <v>50</v>
      </c>
      <c r="E16">
        <v>318</v>
      </c>
      <c r="F16" s="6"/>
      <c r="G16" s="6"/>
      <c r="H16" s="29" t="s">
        <v>49</v>
      </c>
      <c r="I16" s="30">
        <v>201</v>
      </c>
      <c r="J16" s="31">
        <v>4.3184943279477479E-2</v>
      </c>
      <c r="K16" s="6"/>
      <c r="L16" s="6"/>
      <c r="M16" s="6"/>
      <c r="N16" s="6"/>
      <c r="O16" s="6"/>
      <c r="P16" s="6"/>
      <c r="Q16" s="6"/>
      <c r="R16" s="6"/>
    </row>
    <row r="17" spans="1:18" x14ac:dyDescent="0.25">
      <c r="A17" s="7" t="s">
        <v>31</v>
      </c>
      <c r="B17">
        <v>2013</v>
      </c>
      <c r="C17" s="7" t="s">
        <v>29</v>
      </c>
      <c r="D17" s="7" t="s">
        <v>19</v>
      </c>
      <c r="E17">
        <v>100.3</v>
      </c>
      <c r="F17" s="6"/>
      <c r="G17" s="6"/>
      <c r="H17" s="29" t="s">
        <v>58</v>
      </c>
      <c r="I17" s="30">
        <v>4654.4000000000005</v>
      </c>
      <c r="J17" s="32">
        <v>1</v>
      </c>
      <c r="K17" s="6"/>
      <c r="L17" s="6"/>
      <c r="M17" s="6"/>
      <c r="N17" s="6"/>
      <c r="O17" s="6"/>
      <c r="P17" s="6"/>
      <c r="Q17" s="6"/>
      <c r="R17" s="6"/>
    </row>
    <row r="18" spans="1:18" x14ac:dyDescent="0.25">
      <c r="A18" s="7" t="s">
        <v>31</v>
      </c>
      <c r="B18">
        <v>2013</v>
      </c>
      <c r="C18" s="7" t="s">
        <v>29</v>
      </c>
      <c r="D18" s="7" t="s">
        <v>51</v>
      </c>
      <c r="E18">
        <v>105.5</v>
      </c>
      <c r="F18" s="6"/>
      <c r="G18" s="6"/>
      <c r="H18" s="6"/>
      <c r="I18" s="6"/>
      <c r="J18" s="6"/>
      <c r="K18" s="6"/>
      <c r="L18" s="6"/>
      <c r="M18" s="6"/>
      <c r="N18" s="6"/>
      <c r="O18" s="6"/>
      <c r="P18" s="6"/>
      <c r="Q18" s="6"/>
      <c r="R18" s="6"/>
    </row>
    <row r="19" spans="1:18" x14ac:dyDescent="0.25">
      <c r="A19" s="7" t="s">
        <v>31</v>
      </c>
      <c r="B19">
        <v>2013</v>
      </c>
      <c r="C19" s="7" t="s">
        <v>29</v>
      </c>
      <c r="D19" s="7" t="s">
        <v>26</v>
      </c>
      <c r="E19">
        <v>727.1</v>
      </c>
      <c r="F19" s="6"/>
      <c r="G19" s="6"/>
      <c r="H19" s="6"/>
      <c r="I19" s="6"/>
      <c r="J19" s="6"/>
      <c r="K19" s="6"/>
      <c r="L19" s="6"/>
      <c r="M19" s="6"/>
      <c r="N19" s="6"/>
      <c r="O19" s="6"/>
      <c r="P19" s="6"/>
      <c r="Q19" s="6"/>
      <c r="R19" s="6"/>
    </row>
    <row r="20" spans="1:18" x14ac:dyDescent="0.25">
      <c r="A20" s="7" t="s">
        <v>28</v>
      </c>
      <c r="B20">
        <v>2013</v>
      </c>
      <c r="C20" s="7" t="s">
        <v>32</v>
      </c>
      <c r="D20" s="7" t="s">
        <v>48</v>
      </c>
      <c r="E20">
        <v>1380.3999999999999</v>
      </c>
      <c r="F20" s="6"/>
      <c r="G20" s="6"/>
      <c r="H20" s="6"/>
      <c r="I20" s="6"/>
      <c r="J20" s="6"/>
      <c r="K20" s="6"/>
      <c r="L20" s="6"/>
      <c r="M20" s="6"/>
      <c r="N20" s="6"/>
      <c r="O20" s="6"/>
      <c r="P20" s="6"/>
      <c r="Q20" s="6"/>
      <c r="R20" s="6"/>
    </row>
    <row r="21" spans="1:18" x14ac:dyDescent="0.25">
      <c r="A21" s="7" t="s">
        <v>28</v>
      </c>
      <c r="B21">
        <v>2013</v>
      </c>
      <c r="C21" s="7" t="s">
        <v>32</v>
      </c>
      <c r="D21" s="7" t="s">
        <v>49</v>
      </c>
      <c r="E21">
        <v>105.6</v>
      </c>
      <c r="F21" s="6"/>
      <c r="G21" s="6"/>
      <c r="H21" s="6"/>
      <c r="I21" s="6"/>
      <c r="J21" s="6"/>
      <c r="K21" s="6"/>
      <c r="L21" s="6"/>
      <c r="M21" s="6"/>
      <c r="N21" s="6"/>
      <c r="O21" s="6"/>
      <c r="P21" s="6"/>
      <c r="Q21" s="6"/>
      <c r="R21" s="6"/>
    </row>
    <row r="22" spans="1:18" x14ac:dyDescent="0.25">
      <c r="A22" s="7" t="s">
        <v>28</v>
      </c>
      <c r="B22">
        <v>2013</v>
      </c>
      <c r="C22" s="7" t="s">
        <v>32</v>
      </c>
      <c r="D22" s="7" t="s">
        <v>50</v>
      </c>
      <c r="E22">
        <v>320.39999999999998</v>
      </c>
      <c r="F22" s="6"/>
      <c r="G22" s="6"/>
      <c r="H22" s="6"/>
      <c r="I22" s="6"/>
      <c r="J22" s="6"/>
      <c r="K22" s="6"/>
      <c r="L22" s="6"/>
      <c r="M22" s="6"/>
      <c r="N22" s="6"/>
      <c r="O22" s="6"/>
      <c r="P22" s="6"/>
      <c r="Q22" s="6"/>
      <c r="R22" s="6"/>
    </row>
    <row r="23" spans="1:18" x14ac:dyDescent="0.25">
      <c r="A23" s="7" t="s">
        <v>28</v>
      </c>
      <c r="B23">
        <v>2013</v>
      </c>
      <c r="C23" s="7" t="s">
        <v>32</v>
      </c>
      <c r="D23" s="7" t="s">
        <v>19</v>
      </c>
      <c r="E23">
        <v>100.4</v>
      </c>
      <c r="F23" s="6"/>
      <c r="G23" s="6"/>
      <c r="H23" s="6"/>
      <c r="I23" s="6"/>
      <c r="J23" s="6"/>
      <c r="K23" s="6"/>
      <c r="L23" s="6"/>
      <c r="M23" s="6"/>
      <c r="N23" s="6"/>
      <c r="O23" s="6"/>
      <c r="P23" s="6"/>
      <c r="Q23" s="6"/>
      <c r="R23" s="6"/>
    </row>
    <row r="24" spans="1:18" x14ac:dyDescent="0.25">
      <c r="A24" s="7" t="s">
        <v>28</v>
      </c>
      <c r="B24">
        <v>2013</v>
      </c>
      <c r="C24" s="7" t="s">
        <v>32</v>
      </c>
      <c r="D24" s="7" t="s">
        <v>51</v>
      </c>
      <c r="E24">
        <v>106.2</v>
      </c>
      <c r="F24" s="6"/>
      <c r="G24" s="6"/>
      <c r="H24" s="6"/>
      <c r="I24" s="6"/>
      <c r="J24" s="6"/>
      <c r="K24" s="6"/>
      <c r="L24" s="6"/>
      <c r="M24" s="6"/>
      <c r="N24" s="6"/>
      <c r="O24" s="6"/>
      <c r="P24" s="6"/>
      <c r="Q24" s="6"/>
      <c r="R24" s="6"/>
    </row>
    <row r="25" spans="1:18" x14ac:dyDescent="0.25">
      <c r="A25" s="7" t="s">
        <v>28</v>
      </c>
      <c r="B25">
        <v>2013</v>
      </c>
      <c r="C25" s="7" t="s">
        <v>32</v>
      </c>
      <c r="D25" s="7" t="s">
        <v>26</v>
      </c>
      <c r="E25">
        <v>730.6</v>
      </c>
      <c r="F25" s="6"/>
      <c r="G25" s="6"/>
      <c r="H25" s="6"/>
      <c r="I25" s="6"/>
      <c r="J25" s="6"/>
      <c r="K25" s="6"/>
      <c r="L25" s="6"/>
      <c r="M25" s="6"/>
      <c r="N25" s="6"/>
      <c r="O25" s="6"/>
      <c r="P25" s="6"/>
      <c r="Q25" s="6"/>
      <c r="R25" s="6"/>
    </row>
    <row r="26" spans="1:18" x14ac:dyDescent="0.25">
      <c r="A26" s="7" t="s">
        <v>30</v>
      </c>
      <c r="B26">
        <v>2013</v>
      </c>
      <c r="C26" s="7" t="s">
        <v>32</v>
      </c>
      <c r="D26" s="7" t="s">
        <v>48</v>
      </c>
      <c r="E26">
        <v>1390.6000000000001</v>
      </c>
      <c r="F26" s="6"/>
      <c r="G26" s="6"/>
      <c r="H26" s="6"/>
      <c r="I26" s="6"/>
      <c r="J26" s="6"/>
      <c r="K26" s="6"/>
      <c r="L26" s="6"/>
      <c r="M26" s="6"/>
      <c r="N26" s="6"/>
      <c r="O26" s="6"/>
      <c r="P26" s="6"/>
      <c r="Q26" s="6"/>
      <c r="R26" s="6"/>
    </row>
    <row r="27" spans="1:18" x14ac:dyDescent="0.25">
      <c r="A27" s="7" t="s">
        <v>30</v>
      </c>
      <c r="B27">
        <v>2013</v>
      </c>
      <c r="C27" s="7" t="s">
        <v>32</v>
      </c>
      <c r="D27" s="7" t="s">
        <v>49</v>
      </c>
      <c r="E27">
        <v>106</v>
      </c>
      <c r="F27" s="6"/>
      <c r="G27" s="6"/>
      <c r="H27" s="6"/>
      <c r="I27" s="6"/>
      <c r="J27" s="6"/>
      <c r="K27" s="6"/>
      <c r="L27" s="6"/>
      <c r="M27" s="6"/>
      <c r="N27" s="6"/>
      <c r="O27" s="6"/>
      <c r="P27" s="6"/>
      <c r="Q27" s="6"/>
      <c r="R27" s="6"/>
    </row>
    <row r="28" spans="1:18" x14ac:dyDescent="0.25">
      <c r="A28" s="7" t="s">
        <v>30</v>
      </c>
      <c r="B28">
        <v>2013</v>
      </c>
      <c r="C28" s="7" t="s">
        <v>32</v>
      </c>
      <c r="D28" s="7" t="s">
        <v>50</v>
      </c>
      <c r="E28">
        <v>318.5</v>
      </c>
      <c r="F28" s="6"/>
      <c r="G28" s="6"/>
      <c r="H28" s="6"/>
      <c r="I28" s="6"/>
      <c r="J28" s="6"/>
      <c r="K28" s="6"/>
      <c r="L28" s="6"/>
      <c r="M28" s="6"/>
      <c r="N28" s="6"/>
      <c r="O28" s="6"/>
      <c r="P28" s="6"/>
      <c r="Q28" s="6"/>
      <c r="R28" s="6"/>
    </row>
    <row r="29" spans="1:18" x14ac:dyDescent="0.25">
      <c r="A29" s="7" t="s">
        <v>30</v>
      </c>
      <c r="B29">
        <v>2013</v>
      </c>
      <c r="C29" s="7" t="s">
        <v>32</v>
      </c>
      <c r="D29" s="7" t="s">
        <v>19</v>
      </c>
      <c r="E29">
        <v>100.4</v>
      </c>
      <c r="F29" s="6"/>
      <c r="G29" s="6"/>
      <c r="H29" s="6"/>
      <c r="I29" s="6"/>
      <c r="J29" s="6"/>
      <c r="K29" s="6"/>
      <c r="L29" s="6"/>
      <c r="M29" s="6"/>
      <c r="N29" s="6"/>
      <c r="O29" s="6"/>
      <c r="P29" s="6"/>
      <c r="Q29" s="6"/>
      <c r="R29" s="6"/>
    </row>
    <row r="30" spans="1:18" x14ac:dyDescent="0.25">
      <c r="A30" s="7" t="s">
        <v>30</v>
      </c>
      <c r="B30">
        <v>2013</v>
      </c>
      <c r="C30" s="7" t="s">
        <v>32</v>
      </c>
      <c r="D30" s="7" t="s">
        <v>51</v>
      </c>
      <c r="E30">
        <v>105.7</v>
      </c>
      <c r="F30" s="6"/>
      <c r="G30" s="6"/>
      <c r="H30" s="6"/>
      <c r="I30" s="6"/>
      <c r="J30" s="6"/>
      <c r="K30" s="6"/>
      <c r="L30" s="6"/>
      <c r="M30" s="6"/>
      <c r="N30" s="6"/>
      <c r="O30" s="6"/>
      <c r="P30" s="6"/>
      <c r="Q30" s="6"/>
      <c r="R30" s="6"/>
    </row>
    <row r="31" spans="1:18" x14ac:dyDescent="0.25">
      <c r="A31" s="7" t="s">
        <v>30</v>
      </c>
      <c r="B31">
        <v>2013</v>
      </c>
      <c r="C31" s="7" t="s">
        <v>32</v>
      </c>
      <c r="D31" s="7" t="s">
        <v>26</v>
      </c>
      <c r="E31">
        <v>729.9</v>
      </c>
      <c r="F31" s="6"/>
      <c r="G31" s="6"/>
      <c r="H31" s="6"/>
      <c r="I31" s="6"/>
      <c r="J31" s="6"/>
      <c r="K31" s="6"/>
      <c r="L31" s="6"/>
      <c r="M31" s="6"/>
      <c r="N31" s="6"/>
      <c r="O31" s="6"/>
      <c r="P31" s="6"/>
      <c r="Q31" s="6"/>
      <c r="R31" s="6"/>
    </row>
    <row r="32" spans="1:18" x14ac:dyDescent="0.25">
      <c r="A32" s="7" t="s">
        <v>31</v>
      </c>
      <c r="B32">
        <v>2013</v>
      </c>
      <c r="C32" s="7" t="s">
        <v>32</v>
      </c>
      <c r="D32" s="7" t="s">
        <v>48</v>
      </c>
      <c r="E32">
        <v>1384.2</v>
      </c>
      <c r="F32" s="6"/>
      <c r="G32" s="6"/>
      <c r="H32" s="6"/>
      <c r="I32" s="6"/>
      <c r="J32" s="6"/>
      <c r="K32" s="6"/>
      <c r="L32" s="6"/>
      <c r="M32" s="6"/>
      <c r="N32" s="6"/>
      <c r="O32" s="6"/>
      <c r="P32" s="6"/>
      <c r="Q32" s="6"/>
      <c r="R32" s="6"/>
    </row>
    <row r="33" spans="1:19" x14ac:dyDescent="0.25">
      <c r="A33" s="7" t="s">
        <v>31</v>
      </c>
      <c r="B33">
        <v>2013</v>
      </c>
      <c r="C33" s="7" t="s">
        <v>32</v>
      </c>
      <c r="D33" s="7" t="s">
        <v>49</v>
      </c>
      <c r="E33">
        <v>105.7</v>
      </c>
      <c r="F33" s="6"/>
      <c r="G33" s="6"/>
      <c r="H33" s="6"/>
      <c r="I33" s="6"/>
      <c r="J33" s="6"/>
      <c r="K33" s="6"/>
      <c r="L33" s="6"/>
      <c r="M33" s="6"/>
      <c r="N33" s="6"/>
      <c r="O33" s="6"/>
      <c r="P33" s="6"/>
      <c r="Q33" s="6"/>
      <c r="R33" s="6"/>
    </row>
    <row r="34" spans="1:19" x14ac:dyDescent="0.25">
      <c r="A34" s="7" t="s">
        <v>31</v>
      </c>
      <c r="B34">
        <v>2013</v>
      </c>
      <c r="C34" s="7" t="s">
        <v>32</v>
      </c>
      <c r="D34" s="7" t="s">
        <v>50</v>
      </c>
      <c r="E34">
        <v>319.7</v>
      </c>
      <c r="F34" s="6"/>
      <c r="G34" s="6"/>
      <c r="H34" s="6"/>
      <c r="I34" s="6"/>
      <c r="J34" s="6"/>
      <c r="K34" s="6"/>
      <c r="L34" s="6"/>
      <c r="M34" s="6"/>
      <c r="N34" s="6"/>
      <c r="O34" s="6"/>
      <c r="P34" s="6"/>
      <c r="Q34" s="6"/>
      <c r="R34" s="6"/>
    </row>
    <row r="35" spans="1:19" x14ac:dyDescent="0.25">
      <c r="A35" s="7" t="s">
        <v>31</v>
      </c>
      <c r="B35">
        <v>2013</v>
      </c>
      <c r="C35" s="7" t="s">
        <v>32</v>
      </c>
      <c r="D35" s="7" t="s">
        <v>19</v>
      </c>
      <c r="E35">
        <v>100.4</v>
      </c>
      <c r="F35" s="6"/>
      <c r="G35" s="6"/>
      <c r="H35" s="6"/>
      <c r="I35" s="6"/>
      <c r="J35" s="6"/>
      <c r="K35" s="6"/>
      <c r="L35" s="6"/>
      <c r="M35" s="6"/>
      <c r="N35" s="6"/>
      <c r="O35" s="6"/>
      <c r="P35" s="6"/>
      <c r="Q35" s="6"/>
      <c r="R35" s="6"/>
    </row>
    <row r="36" spans="1:19" x14ac:dyDescent="0.25">
      <c r="A36" s="7" t="s">
        <v>31</v>
      </c>
      <c r="B36">
        <v>2013</v>
      </c>
      <c r="C36" s="7" t="s">
        <v>32</v>
      </c>
      <c r="D36" s="7" t="s">
        <v>51</v>
      </c>
      <c r="E36">
        <v>106</v>
      </c>
      <c r="F36" s="6"/>
      <c r="G36" s="6"/>
      <c r="H36" s="6"/>
      <c r="I36" s="6"/>
      <c r="J36" s="6"/>
      <c r="K36" s="6"/>
      <c r="L36" s="6"/>
      <c r="M36" s="6"/>
      <c r="N36" s="6"/>
      <c r="O36" s="6"/>
      <c r="P36" s="6"/>
      <c r="Q36" s="6"/>
      <c r="R36" s="6"/>
    </row>
    <row r="37" spans="1:19" x14ac:dyDescent="0.25">
      <c r="A37" s="7" t="s">
        <v>31</v>
      </c>
      <c r="B37">
        <v>2013</v>
      </c>
      <c r="C37" s="7" t="s">
        <v>32</v>
      </c>
      <c r="D37" s="7" t="s">
        <v>26</v>
      </c>
      <c r="E37">
        <v>730.3</v>
      </c>
      <c r="F37" s="6"/>
      <c r="G37" s="6"/>
      <c r="H37" s="6"/>
      <c r="I37" s="6"/>
      <c r="J37" s="6"/>
      <c r="K37" s="6"/>
      <c r="L37" s="6"/>
      <c r="M37" s="6"/>
      <c r="N37" s="6"/>
      <c r="O37" s="6"/>
      <c r="P37" s="6"/>
      <c r="Q37" s="6"/>
      <c r="R37" s="6"/>
    </row>
    <row r="38" spans="1:19" x14ac:dyDescent="0.25">
      <c r="A38" s="7" t="s">
        <v>28</v>
      </c>
      <c r="B38">
        <v>2013</v>
      </c>
      <c r="C38" s="7" t="s">
        <v>33</v>
      </c>
      <c r="D38" s="7" t="s">
        <v>48</v>
      </c>
      <c r="E38">
        <v>1382.2</v>
      </c>
      <c r="F38" s="6"/>
      <c r="G38" s="6"/>
      <c r="H38" s="6"/>
      <c r="I38" s="6"/>
      <c r="J38" s="6"/>
      <c r="K38" s="6"/>
      <c r="L38" s="6"/>
      <c r="M38" s="6"/>
      <c r="N38" s="6"/>
      <c r="O38" s="6"/>
      <c r="P38" s="6"/>
      <c r="Q38" s="6"/>
      <c r="R38" s="6"/>
    </row>
    <row r="39" spans="1:19" x14ac:dyDescent="0.25">
      <c r="A39" s="7" t="s">
        <v>28</v>
      </c>
      <c r="B39">
        <v>2013</v>
      </c>
      <c r="C39" s="7" t="s">
        <v>33</v>
      </c>
      <c r="D39" s="7" t="s">
        <v>49</v>
      </c>
      <c r="E39">
        <v>106.5</v>
      </c>
      <c r="F39" s="6"/>
      <c r="G39" s="6"/>
      <c r="H39" s="6"/>
      <c r="I39" s="6"/>
      <c r="J39" s="6"/>
      <c r="K39" s="6"/>
      <c r="L39" s="6"/>
      <c r="M39" s="6"/>
      <c r="N39" s="6"/>
      <c r="O39" s="6"/>
      <c r="P39" s="6"/>
      <c r="Q39" s="6"/>
      <c r="R39" s="6"/>
    </row>
    <row r="40" spans="1:19" x14ac:dyDescent="0.25">
      <c r="A40" s="7" t="s">
        <v>28</v>
      </c>
      <c r="B40">
        <v>2013</v>
      </c>
      <c r="C40" s="7" t="s">
        <v>33</v>
      </c>
      <c r="D40" s="7" t="s">
        <v>50</v>
      </c>
      <c r="E40">
        <v>321.89999999999998</v>
      </c>
      <c r="F40" s="6"/>
      <c r="G40" s="6"/>
      <c r="H40" s="6"/>
      <c r="I40" s="6"/>
      <c r="J40" s="6"/>
      <c r="K40" s="6"/>
      <c r="L40" s="6"/>
      <c r="M40" s="6"/>
      <c r="N40" s="6"/>
      <c r="O40" s="6"/>
      <c r="P40" s="6"/>
      <c r="Q40" s="6"/>
      <c r="R40" s="6"/>
    </row>
    <row r="41" spans="1:19" x14ac:dyDescent="0.25">
      <c r="A41" s="7" t="s">
        <v>28</v>
      </c>
      <c r="B41">
        <v>2013</v>
      </c>
      <c r="C41" s="7" t="s">
        <v>33</v>
      </c>
      <c r="D41" s="7" t="s">
        <v>19</v>
      </c>
      <c r="E41">
        <v>100.5</v>
      </c>
      <c r="F41" s="6"/>
      <c r="G41" s="6"/>
      <c r="H41" s="6"/>
      <c r="I41" s="6"/>
      <c r="J41" s="6"/>
      <c r="K41" s="6"/>
      <c r="L41" s="6"/>
      <c r="M41" s="6"/>
      <c r="N41" s="6"/>
      <c r="O41" s="6"/>
      <c r="P41" s="6"/>
      <c r="Q41" s="6"/>
      <c r="R41" s="6"/>
    </row>
    <row r="42" spans="1:19" x14ac:dyDescent="0.25">
      <c r="A42" s="7" t="s">
        <v>28</v>
      </c>
      <c r="B42">
        <v>2013</v>
      </c>
      <c r="C42" s="7" t="s">
        <v>33</v>
      </c>
      <c r="D42" s="7" t="s">
        <v>51</v>
      </c>
      <c r="E42">
        <v>106.1</v>
      </c>
      <c r="F42" s="6"/>
      <c r="G42" s="6"/>
      <c r="H42" s="6"/>
      <c r="I42" s="6"/>
      <c r="J42" s="6"/>
      <c r="K42" s="6"/>
      <c r="L42" s="6"/>
      <c r="M42" s="6"/>
      <c r="N42" s="6"/>
      <c r="O42" s="6"/>
      <c r="P42" s="6"/>
      <c r="Q42" s="6"/>
      <c r="R42" s="6"/>
      <c r="S42" s="6"/>
    </row>
    <row r="43" spans="1:19" x14ac:dyDescent="0.25">
      <c r="A43" s="7" t="s">
        <v>28</v>
      </c>
      <c r="B43">
        <v>2013</v>
      </c>
      <c r="C43" s="7" t="s">
        <v>33</v>
      </c>
      <c r="D43" s="7" t="s">
        <v>26</v>
      </c>
      <c r="E43">
        <v>732.09999999999991</v>
      </c>
      <c r="F43" s="6"/>
      <c r="G43" s="6"/>
      <c r="H43" s="6"/>
      <c r="I43" s="6"/>
      <c r="J43" s="6"/>
      <c r="K43" s="6"/>
      <c r="L43" s="6"/>
      <c r="M43" s="6"/>
      <c r="N43" s="6"/>
      <c r="O43" s="6"/>
      <c r="P43" s="6"/>
      <c r="Q43" s="6"/>
      <c r="R43" s="6"/>
      <c r="S43" s="6"/>
    </row>
    <row r="44" spans="1:19" x14ac:dyDescent="0.25">
      <c r="A44" s="7" t="s">
        <v>30</v>
      </c>
      <c r="B44">
        <v>2013</v>
      </c>
      <c r="C44" s="7" t="s">
        <v>33</v>
      </c>
      <c r="D44" s="7" t="s">
        <v>48</v>
      </c>
      <c r="E44">
        <v>1386.8</v>
      </c>
      <c r="F44" s="6"/>
      <c r="G44" s="6"/>
      <c r="H44" s="6"/>
      <c r="I44" s="6"/>
      <c r="J44" s="6"/>
      <c r="K44" s="6"/>
      <c r="L44" s="6"/>
      <c r="M44" s="6"/>
      <c r="N44" s="6"/>
      <c r="O44" s="6"/>
      <c r="P44" s="6"/>
      <c r="Q44" s="6"/>
      <c r="R44" s="6"/>
      <c r="S44" s="6"/>
    </row>
    <row r="45" spans="1:19" x14ac:dyDescent="0.25">
      <c r="A45" s="7" t="s">
        <v>30</v>
      </c>
      <c r="B45">
        <v>2013</v>
      </c>
      <c r="C45" s="7" t="s">
        <v>33</v>
      </c>
      <c r="D45" s="7" t="s">
        <v>49</v>
      </c>
      <c r="E45">
        <v>106.8</v>
      </c>
      <c r="F45" s="6"/>
      <c r="G45" s="6"/>
      <c r="H45" s="6"/>
      <c r="I45" s="6"/>
      <c r="J45" s="6"/>
      <c r="K45" s="6"/>
      <c r="L45" s="6"/>
      <c r="M45" s="6"/>
      <c r="N45" s="6"/>
      <c r="O45" s="6"/>
      <c r="P45" s="6"/>
      <c r="Q45" s="6"/>
      <c r="R45" s="6"/>
      <c r="S45" s="6"/>
    </row>
    <row r="46" spans="1:19" x14ac:dyDescent="0.25">
      <c r="A46" s="7" t="s">
        <v>30</v>
      </c>
      <c r="B46">
        <v>2013</v>
      </c>
      <c r="C46" s="7" t="s">
        <v>33</v>
      </c>
      <c r="D46" s="7" t="s">
        <v>50</v>
      </c>
      <c r="E46">
        <v>320.2</v>
      </c>
      <c r="F46" s="6"/>
      <c r="G46" s="6"/>
      <c r="H46" s="6"/>
      <c r="I46" s="6"/>
      <c r="J46" s="6"/>
      <c r="K46" s="6"/>
      <c r="L46" s="6"/>
      <c r="M46" s="6"/>
      <c r="N46" s="6"/>
      <c r="O46" s="6"/>
      <c r="P46" s="6"/>
      <c r="Q46" s="6"/>
      <c r="R46" s="6"/>
      <c r="S46" s="6"/>
    </row>
    <row r="47" spans="1:19" x14ac:dyDescent="0.25">
      <c r="A47" s="7" t="s">
        <v>30</v>
      </c>
      <c r="B47">
        <v>2013</v>
      </c>
      <c r="C47" s="7" t="s">
        <v>33</v>
      </c>
      <c r="D47" s="7" t="s">
        <v>19</v>
      </c>
      <c r="E47">
        <v>100.4</v>
      </c>
      <c r="F47" s="6"/>
      <c r="G47" s="6"/>
      <c r="H47" s="6"/>
      <c r="I47" s="6"/>
      <c r="J47" s="6"/>
      <c r="K47" s="6"/>
      <c r="L47" s="6"/>
      <c r="M47" s="6"/>
      <c r="N47" s="6"/>
      <c r="O47" s="6"/>
      <c r="P47" s="6"/>
      <c r="Q47" s="6"/>
      <c r="R47" s="6"/>
      <c r="S47" s="6"/>
    </row>
    <row r="48" spans="1:19" x14ac:dyDescent="0.25">
      <c r="A48" s="7" t="s">
        <v>30</v>
      </c>
      <c r="B48">
        <v>2013</v>
      </c>
      <c r="C48" s="7" t="s">
        <v>33</v>
      </c>
      <c r="D48" s="7" t="s">
        <v>51</v>
      </c>
      <c r="E48">
        <v>106</v>
      </c>
      <c r="F48" s="6"/>
      <c r="G48" s="6"/>
      <c r="H48" s="6"/>
      <c r="I48" s="6"/>
      <c r="J48" s="6"/>
      <c r="K48" s="6"/>
      <c r="L48" s="6"/>
      <c r="M48" s="6"/>
      <c r="N48" s="6"/>
      <c r="O48" s="6"/>
      <c r="P48" s="6"/>
      <c r="Q48" s="6"/>
      <c r="R48" s="6"/>
      <c r="S48" s="6"/>
    </row>
    <row r="49" spans="1:19" x14ac:dyDescent="0.25">
      <c r="A49" s="7" t="s">
        <v>30</v>
      </c>
      <c r="B49">
        <v>2013</v>
      </c>
      <c r="C49" s="7" t="s">
        <v>33</v>
      </c>
      <c r="D49" s="7" t="s">
        <v>26</v>
      </c>
      <c r="E49">
        <v>732.8</v>
      </c>
      <c r="F49" s="6"/>
      <c r="G49" s="6"/>
      <c r="H49" s="6"/>
      <c r="I49" s="6"/>
      <c r="J49" s="6"/>
      <c r="K49" s="6"/>
      <c r="L49" s="6"/>
      <c r="M49" s="6"/>
      <c r="N49" s="6"/>
      <c r="O49" s="6"/>
      <c r="P49" s="6"/>
      <c r="Q49" s="6"/>
      <c r="R49" s="6"/>
      <c r="S49" s="6"/>
    </row>
    <row r="50" spans="1:19" x14ac:dyDescent="0.25">
      <c r="A50" s="7" t="s">
        <v>31</v>
      </c>
      <c r="B50">
        <v>2013</v>
      </c>
      <c r="C50" s="7" t="s">
        <v>33</v>
      </c>
      <c r="D50" s="7" t="s">
        <v>48</v>
      </c>
      <c r="E50">
        <v>1384.0000000000002</v>
      </c>
      <c r="F50" s="6"/>
      <c r="G50" s="6"/>
      <c r="H50" s="6"/>
      <c r="I50" s="6"/>
      <c r="J50" s="6"/>
      <c r="K50" s="6"/>
      <c r="L50" s="6"/>
      <c r="M50" s="6"/>
      <c r="N50" s="6"/>
      <c r="O50" s="6"/>
      <c r="P50" s="6"/>
      <c r="Q50" s="6"/>
      <c r="R50" s="6"/>
      <c r="S50" s="6"/>
    </row>
    <row r="51" spans="1:19" x14ac:dyDescent="0.25">
      <c r="A51" s="7" t="s">
        <v>31</v>
      </c>
      <c r="B51">
        <v>2013</v>
      </c>
      <c r="C51" s="7" t="s">
        <v>33</v>
      </c>
      <c r="D51" s="7" t="s">
        <v>49</v>
      </c>
      <c r="E51">
        <v>106.6</v>
      </c>
      <c r="F51" s="6"/>
      <c r="G51" s="6"/>
      <c r="H51" s="6"/>
      <c r="I51" s="6"/>
      <c r="J51" s="6"/>
      <c r="K51" s="6"/>
      <c r="L51" s="6"/>
      <c r="M51" s="6"/>
      <c r="N51" s="6"/>
      <c r="O51" s="6"/>
      <c r="P51" s="6"/>
      <c r="Q51" s="6"/>
      <c r="R51" s="6"/>
      <c r="S51" s="6"/>
    </row>
    <row r="52" spans="1:19" x14ac:dyDescent="0.25">
      <c r="A52" s="7" t="s">
        <v>31</v>
      </c>
      <c r="B52">
        <v>2013</v>
      </c>
      <c r="C52" s="7" t="s">
        <v>33</v>
      </c>
      <c r="D52" s="7" t="s">
        <v>50</v>
      </c>
      <c r="E52">
        <v>321.2</v>
      </c>
      <c r="F52" s="6"/>
      <c r="G52" s="6"/>
      <c r="H52" s="6"/>
      <c r="I52" s="6"/>
      <c r="J52" s="6"/>
      <c r="K52" s="6"/>
      <c r="L52" s="6"/>
      <c r="M52" s="6"/>
      <c r="N52" s="6"/>
      <c r="O52" s="6"/>
      <c r="P52" s="6"/>
      <c r="Q52" s="6"/>
      <c r="R52" s="6"/>
      <c r="S52" s="6"/>
    </row>
    <row r="53" spans="1:19" x14ac:dyDescent="0.25">
      <c r="A53" s="7" t="s">
        <v>31</v>
      </c>
      <c r="B53">
        <v>2013</v>
      </c>
      <c r="C53" s="7" t="s">
        <v>33</v>
      </c>
      <c r="D53" s="7" t="s">
        <v>19</v>
      </c>
      <c r="E53">
        <v>100.4</v>
      </c>
      <c r="F53" s="6"/>
      <c r="G53" s="6"/>
      <c r="H53" s="6"/>
      <c r="I53" s="6"/>
      <c r="J53" s="6"/>
      <c r="K53" s="6"/>
      <c r="L53" s="6"/>
      <c r="M53" s="6"/>
      <c r="N53" s="6"/>
      <c r="O53" s="6"/>
      <c r="P53" s="6"/>
      <c r="Q53" s="6"/>
      <c r="R53" s="6"/>
      <c r="S53" s="6"/>
    </row>
    <row r="54" spans="1:19" x14ac:dyDescent="0.25">
      <c r="A54" s="7" t="s">
        <v>31</v>
      </c>
      <c r="B54">
        <v>2013</v>
      </c>
      <c r="C54" s="7" t="s">
        <v>33</v>
      </c>
      <c r="D54" s="7" t="s">
        <v>51</v>
      </c>
      <c r="E54">
        <v>106.1</v>
      </c>
      <c r="F54" s="6"/>
      <c r="G54" s="6"/>
      <c r="H54" s="6"/>
      <c r="I54" s="6"/>
      <c r="J54" s="6"/>
      <c r="K54" s="6"/>
      <c r="L54" s="6"/>
      <c r="M54" s="6"/>
      <c r="N54" s="6"/>
      <c r="O54" s="6"/>
      <c r="P54" s="6"/>
      <c r="Q54" s="6"/>
      <c r="R54" s="6"/>
      <c r="S54" s="6"/>
    </row>
    <row r="55" spans="1:19" x14ac:dyDescent="0.25">
      <c r="A55" s="7" t="s">
        <v>31</v>
      </c>
      <c r="B55">
        <v>2013</v>
      </c>
      <c r="C55" s="7" t="s">
        <v>33</v>
      </c>
      <c r="D55" s="7" t="s">
        <v>26</v>
      </c>
      <c r="E55">
        <v>732.3</v>
      </c>
      <c r="F55" s="6"/>
      <c r="G55" s="6"/>
      <c r="H55" s="6"/>
      <c r="I55" s="6"/>
      <c r="J55" s="6"/>
      <c r="K55" s="6"/>
      <c r="L55" s="6"/>
      <c r="M55" s="6"/>
      <c r="N55" s="6"/>
      <c r="O55" s="6"/>
      <c r="P55" s="6"/>
      <c r="Q55" s="6"/>
      <c r="R55" s="6"/>
      <c r="S55" s="6"/>
    </row>
    <row r="56" spans="1:19" x14ac:dyDescent="0.25">
      <c r="A56" s="7" t="s">
        <v>28</v>
      </c>
      <c r="B56">
        <v>2013</v>
      </c>
      <c r="C56" s="7" t="s">
        <v>34</v>
      </c>
      <c r="D56" s="7" t="s">
        <v>48</v>
      </c>
      <c r="E56">
        <v>1385.8</v>
      </c>
      <c r="F56" s="6"/>
      <c r="G56" s="6"/>
      <c r="H56" s="6"/>
      <c r="I56" s="6"/>
      <c r="J56" s="6"/>
      <c r="K56" s="6"/>
      <c r="L56" s="6"/>
      <c r="M56" s="6"/>
      <c r="N56" s="6"/>
      <c r="O56" s="6"/>
      <c r="P56" s="6"/>
      <c r="Q56" s="6"/>
      <c r="R56" s="6"/>
      <c r="S56" s="6"/>
    </row>
    <row r="57" spans="1:19" x14ac:dyDescent="0.25">
      <c r="A57" s="7" t="s">
        <v>28</v>
      </c>
      <c r="B57">
        <v>2013</v>
      </c>
      <c r="C57" s="7" t="s">
        <v>34</v>
      </c>
      <c r="D57" s="7" t="s">
        <v>49</v>
      </c>
      <c r="E57">
        <v>107.1</v>
      </c>
      <c r="F57" s="6"/>
      <c r="G57" s="6"/>
      <c r="H57" s="6"/>
      <c r="I57" s="6"/>
      <c r="J57" s="6"/>
      <c r="K57" s="6"/>
      <c r="L57" s="6"/>
      <c r="M57" s="6"/>
      <c r="N57" s="6"/>
      <c r="O57" s="6"/>
      <c r="P57" s="6"/>
      <c r="Q57" s="6"/>
      <c r="R57" s="6"/>
      <c r="S57" s="6"/>
    </row>
    <row r="58" spans="1:19" x14ac:dyDescent="0.25">
      <c r="A58" s="7" t="s">
        <v>28</v>
      </c>
      <c r="B58">
        <v>2013</v>
      </c>
      <c r="C58" s="7" t="s">
        <v>34</v>
      </c>
      <c r="D58" s="7" t="s">
        <v>50</v>
      </c>
      <c r="E58">
        <v>323.5</v>
      </c>
      <c r="F58" s="6"/>
      <c r="G58" s="6"/>
      <c r="H58" s="6"/>
      <c r="I58" s="6"/>
      <c r="J58" s="6"/>
      <c r="K58" s="6"/>
      <c r="L58" s="6"/>
      <c r="M58" s="6"/>
      <c r="N58" s="6"/>
      <c r="O58" s="6"/>
      <c r="P58" s="6"/>
      <c r="Q58" s="6"/>
      <c r="R58" s="6"/>
      <c r="S58" s="6"/>
    </row>
    <row r="59" spans="1:19" x14ac:dyDescent="0.25">
      <c r="A59" s="7" t="s">
        <v>28</v>
      </c>
      <c r="B59">
        <v>2013</v>
      </c>
      <c r="C59" s="7" t="s">
        <v>34</v>
      </c>
      <c r="D59" s="7" t="s">
        <v>19</v>
      </c>
      <c r="E59">
        <v>100.5</v>
      </c>
      <c r="F59" s="6"/>
      <c r="G59" s="6"/>
      <c r="H59" s="6"/>
      <c r="I59" s="6"/>
      <c r="J59" s="6"/>
      <c r="K59" s="6"/>
      <c r="L59" s="6"/>
      <c r="M59" s="6"/>
      <c r="N59" s="6"/>
      <c r="O59" s="6"/>
      <c r="P59" s="6"/>
      <c r="Q59" s="6"/>
      <c r="R59" s="6"/>
      <c r="S59" s="6"/>
    </row>
    <row r="60" spans="1:19" x14ac:dyDescent="0.25">
      <c r="A60" s="7" t="s">
        <v>28</v>
      </c>
      <c r="B60">
        <v>2013</v>
      </c>
      <c r="C60" s="7" t="s">
        <v>34</v>
      </c>
      <c r="D60" s="7" t="s">
        <v>51</v>
      </c>
      <c r="E60">
        <v>106.5</v>
      </c>
      <c r="F60" s="6"/>
      <c r="G60" s="6"/>
      <c r="H60" s="6"/>
      <c r="I60" s="6"/>
      <c r="J60" s="6"/>
      <c r="K60" s="6"/>
      <c r="L60" s="6"/>
      <c r="M60" s="6"/>
      <c r="N60" s="6"/>
      <c r="O60" s="6"/>
      <c r="P60" s="6"/>
      <c r="Q60" s="6"/>
      <c r="R60" s="6"/>
      <c r="S60" s="6"/>
    </row>
    <row r="61" spans="1:19" x14ac:dyDescent="0.25">
      <c r="A61" s="7" t="s">
        <v>28</v>
      </c>
      <c r="B61">
        <v>2013</v>
      </c>
      <c r="C61" s="7" t="s">
        <v>34</v>
      </c>
      <c r="D61" s="7" t="s">
        <v>26</v>
      </c>
      <c r="E61">
        <v>732.2</v>
      </c>
      <c r="F61" s="6"/>
      <c r="G61" s="6"/>
      <c r="H61" s="6"/>
      <c r="I61" s="6"/>
      <c r="J61" s="6"/>
      <c r="K61" s="6"/>
      <c r="L61" s="6"/>
      <c r="M61" s="6"/>
      <c r="N61" s="6"/>
      <c r="O61" s="6"/>
      <c r="P61" s="6"/>
      <c r="Q61" s="6"/>
      <c r="R61" s="6"/>
      <c r="S61" s="6"/>
    </row>
    <row r="62" spans="1:19" x14ac:dyDescent="0.25">
      <c r="A62" s="7" t="s">
        <v>30</v>
      </c>
      <c r="B62">
        <v>2013</v>
      </c>
      <c r="C62" s="7" t="s">
        <v>34</v>
      </c>
      <c r="D62" s="7" t="s">
        <v>48</v>
      </c>
      <c r="E62">
        <v>1397.6999999999998</v>
      </c>
      <c r="F62" s="6"/>
      <c r="G62" s="6"/>
      <c r="H62" s="6"/>
      <c r="I62" s="6"/>
      <c r="J62" s="6"/>
      <c r="K62" s="6"/>
      <c r="L62" s="6"/>
      <c r="M62" s="6"/>
      <c r="N62" s="6"/>
      <c r="O62" s="6"/>
      <c r="P62" s="6"/>
      <c r="Q62" s="6"/>
      <c r="R62" s="6"/>
      <c r="S62" s="6"/>
    </row>
    <row r="63" spans="1:19" x14ac:dyDescent="0.25">
      <c r="A63" s="7" t="s">
        <v>30</v>
      </c>
      <c r="B63">
        <v>2013</v>
      </c>
      <c r="C63" s="7" t="s">
        <v>34</v>
      </c>
      <c r="D63" s="7" t="s">
        <v>49</v>
      </c>
      <c r="E63">
        <v>108.5</v>
      </c>
      <c r="F63" s="6"/>
      <c r="G63" s="6"/>
      <c r="H63" s="6"/>
      <c r="I63" s="6"/>
      <c r="J63" s="6"/>
      <c r="K63" s="6"/>
      <c r="L63" s="6"/>
      <c r="M63" s="6"/>
      <c r="N63" s="6"/>
      <c r="O63" s="6"/>
      <c r="P63" s="6"/>
      <c r="Q63" s="6"/>
      <c r="R63" s="6"/>
      <c r="S63" s="6"/>
    </row>
    <row r="64" spans="1:19" x14ac:dyDescent="0.25">
      <c r="A64" s="7" t="s">
        <v>30</v>
      </c>
      <c r="B64">
        <v>2013</v>
      </c>
      <c r="C64" s="7" t="s">
        <v>34</v>
      </c>
      <c r="D64" s="7" t="s">
        <v>50</v>
      </c>
      <c r="E64">
        <v>322</v>
      </c>
      <c r="F64" s="6"/>
      <c r="G64" s="6"/>
      <c r="H64" s="6"/>
      <c r="I64" s="6"/>
      <c r="J64" s="6"/>
      <c r="K64" s="6"/>
      <c r="L64" s="6"/>
      <c r="M64" s="6"/>
      <c r="N64" s="6"/>
      <c r="O64" s="6"/>
      <c r="P64" s="6"/>
      <c r="Q64" s="6"/>
      <c r="R64" s="6"/>
      <c r="S64" s="6"/>
    </row>
    <row r="65" spans="1:19" x14ac:dyDescent="0.25">
      <c r="A65" s="7" t="s">
        <v>30</v>
      </c>
      <c r="B65">
        <v>2013</v>
      </c>
      <c r="C65" s="7" t="s">
        <v>34</v>
      </c>
      <c r="D65" s="7" t="s">
        <v>19</v>
      </c>
      <c r="E65">
        <v>100.5</v>
      </c>
      <c r="F65" s="6"/>
      <c r="G65" s="6"/>
      <c r="H65" s="6"/>
      <c r="I65" s="6"/>
      <c r="J65" s="6"/>
      <c r="K65" s="6"/>
      <c r="L65" s="6"/>
      <c r="M65" s="6"/>
      <c r="N65" s="6"/>
      <c r="O65" s="6"/>
      <c r="P65" s="6"/>
      <c r="Q65" s="6"/>
      <c r="R65" s="6"/>
      <c r="S65" s="6"/>
    </row>
    <row r="66" spans="1:19" x14ac:dyDescent="0.25">
      <c r="A66" s="7" t="s">
        <v>30</v>
      </c>
      <c r="B66">
        <v>2013</v>
      </c>
      <c r="C66" s="7" t="s">
        <v>34</v>
      </c>
      <c r="D66" s="7" t="s">
        <v>51</v>
      </c>
      <c r="E66">
        <v>106.4</v>
      </c>
      <c r="F66" s="6"/>
      <c r="G66" s="6"/>
      <c r="H66" s="6"/>
      <c r="I66" s="6"/>
      <c r="J66" s="6"/>
      <c r="K66" s="6"/>
      <c r="L66" s="6"/>
      <c r="M66" s="6"/>
      <c r="N66" s="6"/>
      <c r="O66" s="6"/>
      <c r="P66" s="6"/>
      <c r="Q66" s="6"/>
      <c r="R66" s="6"/>
      <c r="S66" s="6"/>
    </row>
    <row r="67" spans="1:19" x14ac:dyDescent="0.25">
      <c r="A67" s="7" t="s">
        <v>30</v>
      </c>
      <c r="B67">
        <v>2013</v>
      </c>
      <c r="C67" s="7" t="s">
        <v>34</v>
      </c>
      <c r="D67" s="7" t="s">
        <v>26</v>
      </c>
      <c r="E67">
        <v>734.7</v>
      </c>
      <c r="F67" s="6"/>
      <c r="G67" s="6"/>
      <c r="H67" s="6"/>
      <c r="I67" s="6"/>
      <c r="J67" s="6"/>
      <c r="K67" s="6"/>
      <c r="L67" s="6"/>
      <c r="M67" s="6"/>
      <c r="N67" s="6"/>
      <c r="O67" s="6"/>
      <c r="P67" s="6"/>
      <c r="Q67" s="6"/>
      <c r="R67" s="6"/>
      <c r="S67" s="6"/>
    </row>
    <row r="68" spans="1:19" x14ac:dyDescent="0.25">
      <c r="A68" s="7" t="s">
        <v>31</v>
      </c>
      <c r="B68">
        <v>2013</v>
      </c>
      <c r="C68" s="7" t="s">
        <v>34</v>
      </c>
      <c r="D68" s="7" t="s">
        <v>48</v>
      </c>
      <c r="E68">
        <v>1390.2</v>
      </c>
      <c r="F68" s="6"/>
      <c r="G68" s="6"/>
      <c r="H68" s="6"/>
      <c r="I68" s="6"/>
      <c r="J68" s="6"/>
      <c r="K68" s="6"/>
      <c r="L68" s="6"/>
      <c r="M68" s="6"/>
      <c r="N68" s="6"/>
      <c r="O68" s="6"/>
      <c r="P68" s="6"/>
      <c r="Q68" s="6"/>
      <c r="R68" s="6"/>
      <c r="S68" s="6"/>
    </row>
    <row r="69" spans="1:19" x14ac:dyDescent="0.25">
      <c r="A69" s="7" t="s">
        <v>31</v>
      </c>
      <c r="B69">
        <v>2013</v>
      </c>
      <c r="C69" s="7" t="s">
        <v>34</v>
      </c>
      <c r="D69" s="7" t="s">
        <v>49</v>
      </c>
      <c r="E69">
        <v>107.5</v>
      </c>
      <c r="F69" s="6"/>
      <c r="G69" s="6"/>
      <c r="H69" s="6"/>
      <c r="I69" s="6"/>
      <c r="J69" s="6"/>
      <c r="K69" s="6"/>
      <c r="L69" s="6"/>
      <c r="M69" s="6"/>
      <c r="N69" s="6"/>
      <c r="O69" s="6"/>
      <c r="P69" s="6"/>
      <c r="Q69" s="6"/>
      <c r="R69" s="6"/>
      <c r="S69" s="6"/>
    </row>
    <row r="70" spans="1:19" x14ac:dyDescent="0.25">
      <c r="A70" s="7" t="s">
        <v>31</v>
      </c>
      <c r="B70">
        <v>2013</v>
      </c>
      <c r="C70" s="7" t="s">
        <v>34</v>
      </c>
      <c r="D70" s="7" t="s">
        <v>50</v>
      </c>
      <c r="E70">
        <v>322.89999999999998</v>
      </c>
      <c r="F70" s="6"/>
      <c r="G70" s="6"/>
      <c r="H70" s="6"/>
      <c r="I70" s="6"/>
      <c r="J70" s="6"/>
      <c r="K70" s="6"/>
      <c r="L70" s="6"/>
      <c r="M70" s="6"/>
      <c r="N70" s="6"/>
      <c r="O70" s="6"/>
      <c r="P70" s="6"/>
      <c r="Q70" s="6"/>
      <c r="R70" s="6"/>
      <c r="S70" s="6"/>
    </row>
    <row r="71" spans="1:19" x14ac:dyDescent="0.25">
      <c r="A71" s="7" t="s">
        <v>31</v>
      </c>
      <c r="B71">
        <v>2013</v>
      </c>
      <c r="C71" s="7" t="s">
        <v>34</v>
      </c>
      <c r="D71" s="7" t="s">
        <v>19</v>
      </c>
      <c r="E71">
        <v>100.5</v>
      </c>
      <c r="F71" s="6"/>
      <c r="G71" s="6"/>
      <c r="H71" s="6"/>
      <c r="I71" s="6"/>
      <c r="J71" s="6"/>
      <c r="K71" s="6"/>
      <c r="L71" s="6"/>
      <c r="M71" s="6"/>
      <c r="N71" s="6"/>
      <c r="O71" s="6"/>
      <c r="P71" s="6"/>
      <c r="Q71" s="6"/>
      <c r="R71" s="6"/>
      <c r="S71" s="6"/>
    </row>
    <row r="72" spans="1:19" x14ac:dyDescent="0.25">
      <c r="A72" s="7" t="s">
        <v>31</v>
      </c>
      <c r="B72">
        <v>2013</v>
      </c>
      <c r="C72" s="7" t="s">
        <v>34</v>
      </c>
      <c r="D72" s="7" t="s">
        <v>51</v>
      </c>
      <c r="E72">
        <v>106.5</v>
      </c>
      <c r="F72" s="6"/>
      <c r="G72" s="6"/>
      <c r="H72" s="6"/>
      <c r="I72" s="6"/>
      <c r="J72" s="6"/>
      <c r="K72" s="6"/>
      <c r="L72" s="6"/>
      <c r="M72" s="6"/>
      <c r="N72" s="6"/>
      <c r="O72" s="6"/>
      <c r="P72" s="6"/>
      <c r="Q72" s="6"/>
      <c r="R72" s="6"/>
      <c r="S72" s="6"/>
    </row>
    <row r="73" spans="1:19" x14ac:dyDescent="0.25">
      <c r="A73" s="7" t="s">
        <v>31</v>
      </c>
      <c r="B73">
        <v>2013</v>
      </c>
      <c r="C73" s="7" t="s">
        <v>34</v>
      </c>
      <c r="D73" s="7" t="s">
        <v>26</v>
      </c>
      <c r="E73">
        <v>733.19999999999993</v>
      </c>
      <c r="F73" s="6"/>
      <c r="G73" s="6"/>
      <c r="H73" s="6"/>
      <c r="I73" s="6"/>
      <c r="J73" s="6"/>
      <c r="K73" s="6"/>
      <c r="L73" s="6"/>
      <c r="M73" s="6"/>
      <c r="N73" s="6"/>
      <c r="O73" s="6"/>
      <c r="P73" s="6"/>
      <c r="Q73" s="6"/>
      <c r="R73" s="6"/>
      <c r="S73" s="6"/>
    </row>
    <row r="74" spans="1:19" x14ac:dyDescent="0.25">
      <c r="A74" s="7" t="s">
        <v>28</v>
      </c>
      <c r="B74">
        <v>2013</v>
      </c>
      <c r="C74" s="7" t="s">
        <v>35</v>
      </c>
      <c r="D74" s="7" t="s">
        <v>48</v>
      </c>
      <c r="E74">
        <v>1394</v>
      </c>
      <c r="F74" s="6"/>
      <c r="G74" s="6"/>
      <c r="H74" s="6"/>
      <c r="I74" s="6"/>
      <c r="J74" s="6"/>
      <c r="K74" s="6"/>
      <c r="L74" s="6"/>
      <c r="M74" s="6"/>
      <c r="N74" s="6"/>
      <c r="O74" s="6"/>
      <c r="P74" s="6"/>
      <c r="Q74" s="6"/>
      <c r="R74" s="6"/>
      <c r="S74" s="6"/>
    </row>
    <row r="75" spans="1:19" x14ac:dyDescent="0.25">
      <c r="A75" s="7" t="s">
        <v>28</v>
      </c>
      <c r="B75">
        <v>2013</v>
      </c>
      <c r="C75" s="7" t="s">
        <v>35</v>
      </c>
      <c r="D75" s="7" t="s">
        <v>49</v>
      </c>
      <c r="E75">
        <v>108.1</v>
      </c>
      <c r="F75" s="6"/>
      <c r="G75" s="6"/>
      <c r="H75" s="6"/>
      <c r="I75" s="6"/>
      <c r="J75" s="6"/>
      <c r="K75" s="6"/>
      <c r="L75" s="6"/>
      <c r="M75" s="6"/>
      <c r="N75" s="6"/>
      <c r="O75" s="6"/>
      <c r="P75" s="6"/>
      <c r="Q75" s="6"/>
      <c r="R75" s="6"/>
      <c r="S75" s="6"/>
    </row>
    <row r="76" spans="1:19" x14ac:dyDescent="0.25">
      <c r="A76" s="7" t="s">
        <v>28</v>
      </c>
      <c r="B76">
        <v>2013</v>
      </c>
      <c r="C76" s="7" t="s">
        <v>35</v>
      </c>
      <c r="D76" s="7" t="s">
        <v>50</v>
      </c>
      <c r="E76">
        <v>325.29999999999995</v>
      </c>
      <c r="F76" s="6"/>
      <c r="G76" s="6"/>
      <c r="H76" s="6"/>
      <c r="I76" s="6"/>
      <c r="J76" s="6"/>
      <c r="K76" s="6"/>
      <c r="L76" s="6"/>
      <c r="M76" s="6"/>
      <c r="N76" s="6"/>
      <c r="O76" s="6"/>
      <c r="P76" s="6"/>
      <c r="Q76" s="6"/>
      <c r="R76" s="6"/>
      <c r="S76" s="6"/>
    </row>
    <row r="77" spans="1:19" x14ac:dyDescent="0.25">
      <c r="A77" s="7" t="s">
        <v>28</v>
      </c>
      <c r="B77">
        <v>2013</v>
      </c>
      <c r="C77" s="7" t="s">
        <v>35</v>
      </c>
      <c r="D77" s="7" t="s">
        <v>19</v>
      </c>
      <c r="E77">
        <v>103.6</v>
      </c>
      <c r="F77" s="6"/>
      <c r="G77" s="6"/>
      <c r="H77" s="6"/>
      <c r="I77" s="6"/>
      <c r="J77" s="6"/>
      <c r="K77" s="6"/>
      <c r="L77" s="6"/>
      <c r="M77" s="6"/>
      <c r="N77" s="6"/>
      <c r="O77" s="6"/>
      <c r="P77" s="6"/>
      <c r="Q77" s="6"/>
      <c r="R77" s="6"/>
      <c r="S77" s="6"/>
    </row>
    <row r="78" spans="1:19" x14ac:dyDescent="0.25">
      <c r="A78" s="7" t="s">
        <v>28</v>
      </c>
      <c r="B78">
        <v>2013</v>
      </c>
      <c r="C78" s="7" t="s">
        <v>35</v>
      </c>
      <c r="D78" s="7" t="s">
        <v>51</v>
      </c>
      <c r="E78">
        <v>107.5</v>
      </c>
      <c r="F78" s="6"/>
      <c r="G78" s="6"/>
      <c r="H78" s="6"/>
      <c r="I78" s="6"/>
      <c r="J78" s="6"/>
      <c r="K78" s="6"/>
      <c r="L78" s="6"/>
      <c r="M78" s="6"/>
      <c r="N78" s="6"/>
      <c r="O78" s="6"/>
      <c r="P78" s="6"/>
      <c r="Q78" s="6"/>
      <c r="R78" s="6"/>
      <c r="S78" s="6"/>
    </row>
    <row r="79" spans="1:19" x14ac:dyDescent="0.25">
      <c r="A79" s="7" t="s">
        <v>28</v>
      </c>
      <c r="B79">
        <v>2013</v>
      </c>
      <c r="C79" s="7" t="s">
        <v>35</v>
      </c>
      <c r="D79" s="7" t="s">
        <v>26</v>
      </c>
      <c r="E79">
        <v>734</v>
      </c>
    </row>
    <row r="80" spans="1:19" x14ac:dyDescent="0.25">
      <c r="A80" s="7" t="s">
        <v>30</v>
      </c>
      <c r="B80">
        <v>2013</v>
      </c>
      <c r="C80" s="7" t="s">
        <v>35</v>
      </c>
      <c r="D80" s="7" t="s">
        <v>48</v>
      </c>
      <c r="E80">
        <v>1417.1999999999998</v>
      </c>
    </row>
    <row r="81" spans="1:5" x14ac:dyDescent="0.25">
      <c r="A81" s="7" t="s">
        <v>30</v>
      </c>
      <c r="B81">
        <v>2013</v>
      </c>
      <c r="C81" s="7" t="s">
        <v>35</v>
      </c>
      <c r="D81" s="7" t="s">
        <v>49</v>
      </c>
      <c r="E81">
        <v>109.8</v>
      </c>
    </row>
    <row r="82" spans="1:5" x14ac:dyDescent="0.25">
      <c r="A82" s="7" t="s">
        <v>30</v>
      </c>
      <c r="B82">
        <v>2013</v>
      </c>
      <c r="C82" s="7" t="s">
        <v>35</v>
      </c>
      <c r="D82" s="7" t="s">
        <v>50</v>
      </c>
      <c r="E82">
        <v>323.5</v>
      </c>
    </row>
    <row r="83" spans="1:5" x14ac:dyDescent="0.25">
      <c r="A83" s="7" t="s">
        <v>30</v>
      </c>
      <c r="B83">
        <v>2013</v>
      </c>
      <c r="C83" s="7" t="s">
        <v>35</v>
      </c>
      <c r="D83" s="7" t="s">
        <v>19</v>
      </c>
      <c r="E83">
        <v>100.5</v>
      </c>
    </row>
    <row r="84" spans="1:5" x14ac:dyDescent="0.25">
      <c r="A84" s="7" t="s">
        <v>30</v>
      </c>
      <c r="B84">
        <v>2013</v>
      </c>
      <c r="C84" s="7" t="s">
        <v>35</v>
      </c>
      <c r="D84" s="7" t="s">
        <v>51</v>
      </c>
      <c r="E84">
        <v>107.2</v>
      </c>
    </row>
    <row r="85" spans="1:5" x14ac:dyDescent="0.25">
      <c r="A85" s="7" t="s">
        <v>30</v>
      </c>
      <c r="B85">
        <v>2013</v>
      </c>
      <c r="C85" s="7" t="s">
        <v>35</v>
      </c>
      <c r="D85" s="7" t="s">
        <v>26</v>
      </c>
      <c r="E85">
        <v>735.00000000000011</v>
      </c>
    </row>
    <row r="86" spans="1:5" x14ac:dyDescent="0.25">
      <c r="A86" s="7" t="s">
        <v>31</v>
      </c>
      <c r="B86">
        <v>2013</v>
      </c>
      <c r="C86" s="7" t="s">
        <v>35</v>
      </c>
      <c r="D86" s="7" t="s">
        <v>48</v>
      </c>
      <c r="E86">
        <v>1402.1999999999998</v>
      </c>
    </row>
    <row r="87" spans="1:5" x14ac:dyDescent="0.25">
      <c r="A87" s="7" t="s">
        <v>31</v>
      </c>
      <c r="B87">
        <v>2013</v>
      </c>
      <c r="C87" s="7" t="s">
        <v>35</v>
      </c>
      <c r="D87" s="7" t="s">
        <v>49</v>
      </c>
      <c r="E87">
        <v>108.6</v>
      </c>
    </row>
    <row r="88" spans="1:5" x14ac:dyDescent="0.25">
      <c r="A88" s="7" t="s">
        <v>31</v>
      </c>
      <c r="B88">
        <v>2013</v>
      </c>
      <c r="C88" s="7" t="s">
        <v>35</v>
      </c>
      <c r="D88" s="7" t="s">
        <v>50</v>
      </c>
      <c r="E88">
        <v>324.60000000000002</v>
      </c>
    </row>
    <row r="89" spans="1:5" x14ac:dyDescent="0.25">
      <c r="A89" s="7" t="s">
        <v>31</v>
      </c>
      <c r="B89">
        <v>2013</v>
      </c>
      <c r="C89" s="7" t="s">
        <v>35</v>
      </c>
      <c r="D89" s="7" t="s">
        <v>19</v>
      </c>
      <c r="E89">
        <v>100.5</v>
      </c>
    </row>
    <row r="90" spans="1:5" x14ac:dyDescent="0.25">
      <c r="A90" s="7" t="s">
        <v>31</v>
      </c>
      <c r="B90">
        <v>2013</v>
      </c>
      <c r="C90" s="7" t="s">
        <v>35</v>
      </c>
      <c r="D90" s="7" t="s">
        <v>51</v>
      </c>
      <c r="E90">
        <v>107.4</v>
      </c>
    </row>
    <row r="91" spans="1:5" x14ac:dyDescent="0.25">
      <c r="A91" s="7" t="s">
        <v>31</v>
      </c>
      <c r="B91">
        <v>2013</v>
      </c>
      <c r="C91" s="7" t="s">
        <v>35</v>
      </c>
      <c r="D91" s="7" t="s">
        <v>26</v>
      </c>
      <c r="E91">
        <v>734.3</v>
      </c>
    </row>
    <row r="92" spans="1:5" x14ac:dyDescent="0.25">
      <c r="A92" s="7" t="s">
        <v>28</v>
      </c>
      <c r="B92">
        <v>2013</v>
      </c>
      <c r="C92" s="7" t="s">
        <v>36</v>
      </c>
      <c r="D92" s="7" t="s">
        <v>48</v>
      </c>
      <c r="E92">
        <v>1420</v>
      </c>
    </row>
    <row r="93" spans="1:5" x14ac:dyDescent="0.25">
      <c r="A93" s="7" t="s">
        <v>28</v>
      </c>
      <c r="B93">
        <v>2013</v>
      </c>
      <c r="C93" s="7" t="s">
        <v>36</v>
      </c>
      <c r="D93" s="7" t="s">
        <v>49</v>
      </c>
      <c r="E93">
        <v>109</v>
      </c>
    </row>
    <row r="94" spans="1:5" x14ac:dyDescent="0.25">
      <c r="A94" s="7" t="s">
        <v>28</v>
      </c>
      <c r="B94">
        <v>2013</v>
      </c>
      <c r="C94" s="7" t="s">
        <v>36</v>
      </c>
      <c r="D94" s="7" t="s">
        <v>50</v>
      </c>
      <c r="E94">
        <v>328</v>
      </c>
    </row>
    <row r="95" spans="1:5" x14ac:dyDescent="0.25">
      <c r="A95" s="7" t="s">
        <v>28</v>
      </c>
      <c r="B95">
        <v>2013</v>
      </c>
      <c r="C95" s="7" t="s">
        <v>36</v>
      </c>
      <c r="D95" s="7" t="s">
        <v>19</v>
      </c>
      <c r="E95">
        <v>107.2</v>
      </c>
    </row>
    <row r="96" spans="1:5" x14ac:dyDescent="0.25">
      <c r="A96" s="7" t="s">
        <v>28</v>
      </c>
      <c r="B96">
        <v>2013</v>
      </c>
      <c r="C96" s="7" t="s">
        <v>36</v>
      </c>
      <c r="D96" s="7" t="s">
        <v>51</v>
      </c>
      <c r="E96">
        <v>108.5</v>
      </c>
    </row>
    <row r="97" spans="1:5" x14ac:dyDescent="0.25">
      <c r="A97" s="7" t="s">
        <v>28</v>
      </c>
      <c r="B97">
        <v>2013</v>
      </c>
      <c r="C97" s="7" t="s">
        <v>36</v>
      </c>
      <c r="D97" s="7" t="s">
        <v>26</v>
      </c>
      <c r="E97">
        <v>738.9</v>
      </c>
    </row>
    <row r="98" spans="1:5" x14ac:dyDescent="0.25">
      <c r="A98" s="7" t="s">
        <v>30</v>
      </c>
      <c r="B98">
        <v>2013</v>
      </c>
      <c r="C98" s="7" t="s">
        <v>36</v>
      </c>
      <c r="D98" s="7" t="s">
        <v>48</v>
      </c>
      <c r="E98">
        <v>1464.6000000000001</v>
      </c>
    </row>
    <row r="99" spans="1:5" x14ac:dyDescent="0.25">
      <c r="A99" s="7" t="s">
        <v>30</v>
      </c>
      <c r="B99">
        <v>2013</v>
      </c>
      <c r="C99" s="7" t="s">
        <v>36</v>
      </c>
      <c r="D99" s="7" t="s">
        <v>49</v>
      </c>
      <c r="E99">
        <v>110.9</v>
      </c>
    </row>
    <row r="100" spans="1:5" x14ac:dyDescent="0.25">
      <c r="A100" s="7" t="s">
        <v>30</v>
      </c>
      <c r="B100">
        <v>2013</v>
      </c>
      <c r="C100" s="7" t="s">
        <v>36</v>
      </c>
      <c r="D100" s="7" t="s">
        <v>50</v>
      </c>
      <c r="E100">
        <v>325.3</v>
      </c>
    </row>
    <row r="101" spans="1:5" x14ac:dyDescent="0.25">
      <c r="A101" s="7" t="s">
        <v>30</v>
      </c>
      <c r="B101">
        <v>2013</v>
      </c>
      <c r="C101" s="7" t="s">
        <v>36</v>
      </c>
      <c r="D101" s="7" t="s">
        <v>19</v>
      </c>
      <c r="E101">
        <v>106.6</v>
      </c>
    </row>
    <row r="102" spans="1:5" x14ac:dyDescent="0.25">
      <c r="A102" s="7" t="s">
        <v>30</v>
      </c>
      <c r="B102">
        <v>2013</v>
      </c>
      <c r="C102" s="7" t="s">
        <v>36</v>
      </c>
      <c r="D102" s="7" t="s">
        <v>51</v>
      </c>
      <c r="E102">
        <v>108</v>
      </c>
    </row>
    <row r="103" spans="1:5" x14ac:dyDescent="0.25">
      <c r="A103" s="7" t="s">
        <v>30</v>
      </c>
      <c r="B103">
        <v>2013</v>
      </c>
      <c r="C103" s="7" t="s">
        <v>36</v>
      </c>
      <c r="D103" s="7" t="s">
        <v>26</v>
      </c>
      <c r="E103">
        <v>742.09999999999991</v>
      </c>
    </row>
    <row r="104" spans="1:5" x14ac:dyDescent="0.25">
      <c r="A104" s="7" t="s">
        <v>31</v>
      </c>
      <c r="B104">
        <v>2013</v>
      </c>
      <c r="C104" s="7" t="s">
        <v>36</v>
      </c>
      <c r="D104" s="7" t="s">
        <v>48</v>
      </c>
      <c r="E104">
        <v>1436</v>
      </c>
    </row>
    <row r="105" spans="1:5" x14ac:dyDescent="0.25">
      <c r="A105" s="7" t="s">
        <v>31</v>
      </c>
      <c r="B105">
        <v>2013</v>
      </c>
      <c r="C105" s="7" t="s">
        <v>36</v>
      </c>
      <c r="D105" s="7" t="s">
        <v>49</v>
      </c>
      <c r="E105">
        <v>109.5</v>
      </c>
    </row>
    <row r="106" spans="1:5" x14ac:dyDescent="0.25">
      <c r="A106" s="7" t="s">
        <v>31</v>
      </c>
      <c r="B106">
        <v>2013</v>
      </c>
      <c r="C106" s="7" t="s">
        <v>36</v>
      </c>
      <c r="D106" s="7" t="s">
        <v>50</v>
      </c>
      <c r="E106">
        <v>326.89999999999998</v>
      </c>
    </row>
    <row r="107" spans="1:5" x14ac:dyDescent="0.25">
      <c r="A107" s="7" t="s">
        <v>31</v>
      </c>
      <c r="B107">
        <v>2013</v>
      </c>
      <c r="C107" s="7" t="s">
        <v>36</v>
      </c>
      <c r="D107" s="7" t="s">
        <v>19</v>
      </c>
      <c r="E107">
        <v>106.6</v>
      </c>
    </row>
    <row r="108" spans="1:5" x14ac:dyDescent="0.25">
      <c r="A108" s="7" t="s">
        <v>31</v>
      </c>
      <c r="B108">
        <v>2013</v>
      </c>
      <c r="C108" s="7" t="s">
        <v>36</v>
      </c>
      <c r="D108" s="7" t="s">
        <v>51</v>
      </c>
      <c r="E108">
        <v>108.3</v>
      </c>
    </row>
    <row r="109" spans="1:5" x14ac:dyDescent="0.25">
      <c r="A109" s="7" t="s">
        <v>31</v>
      </c>
      <c r="B109">
        <v>2013</v>
      </c>
      <c r="C109" s="7" t="s">
        <v>36</v>
      </c>
      <c r="D109" s="7" t="s">
        <v>26</v>
      </c>
      <c r="E109">
        <v>740.49999999999989</v>
      </c>
    </row>
    <row r="110" spans="1:5" x14ac:dyDescent="0.25">
      <c r="A110" s="7" t="s">
        <v>28</v>
      </c>
      <c r="B110">
        <v>2013</v>
      </c>
      <c r="C110" s="7" t="s">
        <v>37</v>
      </c>
      <c r="D110" s="7" t="s">
        <v>48</v>
      </c>
      <c r="E110">
        <v>1445.8999999999996</v>
      </c>
    </row>
    <row r="111" spans="1:5" x14ac:dyDescent="0.25">
      <c r="A111" s="7" t="s">
        <v>28</v>
      </c>
      <c r="B111">
        <v>2013</v>
      </c>
      <c r="C111" s="7" t="s">
        <v>37</v>
      </c>
      <c r="D111" s="7" t="s">
        <v>49</v>
      </c>
      <c r="E111">
        <v>109.8</v>
      </c>
    </row>
    <row r="112" spans="1:5" x14ac:dyDescent="0.25">
      <c r="A112" s="7" t="s">
        <v>28</v>
      </c>
      <c r="B112">
        <v>2013</v>
      </c>
      <c r="C112" s="7" t="s">
        <v>37</v>
      </c>
      <c r="D112" s="7" t="s">
        <v>50</v>
      </c>
      <c r="E112">
        <v>330.3</v>
      </c>
    </row>
    <row r="113" spans="1:5" x14ac:dyDescent="0.25">
      <c r="A113" s="7" t="s">
        <v>28</v>
      </c>
      <c r="B113">
        <v>2013</v>
      </c>
      <c r="C113" s="7" t="s">
        <v>37</v>
      </c>
      <c r="D113" s="7" t="s">
        <v>19</v>
      </c>
      <c r="E113">
        <v>108.3</v>
      </c>
    </row>
    <row r="114" spans="1:5" x14ac:dyDescent="0.25">
      <c r="A114" s="7" t="s">
        <v>28</v>
      </c>
      <c r="B114">
        <v>2013</v>
      </c>
      <c r="C114" s="7" t="s">
        <v>37</v>
      </c>
      <c r="D114" s="7" t="s">
        <v>51</v>
      </c>
      <c r="E114">
        <v>109.5</v>
      </c>
    </row>
    <row r="115" spans="1:5" x14ac:dyDescent="0.25">
      <c r="A115" s="7" t="s">
        <v>28</v>
      </c>
      <c r="B115">
        <v>2013</v>
      </c>
      <c r="C115" s="7" t="s">
        <v>37</v>
      </c>
      <c r="D115" s="7" t="s">
        <v>26</v>
      </c>
      <c r="E115">
        <v>745.19999999999993</v>
      </c>
    </row>
    <row r="116" spans="1:5" x14ac:dyDescent="0.25">
      <c r="A116" s="7" t="s">
        <v>30</v>
      </c>
      <c r="B116">
        <v>2013</v>
      </c>
      <c r="C116" s="7" t="s">
        <v>37</v>
      </c>
      <c r="D116" s="7" t="s">
        <v>48</v>
      </c>
      <c r="E116">
        <v>1489.4</v>
      </c>
    </row>
    <row r="117" spans="1:5" x14ac:dyDescent="0.25">
      <c r="A117" s="7" t="s">
        <v>30</v>
      </c>
      <c r="B117">
        <v>2013</v>
      </c>
      <c r="C117" s="7" t="s">
        <v>37</v>
      </c>
      <c r="D117" s="7" t="s">
        <v>49</v>
      </c>
      <c r="E117">
        <v>111.7</v>
      </c>
    </row>
    <row r="118" spans="1:5" x14ac:dyDescent="0.25">
      <c r="A118" s="7" t="s">
        <v>30</v>
      </c>
      <c r="B118">
        <v>2013</v>
      </c>
      <c r="C118" s="7" t="s">
        <v>37</v>
      </c>
      <c r="D118" s="7" t="s">
        <v>50</v>
      </c>
      <c r="E118">
        <v>327.10000000000002</v>
      </c>
    </row>
    <row r="119" spans="1:5" x14ac:dyDescent="0.25">
      <c r="A119" s="7" t="s">
        <v>30</v>
      </c>
      <c r="B119">
        <v>2013</v>
      </c>
      <c r="C119" s="7" t="s">
        <v>37</v>
      </c>
      <c r="D119" s="7" t="s">
        <v>19</v>
      </c>
      <c r="E119">
        <v>107.7</v>
      </c>
    </row>
    <row r="120" spans="1:5" x14ac:dyDescent="0.25">
      <c r="A120" s="7" t="s">
        <v>30</v>
      </c>
      <c r="B120">
        <v>2013</v>
      </c>
      <c r="C120" s="7" t="s">
        <v>37</v>
      </c>
      <c r="D120" s="7" t="s">
        <v>51</v>
      </c>
      <c r="E120">
        <v>108.6</v>
      </c>
    </row>
    <row r="121" spans="1:5" x14ac:dyDescent="0.25">
      <c r="A121" s="7" t="s">
        <v>30</v>
      </c>
      <c r="B121">
        <v>2013</v>
      </c>
      <c r="C121" s="7" t="s">
        <v>37</v>
      </c>
      <c r="D121" s="7" t="s">
        <v>26</v>
      </c>
      <c r="E121">
        <v>749</v>
      </c>
    </row>
    <row r="122" spans="1:5" x14ac:dyDescent="0.25">
      <c r="A122" s="7" t="s">
        <v>31</v>
      </c>
      <c r="B122">
        <v>2013</v>
      </c>
      <c r="C122" s="7" t="s">
        <v>37</v>
      </c>
      <c r="D122" s="7" t="s">
        <v>48</v>
      </c>
      <c r="E122">
        <v>1461.3999999999999</v>
      </c>
    </row>
    <row r="123" spans="1:5" x14ac:dyDescent="0.25">
      <c r="A123" s="7" t="s">
        <v>31</v>
      </c>
      <c r="B123">
        <v>2013</v>
      </c>
      <c r="C123" s="7" t="s">
        <v>37</v>
      </c>
      <c r="D123" s="7" t="s">
        <v>49</v>
      </c>
      <c r="E123">
        <v>110.3</v>
      </c>
    </row>
    <row r="124" spans="1:5" x14ac:dyDescent="0.25">
      <c r="A124" s="7" t="s">
        <v>31</v>
      </c>
      <c r="B124">
        <v>2013</v>
      </c>
      <c r="C124" s="7" t="s">
        <v>37</v>
      </c>
      <c r="D124" s="7" t="s">
        <v>50</v>
      </c>
      <c r="E124">
        <v>329</v>
      </c>
    </row>
    <row r="125" spans="1:5" x14ac:dyDescent="0.25">
      <c r="A125" s="7" t="s">
        <v>31</v>
      </c>
      <c r="B125">
        <v>2013</v>
      </c>
      <c r="C125" s="7" t="s">
        <v>37</v>
      </c>
      <c r="D125" s="7" t="s">
        <v>19</v>
      </c>
      <c r="E125">
        <v>107.7</v>
      </c>
    </row>
    <row r="126" spans="1:5" x14ac:dyDescent="0.25">
      <c r="A126" s="7" t="s">
        <v>31</v>
      </c>
      <c r="B126">
        <v>2013</v>
      </c>
      <c r="C126" s="7" t="s">
        <v>37</v>
      </c>
      <c r="D126" s="7" t="s">
        <v>51</v>
      </c>
      <c r="E126">
        <v>109.2</v>
      </c>
    </row>
    <row r="127" spans="1:5" x14ac:dyDescent="0.25">
      <c r="A127" s="7" t="s">
        <v>31</v>
      </c>
      <c r="B127">
        <v>2013</v>
      </c>
      <c r="C127" s="7" t="s">
        <v>37</v>
      </c>
      <c r="D127" s="7" t="s">
        <v>26</v>
      </c>
      <c r="E127">
        <v>747.19999999999993</v>
      </c>
    </row>
    <row r="128" spans="1:5" x14ac:dyDescent="0.25">
      <c r="A128" s="7" t="s">
        <v>28</v>
      </c>
      <c r="B128">
        <v>2013</v>
      </c>
      <c r="C128" s="7" t="s">
        <v>38</v>
      </c>
      <c r="D128" s="7" t="s">
        <v>48</v>
      </c>
      <c r="E128">
        <v>1462.5</v>
      </c>
    </row>
    <row r="129" spans="1:5" x14ac:dyDescent="0.25">
      <c r="A129" s="7" t="s">
        <v>28</v>
      </c>
      <c r="B129">
        <v>2013</v>
      </c>
      <c r="C129" s="7" t="s">
        <v>38</v>
      </c>
      <c r="D129" s="7" t="s">
        <v>49</v>
      </c>
      <c r="E129">
        <v>110.7</v>
      </c>
    </row>
    <row r="130" spans="1:5" x14ac:dyDescent="0.25">
      <c r="A130" s="7" t="s">
        <v>28</v>
      </c>
      <c r="B130">
        <v>2013</v>
      </c>
      <c r="C130" s="7" t="s">
        <v>38</v>
      </c>
      <c r="D130" s="7" t="s">
        <v>50</v>
      </c>
      <c r="E130">
        <v>332.6</v>
      </c>
    </row>
    <row r="131" spans="1:5" x14ac:dyDescent="0.25">
      <c r="A131" s="7" t="s">
        <v>28</v>
      </c>
      <c r="B131">
        <v>2013</v>
      </c>
      <c r="C131" s="7" t="s">
        <v>38</v>
      </c>
      <c r="D131" s="7" t="s">
        <v>19</v>
      </c>
      <c r="E131">
        <v>109.3</v>
      </c>
    </row>
    <row r="132" spans="1:5" x14ac:dyDescent="0.25">
      <c r="A132" s="7" t="s">
        <v>28</v>
      </c>
      <c r="B132">
        <v>2013</v>
      </c>
      <c r="C132" s="7" t="s">
        <v>38</v>
      </c>
      <c r="D132" s="7" t="s">
        <v>51</v>
      </c>
      <c r="E132">
        <v>109.9</v>
      </c>
    </row>
    <row r="133" spans="1:5" x14ac:dyDescent="0.25">
      <c r="A133" s="7" t="s">
        <v>28</v>
      </c>
      <c r="B133">
        <v>2013</v>
      </c>
      <c r="C133" s="7" t="s">
        <v>38</v>
      </c>
      <c r="D133" s="7" t="s">
        <v>26</v>
      </c>
      <c r="E133">
        <v>752</v>
      </c>
    </row>
    <row r="134" spans="1:5" x14ac:dyDescent="0.25">
      <c r="A134" s="7" t="s">
        <v>30</v>
      </c>
      <c r="B134">
        <v>2013</v>
      </c>
      <c r="C134" s="7" t="s">
        <v>38</v>
      </c>
      <c r="D134" s="7" t="s">
        <v>48</v>
      </c>
      <c r="E134">
        <v>1506.1000000000001</v>
      </c>
    </row>
    <row r="135" spans="1:5" x14ac:dyDescent="0.25">
      <c r="A135" s="7" t="s">
        <v>30</v>
      </c>
      <c r="B135">
        <v>2013</v>
      </c>
      <c r="C135" s="7" t="s">
        <v>38</v>
      </c>
      <c r="D135" s="7" t="s">
        <v>49</v>
      </c>
      <c r="E135">
        <v>112.4</v>
      </c>
    </row>
    <row r="136" spans="1:5" x14ac:dyDescent="0.25">
      <c r="A136" s="7" t="s">
        <v>30</v>
      </c>
      <c r="B136">
        <v>2013</v>
      </c>
      <c r="C136" s="7" t="s">
        <v>38</v>
      </c>
      <c r="D136" s="7" t="s">
        <v>50</v>
      </c>
      <c r="E136">
        <v>329.09999999999997</v>
      </c>
    </row>
    <row r="137" spans="1:5" x14ac:dyDescent="0.25">
      <c r="A137" s="7" t="s">
        <v>30</v>
      </c>
      <c r="B137">
        <v>2013</v>
      </c>
      <c r="C137" s="7" t="s">
        <v>38</v>
      </c>
      <c r="D137" s="7" t="s">
        <v>19</v>
      </c>
      <c r="E137">
        <v>108.9</v>
      </c>
    </row>
    <row r="138" spans="1:5" x14ac:dyDescent="0.25">
      <c r="A138" s="7" t="s">
        <v>30</v>
      </c>
      <c r="B138">
        <v>2013</v>
      </c>
      <c r="C138" s="7" t="s">
        <v>38</v>
      </c>
      <c r="D138" s="7" t="s">
        <v>51</v>
      </c>
      <c r="E138">
        <v>109.3</v>
      </c>
    </row>
    <row r="139" spans="1:5" x14ac:dyDescent="0.25">
      <c r="A139" s="7" t="s">
        <v>30</v>
      </c>
      <c r="B139">
        <v>2013</v>
      </c>
      <c r="C139" s="7" t="s">
        <v>38</v>
      </c>
      <c r="D139" s="7" t="s">
        <v>26</v>
      </c>
      <c r="E139">
        <v>755.99999999999989</v>
      </c>
    </row>
    <row r="140" spans="1:5" x14ac:dyDescent="0.25">
      <c r="A140" s="7" t="s">
        <v>31</v>
      </c>
      <c r="B140">
        <v>2013</v>
      </c>
      <c r="C140" s="7" t="s">
        <v>38</v>
      </c>
      <c r="D140" s="7" t="s">
        <v>48</v>
      </c>
      <c r="E140">
        <v>1477.4</v>
      </c>
    </row>
    <row r="141" spans="1:5" x14ac:dyDescent="0.25">
      <c r="A141" s="7" t="s">
        <v>31</v>
      </c>
      <c r="B141">
        <v>2013</v>
      </c>
      <c r="C141" s="7" t="s">
        <v>38</v>
      </c>
      <c r="D141" s="7" t="s">
        <v>49</v>
      </c>
      <c r="E141">
        <v>111.2</v>
      </c>
    </row>
    <row r="142" spans="1:5" x14ac:dyDescent="0.25">
      <c r="A142" s="7" t="s">
        <v>31</v>
      </c>
      <c r="B142">
        <v>2013</v>
      </c>
      <c r="C142" s="7" t="s">
        <v>38</v>
      </c>
      <c r="D142" s="7" t="s">
        <v>50</v>
      </c>
      <c r="E142">
        <v>331.1</v>
      </c>
    </row>
    <row r="143" spans="1:5" x14ac:dyDescent="0.25">
      <c r="A143" s="7" t="s">
        <v>31</v>
      </c>
      <c r="B143">
        <v>2013</v>
      </c>
      <c r="C143" s="7" t="s">
        <v>38</v>
      </c>
      <c r="D143" s="7" t="s">
        <v>19</v>
      </c>
      <c r="E143">
        <v>108.9</v>
      </c>
    </row>
    <row r="144" spans="1:5" x14ac:dyDescent="0.25">
      <c r="A144" s="7" t="s">
        <v>31</v>
      </c>
      <c r="B144">
        <v>2013</v>
      </c>
      <c r="C144" s="7" t="s">
        <v>38</v>
      </c>
      <c r="D144" s="7" t="s">
        <v>51</v>
      </c>
      <c r="E144">
        <v>109.7</v>
      </c>
    </row>
    <row r="145" spans="1:5" x14ac:dyDescent="0.25">
      <c r="A145" s="7" t="s">
        <v>31</v>
      </c>
      <c r="B145">
        <v>2013</v>
      </c>
      <c r="C145" s="7" t="s">
        <v>38</v>
      </c>
      <c r="D145" s="7" t="s">
        <v>26</v>
      </c>
      <c r="E145">
        <v>753.99999999999989</v>
      </c>
    </row>
    <row r="146" spans="1:5" x14ac:dyDescent="0.25">
      <c r="A146" s="7" t="s">
        <v>28</v>
      </c>
      <c r="B146">
        <v>2013</v>
      </c>
      <c r="C146" s="7" t="s">
        <v>39</v>
      </c>
      <c r="D146" s="7" t="s">
        <v>48</v>
      </c>
      <c r="E146">
        <v>1488.5000000000002</v>
      </c>
    </row>
    <row r="147" spans="1:5" x14ac:dyDescent="0.25">
      <c r="A147" s="7" t="s">
        <v>28</v>
      </c>
      <c r="B147">
        <v>2013</v>
      </c>
      <c r="C147" s="7" t="s">
        <v>39</v>
      </c>
      <c r="D147" s="7" t="s">
        <v>49</v>
      </c>
      <c r="E147">
        <v>111.7</v>
      </c>
    </row>
    <row r="148" spans="1:5" x14ac:dyDescent="0.25">
      <c r="A148" s="7" t="s">
        <v>28</v>
      </c>
      <c r="B148">
        <v>2013</v>
      </c>
      <c r="C148" s="7" t="s">
        <v>39</v>
      </c>
      <c r="D148" s="7" t="s">
        <v>50</v>
      </c>
      <c r="E148">
        <v>336.6</v>
      </c>
    </row>
    <row r="149" spans="1:5" x14ac:dyDescent="0.25">
      <c r="A149" s="7" t="s">
        <v>28</v>
      </c>
      <c r="B149">
        <v>2013</v>
      </c>
      <c r="C149" s="7" t="s">
        <v>39</v>
      </c>
      <c r="D149" s="7" t="s">
        <v>19</v>
      </c>
      <c r="E149">
        <v>110.1</v>
      </c>
    </row>
    <row r="150" spans="1:5" x14ac:dyDescent="0.25">
      <c r="A150" s="7" t="s">
        <v>28</v>
      </c>
      <c r="B150">
        <v>2013</v>
      </c>
      <c r="C150" s="7" t="s">
        <v>39</v>
      </c>
      <c r="D150" s="7" t="s">
        <v>51</v>
      </c>
      <c r="E150">
        <v>111.1</v>
      </c>
    </row>
    <row r="151" spans="1:5" x14ac:dyDescent="0.25">
      <c r="A151" s="7" t="s">
        <v>28</v>
      </c>
      <c r="B151">
        <v>2013</v>
      </c>
      <c r="C151" s="7" t="s">
        <v>39</v>
      </c>
      <c r="D151" s="7" t="s">
        <v>26</v>
      </c>
      <c r="E151">
        <v>760.1</v>
      </c>
    </row>
    <row r="152" spans="1:5" x14ac:dyDescent="0.25">
      <c r="A152" s="7" t="s">
        <v>30</v>
      </c>
      <c r="B152">
        <v>2013</v>
      </c>
      <c r="C152" s="7" t="s">
        <v>39</v>
      </c>
      <c r="D152" s="7" t="s">
        <v>48</v>
      </c>
      <c r="E152">
        <v>1500.4</v>
      </c>
    </row>
    <row r="153" spans="1:5" x14ac:dyDescent="0.25">
      <c r="A153" s="7" t="s">
        <v>30</v>
      </c>
      <c r="B153">
        <v>2013</v>
      </c>
      <c r="C153" s="7" t="s">
        <v>39</v>
      </c>
      <c r="D153" s="7" t="s">
        <v>49</v>
      </c>
      <c r="E153">
        <v>112.9</v>
      </c>
    </row>
    <row r="154" spans="1:5" x14ac:dyDescent="0.25">
      <c r="A154" s="7" t="s">
        <v>30</v>
      </c>
      <c r="B154">
        <v>2013</v>
      </c>
      <c r="C154" s="7" t="s">
        <v>39</v>
      </c>
      <c r="D154" s="7" t="s">
        <v>50</v>
      </c>
      <c r="E154">
        <v>331.5</v>
      </c>
    </row>
    <row r="155" spans="1:5" x14ac:dyDescent="0.25">
      <c r="A155" s="7" t="s">
        <v>30</v>
      </c>
      <c r="B155">
        <v>2013</v>
      </c>
      <c r="C155" s="7" t="s">
        <v>39</v>
      </c>
      <c r="D155" s="7" t="s">
        <v>19</v>
      </c>
      <c r="E155">
        <v>109.7</v>
      </c>
    </row>
    <row r="156" spans="1:5" x14ac:dyDescent="0.25">
      <c r="A156" s="7" t="s">
        <v>30</v>
      </c>
      <c r="B156">
        <v>2013</v>
      </c>
      <c r="C156" s="7" t="s">
        <v>39</v>
      </c>
      <c r="D156" s="7" t="s">
        <v>51</v>
      </c>
      <c r="E156">
        <v>109.5</v>
      </c>
    </row>
    <row r="157" spans="1:5" x14ac:dyDescent="0.25">
      <c r="A157" s="7" t="s">
        <v>30</v>
      </c>
      <c r="B157">
        <v>2013</v>
      </c>
      <c r="C157" s="7" t="s">
        <v>39</v>
      </c>
      <c r="D157" s="7" t="s">
        <v>26</v>
      </c>
      <c r="E157">
        <v>762.8</v>
      </c>
    </row>
    <row r="158" spans="1:5" x14ac:dyDescent="0.25">
      <c r="A158" s="7" t="s">
        <v>31</v>
      </c>
      <c r="B158">
        <v>2013</v>
      </c>
      <c r="C158" s="7" t="s">
        <v>39</v>
      </c>
      <c r="D158" s="7" t="s">
        <v>48</v>
      </c>
      <c r="E158">
        <v>1491.6999999999998</v>
      </c>
    </row>
    <row r="159" spans="1:5" x14ac:dyDescent="0.25">
      <c r="A159" s="7" t="s">
        <v>31</v>
      </c>
      <c r="B159">
        <v>2013</v>
      </c>
      <c r="C159" s="7" t="s">
        <v>39</v>
      </c>
      <c r="D159" s="7" t="s">
        <v>49</v>
      </c>
      <c r="E159">
        <v>112</v>
      </c>
    </row>
    <row r="160" spans="1:5" x14ac:dyDescent="0.25">
      <c r="A160" s="7" t="s">
        <v>31</v>
      </c>
      <c r="B160">
        <v>2013</v>
      </c>
      <c r="C160" s="7" t="s">
        <v>39</v>
      </c>
      <c r="D160" s="7" t="s">
        <v>50</v>
      </c>
      <c r="E160">
        <v>334.5</v>
      </c>
    </row>
    <row r="161" spans="1:5" x14ac:dyDescent="0.25">
      <c r="A161" s="7" t="s">
        <v>31</v>
      </c>
      <c r="B161">
        <v>2013</v>
      </c>
      <c r="C161" s="7" t="s">
        <v>39</v>
      </c>
      <c r="D161" s="7" t="s">
        <v>19</v>
      </c>
      <c r="E161">
        <v>109.7</v>
      </c>
    </row>
    <row r="162" spans="1:5" x14ac:dyDescent="0.25">
      <c r="A162" s="7" t="s">
        <v>31</v>
      </c>
      <c r="B162">
        <v>2013</v>
      </c>
      <c r="C162" s="7" t="s">
        <v>39</v>
      </c>
      <c r="D162" s="7" t="s">
        <v>51</v>
      </c>
      <c r="E162">
        <v>110.5</v>
      </c>
    </row>
    <row r="163" spans="1:5" x14ac:dyDescent="0.25">
      <c r="A163" s="7" t="s">
        <v>31</v>
      </c>
      <c r="B163">
        <v>2013</v>
      </c>
      <c r="C163" s="7" t="s">
        <v>39</v>
      </c>
      <c r="D163" s="7" t="s">
        <v>26</v>
      </c>
      <c r="E163">
        <v>761.5</v>
      </c>
    </row>
    <row r="164" spans="1:5" x14ac:dyDescent="0.25">
      <c r="A164" s="7" t="s">
        <v>28</v>
      </c>
      <c r="B164">
        <v>2013</v>
      </c>
      <c r="C164" s="7" t="s">
        <v>40</v>
      </c>
      <c r="D164" s="7" t="s">
        <v>48</v>
      </c>
      <c r="E164">
        <v>1508</v>
      </c>
    </row>
    <row r="165" spans="1:5" x14ac:dyDescent="0.25">
      <c r="A165" s="7" t="s">
        <v>28</v>
      </c>
      <c r="B165">
        <v>2013</v>
      </c>
      <c r="C165" s="7" t="s">
        <v>40</v>
      </c>
      <c r="D165" s="7" t="s">
        <v>49</v>
      </c>
      <c r="E165">
        <v>112.2</v>
      </c>
    </row>
    <row r="166" spans="1:5" x14ac:dyDescent="0.25">
      <c r="A166" s="7" t="s">
        <v>28</v>
      </c>
      <c r="B166">
        <v>2013</v>
      </c>
      <c r="C166" s="7" t="s">
        <v>40</v>
      </c>
      <c r="D166" s="7" t="s">
        <v>50</v>
      </c>
      <c r="E166">
        <v>339.29999999999995</v>
      </c>
    </row>
    <row r="167" spans="1:5" x14ac:dyDescent="0.25">
      <c r="A167" s="7" t="s">
        <v>28</v>
      </c>
      <c r="B167">
        <v>2013</v>
      </c>
      <c r="C167" s="7" t="s">
        <v>40</v>
      </c>
      <c r="D167" s="7" t="s">
        <v>19</v>
      </c>
      <c r="E167">
        <v>110.8</v>
      </c>
    </row>
    <row r="168" spans="1:5" x14ac:dyDescent="0.25">
      <c r="A168" s="7" t="s">
        <v>28</v>
      </c>
      <c r="B168">
        <v>2013</v>
      </c>
      <c r="C168" s="7" t="s">
        <v>40</v>
      </c>
      <c r="D168" s="7" t="s">
        <v>51</v>
      </c>
      <c r="E168">
        <v>111.6</v>
      </c>
    </row>
    <row r="169" spans="1:5" x14ac:dyDescent="0.25">
      <c r="A169" s="7" t="s">
        <v>28</v>
      </c>
      <c r="B169">
        <v>2013</v>
      </c>
      <c r="C169" s="7" t="s">
        <v>40</v>
      </c>
      <c r="D169" s="7" t="s">
        <v>26</v>
      </c>
      <c r="E169">
        <v>763.7</v>
      </c>
    </row>
    <row r="170" spans="1:5" x14ac:dyDescent="0.25">
      <c r="A170" s="7" t="s">
        <v>30</v>
      </c>
      <c r="B170">
        <v>2013</v>
      </c>
      <c r="C170" s="7" t="s">
        <v>40</v>
      </c>
      <c r="D170" s="7" t="s">
        <v>48</v>
      </c>
      <c r="E170">
        <v>1517.1999999999998</v>
      </c>
    </row>
    <row r="171" spans="1:5" x14ac:dyDescent="0.25">
      <c r="A171" s="7" t="s">
        <v>30</v>
      </c>
      <c r="B171">
        <v>2013</v>
      </c>
      <c r="C171" s="7" t="s">
        <v>40</v>
      </c>
      <c r="D171" s="7" t="s">
        <v>49</v>
      </c>
      <c r="E171">
        <v>113.5</v>
      </c>
    </row>
    <row r="172" spans="1:5" x14ac:dyDescent="0.25">
      <c r="A172" s="7" t="s">
        <v>30</v>
      </c>
      <c r="B172">
        <v>2013</v>
      </c>
      <c r="C172" s="7" t="s">
        <v>40</v>
      </c>
      <c r="D172" s="7" t="s">
        <v>50</v>
      </c>
      <c r="E172">
        <v>334.2</v>
      </c>
    </row>
    <row r="173" spans="1:5" x14ac:dyDescent="0.25">
      <c r="A173" s="7" t="s">
        <v>30</v>
      </c>
      <c r="B173">
        <v>2013</v>
      </c>
      <c r="C173" s="7" t="s">
        <v>40</v>
      </c>
      <c r="D173" s="7" t="s">
        <v>19</v>
      </c>
      <c r="E173">
        <v>110.5</v>
      </c>
    </row>
    <row r="174" spans="1:5" x14ac:dyDescent="0.25">
      <c r="A174" s="7" t="s">
        <v>30</v>
      </c>
      <c r="B174">
        <v>2013</v>
      </c>
      <c r="C174" s="7" t="s">
        <v>40</v>
      </c>
      <c r="D174" s="7" t="s">
        <v>51</v>
      </c>
      <c r="E174">
        <v>109.7</v>
      </c>
    </row>
    <row r="175" spans="1:5" x14ac:dyDescent="0.25">
      <c r="A175" s="7" t="s">
        <v>30</v>
      </c>
      <c r="B175">
        <v>2013</v>
      </c>
      <c r="C175" s="7" t="s">
        <v>40</v>
      </c>
      <c r="D175" s="7" t="s">
        <v>26</v>
      </c>
      <c r="E175">
        <v>764.09999999999991</v>
      </c>
    </row>
    <row r="176" spans="1:5" x14ac:dyDescent="0.25">
      <c r="A176" s="7" t="s">
        <v>31</v>
      </c>
      <c r="B176">
        <v>2013</v>
      </c>
      <c r="C176" s="7" t="s">
        <v>40</v>
      </c>
      <c r="D176" s="7" t="s">
        <v>48</v>
      </c>
      <c r="E176">
        <v>1510.2000000000003</v>
      </c>
    </row>
    <row r="177" spans="1:5" x14ac:dyDescent="0.25">
      <c r="A177" s="7" t="s">
        <v>31</v>
      </c>
      <c r="B177">
        <v>2013</v>
      </c>
      <c r="C177" s="7" t="s">
        <v>40</v>
      </c>
      <c r="D177" s="7" t="s">
        <v>49</v>
      </c>
      <c r="E177">
        <v>112.5</v>
      </c>
    </row>
    <row r="178" spans="1:5" x14ac:dyDescent="0.25">
      <c r="A178" s="7" t="s">
        <v>31</v>
      </c>
      <c r="B178">
        <v>2013</v>
      </c>
      <c r="C178" s="7" t="s">
        <v>40</v>
      </c>
      <c r="D178" s="7" t="s">
        <v>50</v>
      </c>
      <c r="E178">
        <v>337.2</v>
      </c>
    </row>
    <row r="179" spans="1:5" x14ac:dyDescent="0.25">
      <c r="A179" s="7" t="s">
        <v>31</v>
      </c>
      <c r="B179">
        <v>2013</v>
      </c>
      <c r="C179" s="7" t="s">
        <v>40</v>
      </c>
      <c r="D179" s="7" t="s">
        <v>19</v>
      </c>
      <c r="E179">
        <v>110.5</v>
      </c>
    </row>
    <row r="180" spans="1:5" x14ac:dyDescent="0.25">
      <c r="A180" s="7" t="s">
        <v>31</v>
      </c>
      <c r="B180">
        <v>2013</v>
      </c>
      <c r="C180" s="7" t="s">
        <v>40</v>
      </c>
      <c r="D180" s="7" t="s">
        <v>51</v>
      </c>
      <c r="E180">
        <v>110.9</v>
      </c>
    </row>
    <row r="181" spans="1:5" x14ac:dyDescent="0.25">
      <c r="A181" s="7" t="s">
        <v>31</v>
      </c>
      <c r="B181">
        <v>2013</v>
      </c>
      <c r="C181" s="7" t="s">
        <v>40</v>
      </c>
      <c r="D181" s="7" t="s">
        <v>26</v>
      </c>
      <c r="E181">
        <v>763.9</v>
      </c>
    </row>
    <row r="182" spans="1:5" x14ac:dyDescent="0.25">
      <c r="A182" s="7" t="s">
        <v>28</v>
      </c>
      <c r="B182">
        <v>2013</v>
      </c>
      <c r="C182" s="7" t="s">
        <v>41</v>
      </c>
      <c r="D182" s="7" t="s">
        <v>48</v>
      </c>
      <c r="E182">
        <v>1536.8</v>
      </c>
    </row>
    <row r="183" spans="1:5" x14ac:dyDescent="0.25">
      <c r="A183" s="7" t="s">
        <v>28</v>
      </c>
      <c r="B183">
        <v>2013</v>
      </c>
      <c r="C183" s="7" t="s">
        <v>41</v>
      </c>
      <c r="D183" s="7" t="s">
        <v>49</v>
      </c>
      <c r="E183">
        <v>112.8</v>
      </c>
    </row>
    <row r="184" spans="1:5" x14ac:dyDescent="0.25">
      <c r="A184" s="7" t="s">
        <v>28</v>
      </c>
      <c r="B184">
        <v>2013</v>
      </c>
      <c r="C184" s="7" t="s">
        <v>41</v>
      </c>
      <c r="D184" s="7" t="s">
        <v>50</v>
      </c>
      <c r="E184">
        <v>342.1</v>
      </c>
    </row>
    <row r="185" spans="1:5" x14ac:dyDescent="0.25">
      <c r="A185" s="7" t="s">
        <v>28</v>
      </c>
      <c r="B185">
        <v>2013</v>
      </c>
      <c r="C185" s="7" t="s">
        <v>41</v>
      </c>
      <c r="D185" s="7" t="s">
        <v>19</v>
      </c>
      <c r="E185">
        <v>110.9</v>
      </c>
    </row>
    <row r="186" spans="1:5" x14ac:dyDescent="0.25">
      <c r="A186" s="7" t="s">
        <v>28</v>
      </c>
      <c r="B186">
        <v>2013</v>
      </c>
      <c r="C186" s="7" t="s">
        <v>41</v>
      </c>
      <c r="D186" s="7" t="s">
        <v>51</v>
      </c>
      <c r="E186">
        <v>112.6</v>
      </c>
    </row>
    <row r="187" spans="1:5" x14ac:dyDescent="0.25">
      <c r="A187" s="7" t="s">
        <v>28</v>
      </c>
      <c r="B187">
        <v>2013</v>
      </c>
      <c r="C187" s="7" t="s">
        <v>41</v>
      </c>
      <c r="D187" s="7" t="s">
        <v>26</v>
      </c>
      <c r="E187">
        <v>768.3</v>
      </c>
    </row>
    <row r="188" spans="1:5" x14ac:dyDescent="0.25">
      <c r="A188" s="7" t="s">
        <v>30</v>
      </c>
      <c r="B188">
        <v>2013</v>
      </c>
      <c r="C188" s="7" t="s">
        <v>42</v>
      </c>
      <c r="D188" s="7" t="s">
        <v>48</v>
      </c>
      <c r="E188">
        <v>1544.6</v>
      </c>
    </row>
    <row r="189" spans="1:5" x14ac:dyDescent="0.25">
      <c r="A189" s="7" t="s">
        <v>30</v>
      </c>
      <c r="B189">
        <v>2013</v>
      </c>
      <c r="C189" s="7" t="s">
        <v>42</v>
      </c>
      <c r="D189" s="7" t="s">
        <v>49</v>
      </c>
      <c r="E189">
        <v>114.1</v>
      </c>
    </row>
    <row r="190" spans="1:5" x14ac:dyDescent="0.25">
      <c r="A190" s="7" t="s">
        <v>30</v>
      </c>
      <c r="B190">
        <v>2013</v>
      </c>
      <c r="C190" s="7" t="s">
        <v>42</v>
      </c>
      <c r="D190" s="7" t="s">
        <v>50</v>
      </c>
      <c r="E190">
        <v>336.8</v>
      </c>
    </row>
    <row r="191" spans="1:5" x14ac:dyDescent="0.25">
      <c r="A191" s="7" t="s">
        <v>30</v>
      </c>
      <c r="B191">
        <v>2013</v>
      </c>
      <c r="C191" s="7" t="s">
        <v>42</v>
      </c>
      <c r="D191" s="7" t="s">
        <v>19</v>
      </c>
      <c r="E191">
        <v>111.1</v>
      </c>
    </row>
    <row r="192" spans="1:5" x14ac:dyDescent="0.25">
      <c r="A192" s="7" t="s">
        <v>30</v>
      </c>
      <c r="B192">
        <v>2013</v>
      </c>
      <c r="C192" s="7" t="s">
        <v>42</v>
      </c>
      <c r="D192" s="7" t="s">
        <v>51</v>
      </c>
      <c r="E192">
        <v>110</v>
      </c>
    </row>
    <row r="193" spans="1:5" x14ac:dyDescent="0.25">
      <c r="A193" s="7" t="s">
        <v>30</v>
      </c>
      <c r="B193">
        <v>2013</v>
      </c>
      <c r="C193" s="7" t="s">
        <v>42</v>
      </c>
      <c r="D193" s="7" t="s">
        <v>26</v>
      </c>
      <c r="E193">
        <v>766.3</v>
      </c>
    </row>
    <row r="194" spans="1:5" x14ac:dyDescent="0.25">
      <c r="A194" s="7" t="s">
        <v>31</v>
      </c>
      <c r="B194">
        <v>2013</v>
      </c>
      <c r="C194" s="7" t="s">
        <v>42</v>
      </c>
      <c r="D194" s="7" t="s">
        <v>48</v>
      </c>
      <c r="E194">
        <v>1538.8</v>
      </c>
    </row>
    <row r="195" spans="1:5" x14ac:dyDescent="0.25">
      <c r="A195" s="7" t="s">
        <v>31</v>
      </c>
      <c r="B195">
        <v>2013</v>
      </c>
      <c r="C195" s="7" t="s">
        <v>42</v>
      </c>
      <c r="D195" s="7" t="s">
        <v>49</v>
      </c>
      <c r="E195">
        <v>113.1</v>
      </c>
    </row>
    <row r="196" spans="1:5" x14ac:dyDescent="0.25">
      <c r="A196" s="7" t="s">
        <v>31</v>
      </c>
      <c r="B196">
        <v>2013</v>
      </c>
      <c r="C196" s="7" t="s">
        <v>42</v>
      </c>
      <c r="D196" s="7" t="s">
        <v>50</v>
      </c>
      <c r="E196">
        <v>339.90000000000003</v>
      </c>
    </row>
    <row r="197" spans="1:5" x14ac:dyDescent="0.25">
      <c r="A197" s="7" t="s">
        <v>31</v>
      </c>
      <c r="B197">
        <v>2013</v>
      </c>
      <c r="C197" s="7" t="s">
        <v>42</v>
      </c>
      <c r="D197" s="7" t="s">
        <v>19</v>
      </c>
      <c r="E197">
        <v>111.1</v>
      </c>
    </row>
    <row r="198" spans="1:5" x14ac:dyDescent="0.25">
      <c r="A198" s="7" t="s">
        <v>31</v>
      </c>
      <c r="B198">
        <v>2013</v>
      </c>
      <c r="C198" s="7" t="s">
        <v>42</v>
      </c>
      <c r="D198" s="7" t="s">
        <v>51</v>
      </c>
      <c r="E198">
        <v>111.6</v>
      </c>
    </row>
    <row r="199" spans="1:5" x14ac:dyDescent="0.25">
      <c r="A199" s="7" t="s">
        <v>31</v>
      </c>
      <c r="B199">
        <v>2013</v>
      </c>
      <c r="C199" s="7" t="s">
        <v>42</v>
      </c>
      <c r="D199" s="7" t="s">
        <v>26</v>
      </c>
      <c r="E199">
        <v>767.50000000000011</v>
      </c>
    </row>
    <row r="200" spans="1:5" x14ac:dyDescent="0.25">
      <c r="A200" s="7" t="s">
        <v>28</v>
      </c>
      <c r="B200">
        <v>2013</v>
      </c>
      <c r="C200" s="7" t="s">
        <v>43</v>
      </c>
      <c r="D200" s="7" t="s">
        <v>48</v>
      </c>
      <c r="E200">
        <v>1509</v>
      </c>
    </row>
    <row r="201" spans="1:5" x14ac:dyDescent="0.25">
      <c r="A201" s="7" t="s">
        <v>28</v>
      </c>
      <c r="B201">
        <v>2013</v>
      </c>
      <c r="C201" s="7" t="s">
        <v>43</v>
      </c>
      <c r="D201" s="7" t="s">
        <v>49</v>
      </c>
      <c r="E201">
        <v>113.6</v>
      </c>
    </row>
    <row r="202" spans="1:5" x14ac:dyDescent="0.25">
      <c r="A202" s="7" t="s">
        <v>28</v>
      </c>
      <c r="B202">
        <v>2013</v>
      </c>
      <c r="C202" s="7" t="s">
        <v>43</v>
      </c>
      <c r="D202" s="7" t="s">
        <v>50</v>
      </c>
      <c r="E202">
        <v>345.3</v>
      </c>
    </row>
    <row r="203" spans="1:5" x14ac:dyDescent="0.25">
      <c r="A203" s="7" t="s">
        <v>28</v>
      </c>
      <c r="B203">
        <v>2013</v>
      </c>
      <c r="C203" s="7" t="s">
        <v>43</v>
      </c>
      <c r="D203" s="7" t="s">
        <v>19</v>
      </c>
      <c r="E203">
        <v>111.2</v>
      </c>
    </row>
    <row r="204" spans="1:5" x14ac:dyDescent="0.25">
      <c r="A204" s="7" t="s">
        <v>28</v>
      </c>
      <c r="B204">
        <v>2013</v>
      </c>
      <c r="C204" s="7" t="s">
        <v>43</v>
      </c>
      <c r="D204" s="7" t="s">
        <v>51</v>
      </c>
      <c r="E204">
        <v>112.8</v>
      </c>
    </row>
    <row r="205" spans="1:5" x14ac:dyDescent="0.25">
      <c r="A205" s="7" t="s">
        <v>28</v>
      </c>
      <c r="B205">
        <v>2013</v>
      </c>
      <c r="C205" s="7" t="s">
        <v>43</v>
      </c>
      <c r="D205" s="7" t="s">
        <v>26</v>
      </c>
      <c r="E205">
        <v>771.1</v>
      </c>
    </row>
    <row r="206" spans="1:5" x14ac:dyDescent="0.25">
      <c r="A206" s="7" t="s">
        <v>30</v>
      </c>
      <c r="B206">
        <v>2013</v>
      </c>
      <c r="C206" s="7" t="s">
        <v>43</v>
      </c>
      <c r="D206" s="7" t="s">
        <v>48</v>
      </c>
      <c r="E206">
        <v>1504.4</v>
      </c>
    </row>
    <row r="207" spans="1:5" x14ac:dyDescent="0.25">
      <c r="A207" s="7" t="s">
        <v>30</v>
      </c>
      <c r="B207">
        <v>2013</v>
      </c>
      <c r="C207" s="7" t="s">
        <v>43</v>
      </c>
      <c r="D207" s="7" t="s">
        <v>49</v>
      </c>
      <c r="E207">
        <v>115</v>
      </c>
    </row>
    <row r="208" spans="1:5" x14ac:dyDescent="0.25">
      <c r="A208" s="7" t="s">
        <v>30</v>
      </c>
      <c r="B208">
        <v>2013</v>
      </c>
      <c r="C208" s="7" t="s">
        <v>43</v>
      </c>
      <c r="D208" s="7" t="s">
        <v>50</v>
      </c>
      <c r="E208">
        <v>338.8</v>
      </c>
    </row>
    <row r="209" spans="1:5" x14ac:dyDescent="0.25">
      <c r="A209" s="7" t="s">
        <v>30</v>
      </c>
      <c r="B209">
        <v>2013</v>
      </c>
      <c r="C209" s="7" t="s">
        <v>43</v>
      </c>
      <c r="D209" s="7" t="s">
        <v>19</v>
      </c>
      <c r="E209">
        <v>110.7</v>
      </c>
    </row>
    <row r="210" spans="1:5" x14ac:dyDescent="0.25">
      <c r="A210" s="7" t="s">
        <v>30</v>
      </c>
      <c r="B210">
        <v>2013</v>
      </c>
      <c r="C210" s="7" t="s">
        <v>43</v>
      </c>
      <c r="D210" s="7" t="s">
        <v>51</v>
      </c>
      <c r="E210">
        <v>110.4</v>
      </c>
    </row>
    <row r="211" spans="1:5" x14ac:dyDescent="0.25">
      <c r="A211" s="7" t="s">
        <v>30</v>
      </c>
      <c r="B211">
        <v>2013</v>
      </c>
      <c r="C211" s="7" t="s">
        <v>43</v>
      </c>
      <c r="D211" s="7" t="s">
        <v>26</v>
      </c>
      <c r="E211">
        <v>767.8</v>
      </c>
    </row>
    <row r="212" spans="1:5" x14ac:dyDescent="0.25">
      <c r="A212" s="7" t="s">
        <v>31</v>
      </c>
      <c r="B212">
        <v>2013</v>
      </c>
      <c r="C212" s="7" t="s">
        <v>43</v>
      </c>
      <c r="D212" s="7" t="s">
        <v>48</v>
      </c>
      <c r="E212">
        <v>1507.3000000000002</v>
      </c>
    </row>
    <row r="213" spans="1:5" x14ac:dyDescent="0.25">
      <c r="A213" s="7" t="s">
        <v>31</v>
      </c>
      <c r="B213">
        <v>2013</v>
      </c>
      <c r="C213" s="7" t="s">
        <v>43</v>
      </c>
      <c r="D213" s="7" t="s">
        <v>49</v>
      </c>
      <c r="E213">
        <v>114</v>
      </c>
    </row>
    <row r="214" spans="1:5" x14ac:dyDescent="0.25">
      <c r="A214" s="7" t="s">
        <v>31</v>
      </c>
      <c r="B214">
        <v>2013</v>
      </c>
      <c r="C214" s="7" t="s">
        <v>43</v>
      </c>
      <c r="D214" s="7" t="s">
        <v>50</v>
      </c>
      <c r="E214">
        <v>342.7</v>
      </c>
    </row>
    <row r="215" spans="1:5" x14ac:dyDescent="0.25">
      <c r="A215" s="7" t="s">
        <v>31</v>
      </c>
      <c r="B215">
        <v>2013</v>
      </c>
      <c r="C215" s="7" t="s">
        <v>43</v>
      </c>
      <c r="D215" s="7" t="s">
        <v>19</v>
      </c>
      <c r="E215">
        <v>110.7</v>
      </c>
    </row>
    <row r="216" spans="1:5" x14ac:dyDescent="0.25">
      <c r="A216" s="7" t="s">
        <v>31</v>
      </c>
      <c r="B216">
        <v>2013</v>
      </c>
      <c r="C216" s="7" t="s">
        <v>43</v>
      </c>
      <c r="D216" s="7" t="s">
        <v>51</v>
      </c>
      <c r="E216">
        <v>111.9</v>
      </c>
    </row>
    <row r="217" spans="1:5" x14ac:dyDescent="0.25">
      <c r="A217" s="7" t="s">
        <v>31</v>
      </c>
      <c r="B217">
        <v>2013</v>
      </c>
      <c r="C217" s="7" t="s">
        <v>43</v>
      </c>
      <c r="D217" s="7" t="s">
        <v>26</v>
      </c>
      <c r="E217">
        <v>769.6</v>
      </c>
    </row>
    <row r="218" spans="1:5" x14ac:dyDescent="0.25">
      <c r="A218" s="7" t="s">
        <v>28</v>
      </c>
      <c r="B218">
        <v>2014</v>
      </c>
      <c r="C218" s="7" t="s">
        <v>29</v>
      </c>
      <c r="D218" s="7" t="s">
        <v>48</v>
      </c>
      <c r="E218">
        <v>1486.6000000000001</v>
      </c>
    </row>
    <row r="219" spans="1:5" x14ac:dyDescent="0.25">
      <c r="A219" s="7" t="s">
        <v>28</v>
      </c>
      <c r="B219">
        <v>2014</v>
      </c>
      <c r="C219" s="7" t="s">
        <v>29</v>
      </c>
      <c r="D219" s="7" t="s">
        <v>49</v>
      </c>
      <c r="E219">
        <v>114</v>
      </c>
    </row>
    <row r="220" spans="1:5" x14ac:dyDescent="0.25">
      <c r="A220" s="7" t="s">
        <v>28</v>
      </c>
      <c r="B220">
        <v>2014</v>
      </c>
      <c r="C220" s="7" t="s">
        <v>29</v>
      </c>
      <c r="D220" s="7" t="s">
        <v>50</v>
      </c>
      <c r="E220">
        <v>347.2</v>
      </c>
    </row>
    <row r="221" spans="1:5" x14ac:dyDescent="0.25">
      <c r="A221" s="7" t="s">
        <v>28</v>
      </c>
      <c r="B221">
        <v>2014</v>
      </c>
      <c r="C221" s="7" t="s">
        <v>29</v>
      </c>
      <c r="D221" s="7" t="s">
        <v>19</v>
      </c>
      <c r="E221">
        <v>112.1</v>
      </c>
    </row>
    <row r="222" spans="1:5" x14ac:dyDescent="0.25">
      <c r="A222" s="7" t="s">
        <v>28</v>
      </c>
      <c r="B222">
        <v>2014</v>
      </c>
      <c r="C222" s="7" t="s">
        <v>29</v>
      </c>
      <c r="D222" s="7" t="s">
        <v>51</v>
      </c>
      <c r="E222">
        <v>113</v>
      </c>
    </row>
    <row r="223" spans="1:5" x14ac:dyDescent="0.25">
      <c r="A223" s="7" t="s">
        <v>28</v>
      </c>
      <c r="B223">
        <v>2014</v>
      </c>
      <c r="C223" s="7" t="s">
        <v>29</v>
      </c>
      <c r="D223" s="7" t="s">
        <v>26</v>
      </c>
      <c r="E223">
        <v>773.99999999999989</v>
      </c>
    </row>
    <row r="224" spans="1:5" x14ac:dyDescent="0.25">
      <c r="A224" s="7" t="s">
        <v>30</v>
      </c>
      <c r="B224">
        <v>2014</v>
      </c>
      <c r="C224" s="7" t="s">
        <v>29</v>
      </c>
      <c r="D224" s="7" t="s">
        <v>48</v>
      </c>
      <c r="E224">
        <v>1484.3</v>
      </c>
    </row>
    <row r="225" spans="1:5" x14ac:dyDescent="0.25">
      <c r="A225" s="7" t="s">
        <v>30</v>
      </c>
      <c r="B225">
        <v>2014</v>
      </c>
      <c r="C225" s="7" t="s">
        <v>29</v>
      </c>
      <c r="D225" s="7" t="s">
        <v>49</v>
      </c>
      <c r="E225">
        <v>115.7</v>
      </c>
    </row>
    <row r="226" spans="1:5" x14ac:dyDescent="0.25">
      <c r="A226" s="7" t="s">
        <v>30</v>
      </c>
      <c r="B226">
        <v>2014</v>
      </c>
      <c r="C226" s="7" t="s">
        <v>29</v>
      </c>
      <c r="D226" s="7" t="s">
        <v>50</v>
      </c>
      <c r="E226">
        <v>340.4</v>
      </c>
    </row>
    <row r="227" spans="1:5" x14ac:dyDescent="0.25">
      <c r="A227" s="7" t="s">
        <v>30</v>
      </c>
      <c r="B227">
        <v>2014</v>
      </c>
      <c r="C227" s="7" t="s">
        <v>29</v>
      </c>
      <c r="D227" s="7" t="s">
        <v>19</v>
      </c>
      <c r="E227">
        <v>111.6</v>
      </c>
    </row>
    <row r="228" spans="1:5" x14ac:dyDescent="0.25">
      <c r="A228" s="7" t="s">
        <v>30</v>
      </c>
      <c r="B228">
        <v>2014</v>
      </c>
      <c r="C228" s="7" t="s">
        <v>29</v>
      </c>
      <c r="D228" s="7" t="s">
        <v>51</v>
      </c>
      <c r="E228">
        <v>111</v>
      </c>
    </row>
    <row r="229" spans="1:5" x14ac:dyDescent="0.25">
      <c r="A229" s="7" t="s">
        <v>30</v>
      </c>
      <c r="B229">
        <v>2014</v>
      </c>
      <c r="C229" s="7" t="s">
        <v>29</v>
      </c>
      <c r="D229" s="7" t="s">
        <v>26</v>
      </c>
      <c r="E229">
        <v>772.2</v>
      </c>
    </row>
    <row r="230" spans="1:5" x14ac:dyDescent="0.25">
      <c r="A230" s="7" t="s">
        <v>31</v>
      </c>
      <c r="B230">
        <v>2014</v>
      </c>
      <c r="C230" s="7" t="s">
        <v>29</v>
      </c>
      <c r="D230" s="7" t="s">
        <v>48</v>
      </c>
      <c r="E230">
        <v>1485.7999999999997</v>
      </c>
    </row>
    <row r="231" spans="1:5" x14ac:dyDescent="0.25">
      <c r="A231" s="7" t="s">
        <v>31</v>
      </c>
      <c r="B231">
        <v>2014</v>
      </c>
      <c r="C231" s="7" t="s">
        <v>29</v>
      </c>
      <c r="D231" s="7" t="s">
        <v>49</v>
      </c>
      <c r="E231">
        <v>114.5</v>
      </c>
    </row>
    <row r="232" spans="1:5" x14ac:dyDescent="0.25">
      <c r="A232" s="7" t="s">
        <v>31</v>
      </c>
      <c r="B232">
        <v>2014</v>
      </c>
      <c r="C232" s="7" t="s">
        <v>29</v>
      </c>
      <c r="D232" s="7" t="s">
        <v>50</v>
      </c>
      <c r="E232">
        <v>344.4</v>
      </c>
    </row>
    <row r="233" spans="1:5" x14ac:dyDescent="0.25">
      <c r="A233" s="7" t="s">
        <v>31</v>
      </c>
      <c r="B233">
        <v>2014</v>
      </c>
      <c r="C233" s="7" t="s">
        <v>29</v>
      </c>
      <c r="D233" s="7" t="s">
        <v>19</v>
      </c>
      <c r="E233">
        <v>111.6</v>
      </c>
    </row>
    <row r="234" spans="1:5" x14ac:dyDescent="0.25">
      <c r="A234" s="7" t="s">
        <v>31</v>
      </c>
      <c r="B234">
        <v>2014</v>
      </c>
      <c r="C234" s="7" t="s">
        <v>29</v>
      </c>
      <c r="D234" s="7" t="s">
        <v>51</v>
      </c>
      <c r="E234">
        <v>112.2</v>
      </c>
    </row>
    <row r="235" spans="1:5" x14ac:dyDescent="0.25">
      <c r="A235" s="7" t="s">
        <v>31</v>
      </c>
      <c r="B235">
        <v>2014</v>
      </c>
      <c r="C235" s="7" t="s">
        <v>29</v>
      </c>
      <c r="D235" s="7" t="s">
        <v>26</v>
      </c>
      <c r="E235">
        <v>773.40000000000009</v>
      </c>
    </row>
    <row r="236" spans="1:5" x14ac:dyDescent="0.25">
      <c r="A236" s="7" t="s">
        <v>28</v>
      </c>
      <c r="B236">
        <v>2014</v>
      </c>
      <c r="C236" s="7" t="s">
        <v>32</v>
      </c>
      <c r="D236" s="7" t="s">
        <v>48</v>
      </c>
      <c r="E236">
        <v>1482.2</v>
      </c>
    </row>
    <row r="237" spans="1:5" x14ac:dyDescent="0.25">
      <c r="A237" s="7" t="s">
        <v>28</v>
      </c>
      <c r="B237">
        <v>2014</v>
      </c>
      <c r="C237" s="7" t="s">
        <v>32</v>
      </c>
      <c r="D237" s="7" t="s">
        <v>49</v>
      </c>
      <c r="E237">
        <v>114.2</v>
      </c>
    </row>
    <row r="238" spans="1:5" x14ac:dyDescent="0.25">
      <c r="A238" s="7" t="s">
        <v>28</v>
      </c>
      <c r="B238">
        <v>2014</v>
      </c>
      <c r="C238" s="7" t="s">
        <v>32</v>
      </c>
      <c r="D238" s="7" t="s">
        <v>50</v>
      </c>
      <c r="E238">
        <v>348.3</v>
      </c>
    </row>
    <row r="239" spans="1:5" x14ac:dyDescent="0.25">
      <c r="A239" s="7" t="s">
        <v>28</v>
      </c>
      <c r="B239">
        <v>2014</v>
      </c>
      <c r="C239" s="7" t="s">
        <v>32</v>
      </c>
      <c r="D239" s="7" t="s">
        <v>19</v>
      </c>
      <c r="E239">
        <v>112.9</v>
      </c>
    </row>
    <row r="240" spans="1:5" x14ac:dyDescent="0.25">
      <c r="A240" s="7" t="s">
        <v>28</v>
      </c>
      <c r="B240">
        <v>2014</v>
      </c>
      <c r="C240" s="7" t="s">
        <v>32</v>
      </c>
      <c r="D240" s="7" t="s">
        <v>51</v>
      </c>
      <c r="E240">
        <v>113.2</v>
      </c>
    </row>
    <row r="241" spans="1:5" x14ac:dyDescent="0.25">
      <c r="A241" s="7" t="s">
        <v>28</v>
      </c>
      <c r="B241">
        <v>2014</v>
      </c>
      <c r="C241" s="7" t="s">
        <v>32</v>
      </c>
      <c r="D241" s="7" t="s">
        <v>26</v>
      </c>
      <c r="E241">
        <v>776.1</v>
      </c>
    </row>
    <row r="242" spans="1:5" x14ac:dyDescent="0.25">
      <c r="A242" s="7" t="s">
        <v>30</v>
      </c>
      <c r="B242">
        <v>2014</v>
      </c>
      <c r="C242" s="7" t="s">
        <v>32</v>
      </c>
      <c r="D242" s="7" t="s">
        <v>48</v>
      </c>
      <c r="E242">
        <v>1476</v>
      </c>
    </row>
    <row r="243" spans="1:5" x14ac:dyDescent="0.25">
      <c r="A243" s="7" t="s">
        <v>30</v>
      </c>
      <c r="B243">
        <v>2014</v>
      </c>
      <c r="C243" s="7" t="s">
        <v>32</v>
      </c>
      <c r="D243" s="7" t="s">
        <v>49</v>
      </c>
      <c r="E243">
        <v>116.2</v>
      </c>
    </row>
    <row r="244" spans="1:5" x14ac:dyDescent="0.25">
      <c r="A244" s="7" t="s">
        <v>30</v>
      </c>
      <c r="B244">
        <v>2014</v>
      </c>
      <c r="C244" s="7" t="s">
        <v>32</v>
      </c>
      <c r="D244" s="7" t="s">
        <v>50</v>
      </c>
      <c r="E244">
        <v>341.7</v>
      </c>
    </row>
    <row r="245" spans="1:5" x14ac:dyDescent="0.25">
      <c r="A245" s="7" t="s">
        <v>30</v>
      </c>
      <c r="B245">
        <v>2014</v>
      </c>
      <c r="C245" s="7" t="s">
        <v>32</v>
      </c>
      <c r="D245" s="7" t="s">
        <v>19</v>
      </c>
      <c r="E245">
        <v>112.5</v>
      </c>
    </row>
    <row r="246" spans="1:5" x14ac:dyDescent="0.25">
      <c r="A246" s="7" t="s">
        <v>30</v>
      </c>
      <c r="B246">
        <v>2014</v>
      </c>
      <c r="C246" s="7" t="s">
        <v>32</v>
      </c>
      <c r="D246" s="7" t="s">
        <v>51</v>
      </c>
      <c r="E246">
        <v>111.1</v>
      </c>
    </row>
    <row r="247" spans="1:5" x14ac:dyDescent="0.25">
      <c r="A247" s="7" t="s">
        <v>30</v>
      </c>
      <c r="B247">
        <v>2014</v>
      </c>
      <c r="C247" s="7" t="s">
        <v>32</v>
      </c>
      <c r="D247" s="7" t="s">
        <v>26</v>
      </c>
      <c r="E247">
        <v>775.90000000000009</v>
      </c>
    </row>
    <row r="248" spans="1:5" x14ac:dyDescent="0.25">
      <c r="A248" s="7" t="s">
        <v>31</v>
      </c>
      <c r="B248">
        <v>2014</v>
      </c>
      <c r="C248" s="7" t="s">
        <v>32</v>
      </c>
      <c r="D248" s="7" t="s">
        <v>48</v>
      </c>
      <c r="E248">
        <v>1480.1</v>
      </c>
    </row>
    <row r="249" spans="1:5" x14ac:dyDescent="0.25">
      <c r="A249" s="7" t="s">
        <v>31</v>
      </c>
      <c r="B249">
        <v>2014</v>
      </c>
      <c r="C249" s="7" t="s">
        <v>32</v>
      </c>
      <c r="D249" s="7" t="s">
        <v>49</v>
      </c>
      <c r="E249">
        <v>114.7</v>
      </c>
    </row>
    <row r="250" spans="1:5" x14ac:dyDescent="0.25">
      <c r="A250" s="7" t="s">
        <v>31</v>
      </c>
      <c r="B250">
        <v>2014</v>
      </c>
      <c r="C250" s="7" t="s">
        <v>32</v>
      </c>
      <c r="D250" s="7" t="s">
        <v>50</v>
      </c>
      <c r="E250">
        <v>345.6</v>
      </c>
    </row>
    <row r="251" spans="1:5" x14ac:dyDescent="0.25">
      <c r="A251" s="7" t="s">
        <v>31</v>
      </c>
      <c r="B251">
        <v>2014</v>
      </c>
      <c r="C251" s="7" t="s">
        <v>32</v>
      </c>
      <c r="D251" s="7" t="s">
        <v>19</v>
      </c>
      <c r="E251">
        <v>112.5</v>
      </c>
    </row>
    <row r="252" spans="1:5" x14ac:dyDescent="0.25">
      <c r="A252" s="7" t="s">
        <v>31</v>
      </c>
      <c r="B252">
        <v>2014</v>
      </c>
      <c r="C252" s="7" t="s">
        <v>32</v>
      </c>
      <c r="D252" s="7" t="s">
        <v>51</v>
      </c>
      <c r="E252">
        <v>112.4</v>
      </c>
    </row>
    <row r="253" spans="1:5" x14ac:dyDescent="0.25">
      <c r="A253" s="7" t="s">
        <v>31</v>
      </c>
      <c r="B253">
        <v>2014</v>
      </c>
      <c r="C253" s="7" t="s">
        <v>32</v>
      </c>
      <c r="D253" s="7" t="s">
        <v>26</v>
      </c>
      <c r="E253">
        <v>776.1</v>
      </c>
    </row>
    <row r="254" spans="1:5" x14ac:dyDescent="0.25">
      <c r="A254" s="7" t="s">
        <v>28</v>
      </c>
      <c r="B254">
        <v>2014</v>
      </c>
      <c r="C254" s="7" t="s">
        <v>33</v>
      </c>
      <c r="D254" s="7" t="s">
        <v>48</v>
      </c>
      <c r="E254">
        <v>1491.4</v>
      </c>
    </row>
    <row r="255" spans="1:5" x14ac:dyDescent="0.25">
      <c r="A255" s="7" t="s">
        <v>28</v>
      </c>
      <c r="B255">
        <v>2014</v>
      </c>
      <c r="C255" s="7" t="s">
        <v>33</v>
      </c>
      <c r="D255" s="7" t="s">
        <v>49</v>
      </c>
      <c r="E255">
        <v>114.6</v>
      </c>
    </row>
    <row r="256" spans="1:5" x14ac:dyDescent="0.25">
      <c r="A256" s="7" t="s">
        <v>28</v>
      </c>
      <c r="B256">
        <v>2014</v>
      </c>
      <c r="C256" s="7" t="s">
        <v>33</v>
      </c>
      <c r="D256" s="7" t="s">
        <v>50</v>
      </c>
      <c r="E256">
        <v>349.6</v>
      </c>
    </row>
    <row r="257" spans="1:5" x14ac:dyDescent="0.25">
      <c r="A257" s="7" t="s">
        <v>28</v>
      </c>
      <c r="B257">
        <v>2014</v>
      </c>
      <c r="C257" s="7" t="s">
        <v>33</v>
      </c>
      <c r="D257" s="7" t="s">
        <v>19</v>
      </c>
      <c r="E257">
        <v>113.6</v>
      </c>
    </row>
    <row r="258" spans="1:5" x14ac:dyDescent="0.25">
      <c r="A258" s="7" t="s">
        <v>28</v>
      </c>
      <c r="B258">
        <v>2014</v>
      </c>
      <c r="C258" s="7" t="s">
        <v>33</v>
      </c>
      <c r="D258" s="7" t="s">
        <v>51</v>
      </c>
      <c r="E258">
        <v>113.4</v>
      </c>
    </row>
    <row r="259" spans="1:5" x14ac:dyDescent="0.25">
      <c r="A259" s="7" t="s">
        <v>28</v>
      </c>
      <c r="B259">
        <v>2014</v>
      </c>
      <c r="C259" s="7" t="s">
        <v>33</v>
      </c>
      <c r="D259" s="7" t="s">
        <v>26</v>
      </c>
      <c r="E259">
        <v>778.8</v>
      </c>
    </row>
    <row r="260" spans="1:5" x14ac:dyDescent="0.25">
      <c r="A260" s="7" t="s">
        <v>30</v>
      </c>
      <c r="B260">
        <v>2014</v>
      </c>
      <c r="C260" s="7" t="s">
        <v>33</v>
      </c>
      <c r="D260" s="7" t="s">
        <v>48</v>
      </c>
      <c r="E260">
        <v>1483</v>
      </c>
    </row>
    <row r="261" spans="1:5" x14ac:dyDescent="0.25">
      <c r="A261" s="7" t="s">
        <v>30</v>
      </c>
      <c r="B261">
        <v>2014</v>
      </c>
      <c r="C261" s="7" t="s">
        <v>33</v>
      </c>
      <c r="D261" s="7" t="s">
        <v>49</v>
      </c>
      <c r="E261">
        <v>116.7</v>
      </c>
    </row>
    <row r="262" spans="1:5" x14ac:dyDescent="0.25">
      <c r="A262" s="7" t="s">
        <v>30</v>
      </c>
      <c r="B262">
        <v>2014</v>
      </c>
      <c r="C262" s="7" t="s">
        <v>33</v>
      </c>
      <c r="D262" s="7" t="s">
        <v>50</v>
      </c>
      <c r="E262">
        <v>343.09999999999997</v>
      </c>
    </row>
    <row r="263" spans="1:5" x14ac:dyDescent="0.25">
      <c r="A263" s="7" t="s">
        <v>30</v>
      </c>
      <c r="B263">
        <v>2014</v>
      </c>
      <c r="C263" s="7" t="s">
        <v>33</v>
      </c>
      <c r="D263" s="7" t="s">
        <v>19</v>
      </c>
      <c r="E263">
        <v>113.2</v>
      </c>
    </row>
    <row r="264" spans="1:5" x14ac:dyDescent="0.25">
      <c r="A264" s="7" t="s">
        <v>30</v>
      </c>
      <c r="B264">
        <v>2014</v>
      </c>
      <c r="C264" s="7" t="s">
        <v>33</v>
      </c>
      <c r="D264" s="7" t="s">
        <v>51</v>
      </c>
      <c r="E264">
        <v>110.9</v>
      </c>
    </row>
    <row r="265" spans="1:5" x14ac:dyDescent="0.25">
      <c r="A265" s="7" t="s">
        <v>30</v>
      </c>
      <c r="B265">
        <v>2014</v>
      </c>
      <c r="C265" s="7" t="s">
        <v>33</v>
      </c>
      <c r="D265" s="7" t="s">
        <v>26</v>
      </c>
      <c r="E265">
        <v>778.69999999999993</v>
      </c>
    </row>
    <row r="266" spans="1:5" x14ac:dyDescent="0.25">
      <c r="A266" s="7" t="s">
        <v>31</v>
      </c>
      <c r="B266">
        <v>2014</v>
      </c>
      <c r="C266" s="7" t="s">
        <v>44</v>
      </c>
      <c r="D266" s="7" t="s">
        <v>48</v>
      </c>
      <c r="E266">
        <v>1488.2999999999997</v>
      </c>
    </row>
    <row r="267" spans="1:5" x14ac:dyDescent="0.25">
      <c r="A267" s="7" t="s">
        <v>31</v>
      </c>
      <c r="B267">
        <v>2014</v>
      </c>
      <c r="C267" s="7" t="s">
        <v>44</v>
      </c>
      <c r="D267" s="7" t="s">
        <v>49</v>
      </c>
      <c r="E267">
        <v>115.2</v>
      </c>
    </row>
    <row r="268" spans="1:5" x14ac:dyDescent="0.25">
      <c r="A268" s="7" t="s">
        <v>31</v>
      </c>
      <c r="B268">
        <v>2014</v>
      </c>
      <c r="C268" s="7" t="s">
        <v>44</v>
      </c>
      <c r="D268" s="7" t="s">
        <v>50</v>
      </c>
      <c r="E268">
        <v>346.9</v>
      </c>
    </row>
    <row r="269" spans="1:5" x14ac:dyDescent="0.25">
      <c r="A269" s="7" t="s">
        <v>31</v>
      </c>
      <c r="B269">
        <v>2014</v>
      </c>
      <c r="C269" s="7" t="s">
        <v>44</v>
      </c>
      <c r="D269" s="7" t="s">
        <v>19</v>
      </c>
      <c r="E269">
        <v>113.2</v>
      </c>
    </row>
    <row r="270" spans="1:5" x14ac:dyDescent="0.25">
      <c r="A270" s="7" t="s">
        <v>31</v>
      </c>
      <c r="B270">
        <v>2014</v>
      </c>
      <c r="C270" s="7" t="s">
        <v>44</v>
      </c>
      <c r="D270" s="7" t="s">
        <v>51</v>
      </c>
      <c r="E270">
        <v>112.5</v>
      </c>
    </row>
    <row r="271" spans="1:5" x14ac:dyDescent="0.25">
      <c r="A271" s="7" t="s">
        <v>31</v>
      </c>
      <c r="B271">
        <v>2014</v>
      </c>
      <c r="C271" s="7" t="s">
        <v>44</v>
      </c>
      <c r="D271" s="7" t="s">
        <v>26</v>
      </c>
      <c r="E271">
        <v>778.69999999999993</v>
      </c>
    </row>
    <row r="272" spans="1:5" x14ac:dyDescent="0.25">
      <c r="A272" s="7" t="s">
        <v>28</v>
      </c>
      <c r="B272">
        <v>2014</v>
      </c>
      <c r="C272" s="7" t="s">
        <v>34</v>
      </c>
      <c r="D272" s="7" t="s">
        <v>48</v>
      </c>
      <c r="E272">
        <v>1504.1000000000001</v>
      </c>
    </row>
    <row r="273" spans="1:5" x14ac:dyDescent="0.25">
      <c r="A273" s="7" t="s">
        <v>28</v>
      </c>
      <c r="B273">
        <v>2014</v>
      </c>
      <c r="C273" s="7" t="s">
        <v>34</v>
      </c>
      <c r="D273" s="7" t="s">
        <v>49</v>
      </c>
      <c r="E273">
        <v>115.4</v>
      </c>
    </row>
    <row r="274" spans="1:5" x14ac:dyDescent="0.25">
      <c r="A274" s="7" t="s">
        <v>28</v>
      </c>
      <c r="B274">
        <v>2014</v>
      </c>
      <c r="C274" s="7" t="s">
        <v>34</v>
      </c>
      <c r="D274" s="7" t="s">
        <v>50</v>
      </c>
      <c r="E274">
        <v>352</v>
      </c>
    </row>
    <row r="275" spans="1:5" x14ac:dyDescent="0.25">
      <c r="A275" s="7" t="s">
        <v>28</v>
      </c>
      <c r="B275">
        <v>2014</v>
      </c>
      <c r="C275" s="7" t="s">
        <v>34</v>
      </c>
      <c r="D275" s="7" t="s">
        <v>19</v>
      </c>
      <c r="E275">
        <v>114.1</v>
      </c>
    </row>
    <row r="276" spans="1:5" x14ac:dyDescent="0.25">
      <c r="A276" s="7" t="s">
        <v>28</v>
      </c>
      <c r="B276">
        <v>2014</v>
      </c>
      <c r="C276" s="7" t="s">
        <v>34</v>
      </c>
      <c r="D276" s="7" t="s">
        <v>51</v>
      </c>
      <c r="E276">
        <v>113.4</v>
      </c>
    </row>
    <row r="277" spans="1:5" x14ac:dyDescent="0.25">
      <c r="A277" s="7" t="s">
        <v>28</v>
      </c>
      <c r="B277">
        <v>2014</v>
      </c>
      <c r="C277" s="7" t="s">
        <v>34</v>
      </c>
      <c r="D277" s="7" t="s">
        <v>26</v>
      </c>
      <c r="E277">
        <v>780.6</v>
      </c>
    </row>
    <row r="278" spans="1:5" x14ac:dyDescent="0.25">
      <c r="A278" s="7" t="s">
        <v>30</v>
      </c>
      <c r="B278">
        <v>2014</v>
      </c>
      <c r="C278" s="7" t="s">
        <v>34</v>
      </c>
      <c r="D278" s="7" t="s">
        <v>48</v>
      </c>
      <c r="E278">
        <v>1504.0000000000002</v>
      </c>
    </row>
    <row r="279" spans="1:5" x14ac:dyDescent="0.25">
      <c r="A279" s="7" t="s">
        <v>30</v>
      </c>
      <c r="B279">
        <v>2014</v>
      </c>
      <c r="C279" s="7" t="s">
        <v>34</v>
      </c>
      <c r="D279" s="7" t="s">
        <v>49</v>
      </c>
      <c r="E279">
        <v>117.6</v>
      </c>
    </row>
    <row r="280" spans="1:5" x14ac:dyDescent="0.25">
      <c r="A280" s="7" t="s">
        <v>30</v>
      </c>
      <c r="B280">
        <v>2014</v>
      </c>
      <c r="C280" s="7" t="s">
        <v>34</v>
      </c>
      <c r="D280" s="7" t="s">
        <v>50</v>
      </c>
      <c r="E280">
        <v>344.5</v>
      </c>
    </row>
    <row r="281" spans="1:5" x14ac:dyDescent="0.25">
      <c r="A281" s="7" t="s">
        <v>30</v>
      </c>
      <c r="B281">
        <v>2014</v>
      </c>
      <c r="C281" s="7" t="s">
        <v>34</v>
      </c>
      <c r="D281" s="7" t="s">
        <v>19</v>
      </c>
      <c r="E281">
        <v>113.9</v>
      </c>
    </row>
    <row r="282" spans="1:5" x14ac:dyDescent="0.25">
      <c r="A282" s="7" t="s">
        <v>30</v>
      </c>
      <c r="B282">
        <v>2014</v>
      </c>
      <c r="C282" s="7" t="s">
        <v>34</v>
      </c>
      <c r="D282" s="7" t="s">
        <v>51</v>
      </c>
      <c r="E282">
        <v>110.9</v>
      </c>
    </row>
    <row r="283" spans="1:5" x14ac:dyDescent="0.25">
      <c r="A283" s="7" t="s">
        <v>30</v>
      </c>
      <c r="B283">
        <v>2014</v>
      </c>
      <c r="C283" s="7" t="s">
        <v>34</v>
      </c>
      <c r="D283" s="7" t="s">
        <v>26</v>
      </c>
      <c r="E283">
        <v>779.8</v>
      </c>
    </row>
    <row r="284" spans="1:5" x14ac:dyDescent="0.25">
      <c r="A284" s="7" t="s">
        <v>31</v>
      </c>
      <c r="B284">
        <v>2014</v>
      </c>
      <c r="C284" s="7" t="s">
        <v>34</v>
      </c>
      <c r="D284" s="7" t="s">
        <v>48</v>
      </c>
      <c r="E284">
        <v>1504.1</v>
      </c>
    </row>
    <row r="285" spans="1:5" x14ac:dyDescent="0.25">
      <c r="A285" s="7" t="s">
        <v>31</v>
      </c>
      <c r="B285">
        <v>2014</v>
      </c>
      <c r="C285" s="7" t="s">
        <v>34</v>
      </c>
      <c r="D285" s="7" t="s">
        <v>49</v>
      </c>
      <c r="E285">
        <v>116</v>
      </c>
    </row>
    <row r="286" spans="1:5" x14ac:dyDescent="0.25">
      <c r="A286" s="7" t="s">
        <v>31</v>
      </c>
      <c r="B286">
        <v>2014</v>
      </c>
      <c r="C286" s="7" t="s">
        <v>34</v>
      </c>
      <c r="D286" s="7" t="s">
        <v>50</v>
      </c>
      <c r="E286">
        <v>349</v>
      </c>
    </row>
    <row r="287" spans="1:5" x14ac:dyDescent="0.25">
      <c r="A287" s="7" t="s">
        <v>31</v>
      </c>
      <c r="B287">
        <v>2014</v>
      </c>
      <c r="C287" s="7" t="s">
        <v>34</v>
      </c>
      <c r="D287" s="7" t="s">
        <v>19</v>
      </c>
      <c r="E287">
        <v>113.9</v>
      </c>
    </row>
    <row r="288" spans="1:5" x14ac:dyDescent="0.25">
      <c r="A288" s="7" t="s">
        <v>31</v>
      </c>
      <c r="B288">
        <v>2014</v>
      </c>
      <c r="C288" s="7" t="s">
        <v>34</v>
      </c>
      <c r="D288" s="7" t="s">
        <v>51</v>
      </c>
      <c r="E288">
        <v>112.5</v>
      </c>
    </row>
    <row r="289" spans="1:5" x14ac:dyDescent="0.25">
      <c r="A289" s="7" t="s">
        <v>31</v>
      </c>
      <c r="B289">
        <v>2014</v>
      </c>
      <c r="C289" s="7" t="s">
        <v>34</v>
      </c>
      <c r="D289" s="7" t="s">
        <v>26</v>
      </c>
      <c r="E289">
        <v>780.40000000000009</v>
      </c>
    </row>
    <row r="290" spans="1:5" x14ac:dyDescent="0.25">
      <c r="A290" s="7" t="s">
        <v>28</v>
      </c>
      <c r="B290">
        <v>2014</v>
      </c>
      <c r="C290" s="7" t="s">
        <v>35</v>
      </c>
      <c r="D290" s="7" t="s">
        <v>48</v>
      </c>
      <c r="E290">
        <v>1513.8999999999999</v>
      </c>
    </row>
    <row r="291" spans="1:5" x14ac:dyDescent="0.25">
      <c r="A291" s="7" t="s">
        <v>28</v>
      </c>
      <c r="B291">
        <v>2014</v>
      </c>
      <c r="C291" s="7" t="s">
        <v>35</v>
      </c>
      <c r="D291" s="7" t="s">
        <v>49</v>
      </c>
      <c r="E291">
        <v>116.3</v>
      </c>
    </row>
    <row r="292" spans="1:5" x14ac:dyDescent="0.25">
      <c r="A292" s="7" t="s">
        <v>28</v>
      </c>
      <c r="B292">
        <v>2014</v>
      </c>
      <c r="C292" s="7" t="s">
        <v>35</v>
      </c>
      <c r="D292" s="7" t="s">
        <v>50</v>
      </c>
      <c r="E292">
        <v>354</v>
      </c>
    </row>
    <row r="293" spans="1:5" x14ac:dyDescent="0.25">
      <c r="A293" s="7" t="s">
        <v>28</v>
      </c>
      <c r="B293">
        <v>2014</v>
      </c>
      <c r="C293" s="7" t="s">
        <v>35</v>
      </c>
      <c r="D293" s="7" t="s">
        <v>19</v>
      </c>
      <c r="E293">
        <v>114.1</v>
      </c>
    </row>
    <row r="294" spans="1:5" x14ac:dyDescent="0.25">
      <c r="A294" s="7" t="s">
        <v>28</v>
      </c>
      <c r="B294">
        <v>2014</v>
      </c>
      <c r="C294" s="7" t="s">
        <v>35</v>
      </c>
      <c r="D294" s="7" t="s">
        <v>51</v>
      </c>
      <c r="E294">
        <v>113.4</v>
      </c>
    </row>
    <row r="295" spans="1:5" x14ac:dyDescent="0.25">
      <c r="A295" s="7" t="s">
        <v>28</v>
      </c>
      <c r="B295">
        <v>2014</v>
      </c>
      <c r="C295" s="7" t="s">
        <v>35</v>
      </c>
      <c r="D295" s="7" t="s">
        <v>26</v>
      </c>
      <c r="E295">
        <v>782.3</v>
      </c>
    </row>
    <row r="296" spans="1:5" x14ac:dyDescent="0.25">
      <c r="A296" s="7" t="s">
        <v>30</v>
      </c>
      <c r="B296">
        <v>2014</v>
      </c>
      <c r="C296" s="7" t="s">
        <v>35</v>
      </c>
      <c r="D296" s="7" t="s">
        <v>48</v>
      </c>
      <c r="E296">
        <v>1525.3000000000002</v>
      </c>
    </row>
    <row r="297" spans="1:5" x14ac:dyDescent="0.25">
      <c r="A297" s="7" t="s">
        <v>30</v>
      </c>
      <c r="B297">
        <v>2014</v>
      </c>
      <c r="C297" s="7" t="s">
        <v>35</v>
      </c>
      <c r="D297" s="7" t="s">
        <v>49</v>
      </c>
      <c r="E297">
        <v>118.3</v>
      </c>
    </row>
    <row r="298" spans="1:5" x14ac:dyDescent="0.25">
      <c r="A298" s="7" t="s">
        <v>30</v>
      </c>
      <c r="B298">
        <v>2014</v>
      </c>
      <c r="C298" s="7" t="s">
        <v>35</v>
      </c>
      <c r="D298" s="7" t="s">
        <v>50</v>
      </c>
      <c r="E298">
        <v>345.9</v>
      </c>
    </row>
    <row r="299" spans="1:5" x14ac:dyDescent="0.25">
      <c r="A299" s="7" t="s">
        <v>30</v>
      </c>
      <c r="B299">
        <v>2014</v>
      </c>
      <c r="C299" s="7" t="s">
        <v>35</v>
      </c>
      <c r="D299" s="7" t="s">
        <v>19</v>
      </c>
      <c r="E299">
        <v>114.3</v>
      </c>
    </row>
    <row r="300" spans="1:5" x14ac:dyDescent="0.25">
      <c r="A300" s="7" t="s">
        <v>30</v>
      </c>
      <c r="B300">
        <v>2014</v>
      </c>
      <c r="C300" s="7" t="s">
        <v>35</v>
      </c>
      <c r="D300" s="7" t="s">
        <v>51</v>
      </c>
      <c r="E300">
        <v>111.1</v>
      </c>
    </row>
    <row r="301" spans="1:5" x14ac:dyDescent="0.25">
      <c r="A301" s="7" t="s">
        <v>30</v>
      </c>
      <c r="B301">
        <v>2014</v>
      </c>
      <c r="C301" s="7" t="s">
        <v>35</v>
      </c>
      <c r="D301" s="7" t="s">
        <v>26</v>
      </c>
      <c r="E301">
        <v>782</v>
      </c>
    </row>
    <row r="302" spans="1:5" x14ac:dyDescent="0.25">
      <c r="A302" s="7" t="s">
        <v>31</v>
      </c>
      <c r="B302">
        <v>2014</v>
      </c>
      <c r="C302" s="7" t="s">
        <v>35</v>
      </c>
      <c r="D302" s="7" t="s">
        <v>48</v>
      </c>
      <c r="E302">
        <v>1518.5000000000005</v>
      </c>
    </row>
    <row r="303" spans="1:5" x14ac:dyDescent="0.25">
      <c r="A303" s="7" t="s">
        <v>31</v>
      </c>
      <c r="B303">
        <v>2014</v>
      </c>
      <c r="C303" s="7" t="s">
        <v>35</v>
      </c>
      <c r="D303" s="7" t="s">
        <v>49</v>
      </c>
      <c r="E303">
        <v>116.8</v>
      </c>
    </row>
    <row r="304" spans="1:5" x14ac:dyDescent="0.25">
      <c r="A304" s="7" t="s">
        <v>31</v>
      </c>
      <c r="B304">
        <v>2014</v>
      </c>
      <c r="C304" s="7" t="s">
        <v>35</v>
      </c>
      <c r="D304" s="7" t="s">
        <v>50</v>
      </c>
      <c r="E304">
        <v>350.79999999999995</v>
      </c>
    </row>
    <row r="305" spans="1:5" x14ac:dyDescent="0.25">
      <c r="A305" s="7" t="s">
        <v>31</v>
      </c>
      <c r="B305">
        <v>2014</v>
      </c>
      <c r="C305" s="7" t="s">
        <v>35</v>
      </c>
      <c r="D305" s="7" t="s">
        <v>19</v>
      </c>
      <c r="E305">
        <v>114.3</v>
      </c>
    </row>
    <row r="306" spans="1:5" x14ac:dyDescent="0.25">
      <c r="A306" s="7" t="s">
        <v>31</v>
      </c>
      <c r="B306">
        <v>2014</v>
      </c>
      <c r="C306" s="7" t="s">
        <v>35</v>
      </c>
      <c r="D306" s="7" t="s">
        <v>51</v>
      </c>
      <c r="E306">
        <v>112.5</v>
      </c>
    </row>
    <row r="307" spans="1:5" x14ac:dyDescent="0.25">
      <c r="A307" s="7" t="s">
        <v>31</v>
      </c>
      <c r="B307">
        <v>2014</v>
      </c>
      <c r="C307" s="7" t="s">
        <v>35</v>
      </c>
      <c r="D307" s="7" t="s">
        <v>26</v>
      </c>
      <c r="E307">
        <v>782.3</v>
      </c>
    </row>
    <row r="308" spans="1:5" x14ac:dyDescent="0.25">
      <c r="A308" s="7" t="s">
        <v>28</v>
      </c>
      <c r="B308">
        <v>2014</v>
      </c>
      <c r="C308" s="7" t="s">
        <v>36</v>
      </c>
      <c r="D308" s="7" t="s">
        <v>48</v>
      </c>
      <c r="E308">
        <v>1525.6999999999998</v>
      </c>
    </row>
    <row r="309" spans="1:5" x14ac:dyDescent="0.25">
      <c r="A309" s="7" t="s">
        <v>28</v>
      </c>
      <c r="B309">
        <v>2014</v>
      </c>
      <c r="C309" s="7" t="s">
        <v>36</v>
      </c>
      <c r="D309" s="7" t="s">
        <v>49</v>
      </c>
      <c r="E309">
        <v>117.3</v>
      </c>
    </row>
    <row r="310" spans="1:5" x14ac:dyDescent="0.25">
      <c r="A310" s="7" t="s">
        <v>28</v>
      </c>
      <c r="B310">
        <v>2014</v>
      </c>
      <c r="C310" s="7" t="s">
        <v>36</v>
      </c>
      <c r="D310" s="7" t="s">
        <v>50</v>
      </c>
      <c r="E310">
        <v>356.3</v>
      </c>
    </row>
    <row r="311" spans="1:5" x14ac:dyDescent="0.25">
      <c r="A311" s="7" t="s">
        <v>28</v>
      </c>
      <c r="B311">
        <v>2014</v>
      </c>
      <c r="C311" s="7" t="s">
        <v>36</v>
      </c>
      <c r="D311" s="7" t="s">
        <v>19</v>
      </c>
      <c r="E311">
        <v>114.4</v>
      </c>
    </row>
    <row r="312" spans="1:5" x14ac:dyDescent="0.25">
      <c r="A312" s="7" t="s">
        <v>28</v>
      </c>
      <c r="B312">
        <v>2014</v>
      </c>
      <c r="C312" s="7" t="s">
        <v>36</v>
      </c>
      <c r="D312" s="7" t="s">
        <v>51</v>
      </c>
      <c r="E312">
        <v>114.4</v>
      </c>
    </row>
    <row r="313" spans="1:5" x14ac:dyDescent="0.25">
      <c r="A313" s="7" t="s">
        <v>28</v>
      </c>
      <c r="B313">
        <v>2014</v>
      </c>
      <c r="C313" s="7" t="s">
        <v>36</v>
      </c>
      <c r="D313" s="7" t="s">
        <v>26</v>
      </c>
      <c r="E313">
        <v>785.89999999999986</v>
      </c>
    </row>
    <row r="314" spans="1:5" x14ac:dyDescent="0.25">
      <c r="A314" s="7" t="s">
        <v>30</v>
      </c>
      <c r="B314">
        <v>2014</v>
      </c>
      <c r="C314" s="7" t="s">
        <v>36</v>
      </c>
      <c r="D314" s="7" t="s">
        <v>48</v>
      </c>
      <c r="E314">
        <v>1547</v>
      </c>
    </row>
    <row r="315" spans="1:5" x14ac:dyDescent="0.25">
      <c r="A315" s="7" t="s">
        <v>30</v>
      </c>
      <c r="B315">
        <v>2014</v>
      </c>
      <c r="C315" s="7" t="s">
        <v>36</v>
      </c>
      <c r="D315" s="7" t="s">
        <v>49</v>
      </c>
      <c r="E315">
        <v>119</v>
      </c>
    </row>
    <row r="316" spans="1:5" x14ac:dyDescent="0.25">
      <c r="A316" s="7" t="s">
        <v>30</v>
      </c>
      <c r="B316">
        <v>2014</v>
      </c>
      <c r="C316" s="7" t="s">
        <v>36</v>
      </c>
      <c r="D316" s="7" t="s">
        <v>50</v>
      </c>
      <c r="E316">
        <v>347.3</v>
      </c>
    </row>
    <row r="317" spans="1:5" x14ac:dyDescent="0.25">
      <c r="A317" s="7" t="s">
        <v>30</v>
      </c>
      <c r="B317">
        <v>2014</v>
      </c>
      <c r="C317" s="7" t="s">
        <v>36</v>
      </c>
      <c r="D317" s="7" t="s">
        <v>19</v>
      </c>
      <c r="E317">
        <v>113.9</v>
      </c>
    </row>
    <row r="318" spans="1:5" x14ac:dyDescent="0.25">
      <c r="A318" s="7" t="s">
        <v>30</v>
      </c>
      <c r="B318">
        <v>2014</v>
      </c>
      <c r="C318" s="7" t="s">
        <v>36</v>
      </c>
      <c r="D318" s="7" t="s">
        <v>51</v>
      </c>
      <c r="E318">
        <v>111.2</v>
      </c>
    </row>
    <row r="319" spans="1:5" x14ac:dyDescent="0.25">
      <c r="A319" s="7" t="s">
        <v>30</v>
      </c>
      <c r="B319">
        <v>2014</v>
      </c>
      <c r="C319" s="7" t="s">
        <v>36</v>
      </c>
      <c r="D319" s="7" t="s">
        <v>26</v>
      </c>
      <c r="E319">
        <v>785.00000000000011</v>
      </c>
    </row>
    <row r="320" spans="1:5" x14ac:dyDescent="0.25">
      <c r="A320" s="7" t="s">
        <v>31</v>
      </c>
      <c r="B320">
        <v>2014</v>
      </c>
      <c r="C320" s="7" t="s">
        <v>36</v>
      </c>
      <c r="D320" s="7" t="s">
        <v>48</v>
      </c>
      <c r="E320">
        <v>1533.7000000000003</v>
      </c>
    </row>
    <row r="321" spans="1:5" x14ac:dyDescent="0.25">
      <c r="A321" s="7" t="s">
        <v>31</v>
      </c>
      <c r="B321">
        <v>2014</v>
      </c>
      <c r="C321" s="7" t="s">
        <v>36</v>
      </c>
      <c r="D321" s="7" t="s">
        <v>49</v>
      </c>
      <c r="E321">
        <v>117.8</v>
      </c>
    </row>
    <row r="322" spans="1:5" x14ac:dyDescent="0.25">
      <c r="A322" s="7" t="s">
        <v>31</v>
      </c>
      <c r="B322">
        <v>2014</v>
      </c>
      <c r="C322" s="7" t="s">
        <v>36</v>
      </c>
      <c r="D322" s="7" t="s">
        <v>50</v>
      </c>
      <c r="E322">
        <v>352.7</v>
      </c>
    </row>
    <row r="323" spans="1:5" x14ac:dyDescent="0.25">
      <c r="A323" s="7" t="s">
        <v>31</v>
      </c>
      <c r="B323">
        <v>2014</v>
      </c>
      <c r="C323" s="7" t="s">
        <v>36</v>
      </c>
      <c r="D323" s="7" t="s">
        <v>19</v>
      </c>
      <c r="E323">
        <v>113.9</v>
      </c>
    </row>
    <row r="324" spans="1:5" x14ac:dyDescent="0.25">
      <c r="A324" s="7" t="s">
        <v>31</v>
      </c>
      <c r="B324">
        <v>2014</v>
      </c>
      <c r="C324" s="7" t="s">
        <v>36</v>
      </c>
      <c r="D324" s="7" t="s">
        <v>51</v>
      </c>
      <c r="E324">
        <v>113.2</v>
      </c>
    </row>
    <row r="325" spans="1:5" x14ac:dyDescent="0.25">
      <c r="A325" s="7" t="s">
        <v>31</v>
      </c>
      <c r="B325">
        <v>2014</v>
      </c>
      <c r="C325" s="7" t="s">
        <v>36</v>
      </c>
      <c r="D325" s="7" t="s">
        <v>26</v>
      </c>
      <c r="E325">
        <v>785.69999999999982</v>
      </c>
    </row>
    <row r="326" spans="1:5" x14ac:dyDescent="0.25">
      <c r="A326" s="7" t="s">
        <v>28</v>
      </c>
      <c r="B326">
        <v>2014</v>
      </c>
      <c r="C326" s="7" t="s">
        <v>37</v>
      </c>
      <c r="D326" s="7" t="s">
        <v>48</v>
      </c>
      <c r="E326">
        <v>1563.2</v>
      </c>
    </row>
    <row r="327" spans="1:5" x14ac:dyDescent="0.25">
      <c r="A327" s="7" t="s">
        <v>28</v>
      </c>
      <c r="B327">
        <v>2014</v>
      </c>
      <c r="C327" s="7" t="s">
        <v>37</v>
      </c>
      <c r="D327" s="7" t="s">
        <v>49</v>
      </c>
      <c r="E327">
        <v>118</v>
      </c>
    </row>
    <row r="328" spans="1:5" x14ac:dyDescent="0.25">
      <c r="A328" s="7" t="s">
        <v>28</v>
      </c>
      <c r="B328">
        <v>2014</v>
      </c>
      <c r="C328" s="7" t="s">
        <v>37</v>
      </c>
      <c r="D328" s="7" t="s">
        <v>50</v>
      </c>
      <c r="E328">
        <v>359.3</v>
      </c>
    </row>
    <row r="329" spans="1:5" x14ac:dyDescent="0.25">
      <c r="A329" s="7" t="s">
        <v>28</v>
      </c>
      <c r="B329">
        <v>2014</v>
      </c>
      <c r="C329" s="7" t="s">
        <v>37</v>
      </c>
      <c r="D329" s="7" t="s">
        <v>19</v>
      </c>
      <c r="E329">
        <v>115.2</v>
      </c>
    </row>
    <row r="330" spans="1:5" x14ac:dyDescent="0.25">
      <c r="A330" s="7" t="s">
        <v>28</v>
      </c>
      <c r="B330">
        <v>2014</v>
      </c>
      <c r="C330" s="7" t="s">
        <v>37</v>
      </c>
      <c r="D330" s="7" t="s">
        <v>51</v>
      </c>
      <c r="E330">
        <v>115.3</v>
      </c>
    </row>
    <row r="331" spans="1:5" x14ac:dyDescent="0.25">
      <c r="A331" s="7" t="s">
        <v>28</v>
      </c>
      <c r="B331">
        <v>2014</v>
      </c>
      <c r="C331" s="7" t="s">
        <v>37</v>
      </c>
      <c r="D331" s="7" t="s">
        <v>26</v>
      </c>
      <c r="E331">
        <v>791.19999999999993</v>
      </c>
    </row>
    <row r="332" spans="1:5" x14ac:dyDescent="0.25">
      <c r="A332" s="7" t="s">
        <v>30</v>
      </c>
      <c r="B332">
        <v>2014</v>
      </c>
      <c r="C332" s="7" t="s">
        <v>37</v>
      </c>
      <c r="D332" s="7" t="s">
        <v>48</v>
      </c>
      <c r="E332">
        <v>1599.5</v>
      </c>
    </row>
    <row r="333" spans="1:5" x14ac:dyDescent="0.25">
      <c r="A333" s="7" t="s">
        <v>30</v>
      </c>
      <c r="B333">
        <v>2014</v>
      </c>
      <c r="C333" s="7" t="s">
        <v>37</v>
      </c>
      <c r="D333" s="7" t="s">
        <v>49</v>
      </c>
      <c r="E333">
        <v>121</v>
      </c>
    </row>
    <row r="334" spans="1:5" x14ac:dyDescent="0.25">
      <c r="A334" s="7" t="s">
        <v>30</v>
      </c>
      <c r="B334">
        <v>2014</v>
      </c>
      <c r="C334" s="7" t="s">
        <v>37</v>
      </c>
      <c r="D334" s="7" t="s">
        <v>50</v>
      </c>
      <c r="E334">
        <v>349</v>
      </c>
    </row>
    <row r="335" spans="1:5" x14ac:dyDescent="0.25">
      <c r="A335" s="7" t="s">
        <v>30</v>
      </c>
      <c r="B335">
        <v>2014</v>
      </c>
      <c r="C335" s="7" t="s">
        <v>37</v>
      </c>
      <c r="D335" s="7" t="s">
        <v>19</v>
      </c>
      <c r="E335">
        <v>114.8</v>
      </c>
    </row>
    <row r="336" spans="1:5" x14ac:dyDescent="0.25">
      <c r="A336" s="7" t="s">
        <v>30</v>
      </c>
      <c r="B336">
        <v>2014</v>
      </c>
      <c r="C336" s="7" t="s">
        <v>37</v>
      </c>
      <c r="D336" s="7" t="s">
        <v>51</v>
      </c>
      <c r="E336">
        <v>111.6</v>
      </c>
    </row>
    <row r="337" spans="1:5" x14ac:dyDescent="0.25">
      <c r="A337" s="7" t="s">
        <v>30</v>
      </c>
      <c r="B337">
        <v>2014</v>
      </c>
      <c r="C337" s="7" t="s">
        <v>37</v>
      </c>
      <c r="D337" s="7" t="s">
        <v>26</v>
      </c>
      <c r="E337">
        <v>792.8</v>
      </c>
    </row>
    <row r="338" spans="1:5" x14ac:dyDescent="0.25">
      <c r="A338" s="7" t="s">
        <v>31</v>
      </c>
      <c r="B338">
        <v>2014</v>
      </c>
      <c r="C338" s="7" t="s">
        <v>37</v>
      </c>
      <c r="D338" s="7" t="s">
        <v>48</v>
      </c>
      <c r="E338">
        <v>1576.3</v>
      </c>
    </row>
    <row r="339" spans="1:5" x14ac:dyDescent="0.25">
      <c r="A339" s="7" t="s">
        <v>31</v>
      </c>
      <c r="B339">
        <v>2014</v>
      </c>
      <c r="C339" s="7" t="s">
        <v>37</v>
      </c>
      <c r="D339" s="7" t="s">
        <v>49</v>
      </c>
      <c r="E339">
        <v>118.8</v>
      </c>
    </row>
    <row r="340" spans="1:5" x14ac:dyDescent="0.25">
      <c r="A340" s="7" t="s">
        <v>31</v>
      </c>
      <c r="B340">
        <v>2014</v>
      </c>
      <c r="C340" s="7" t="s">
        <v>37</v>
      </c>
      <c r="D340" s="7" t="s">
        <v>50</v>
      </c>
      <c r="E340">
        <v>355</v>
      </c>
    </row>
    <row r="341" spans="1:5" x14ac:dyDescent="0.25">
      <c r="A341" s="7" t="s">
        <v>31</v>
      </c>
      <c r="B341">
        <v>2014</v>
      </c>
      <c r="C341" s="7" t="s">
        <v>37</v>
      </c>
      <c r="D341" s="7" t="s">
        <v>19</v>
      </c>
      <c r="E341">
        <v>114.8</v>
      </c>
    </row>
    <row r="342" spans="1:5" x14ac:dyDescent="0.25">
      <c r="A342" s="7" t="s">
        <v>31</v>
      </c>
      <c r="B342">
        <v>2014</v>
      </c>
      <c r="C342" s="7" t="s">
        <v>37</v>
      </c>
      <c r="D342" s="7" t="s">
        <v>51</v>
      </c>
      <c r="E342">
        <v>113.9</v>
      </c>
    </row>
    <row r="343" spans="1:5" x14ac:dyDescent="0.25">
      <c r="A343" s="7" t="s">
        <v>31</v>
      </c>
      <c r="B343">
        <v>2014</v>
      </c>
      <c r="C343" s="7" t="s">
        <v>37</v>
      </c>
      <c r="D343" s="7" t="s">
        <v>26</v>
      </c>
      <c r="E343">
        <v>792.4</v>
      </c>
    </row>
    <row r="344" spans="1:5" x14ac:dyDescent="0.25">
      <c r="A344" s="7" t="s">
        <v>28</v>
      </c>
      <c r="B344">
        <v>2014</v>
      </c>
      <c r="C344" s="7" t="s">
        <v>38</v>
      </c>
      <c r="D344" s="7" t="s">
        <v>48</v>
      </c>
      <c r="E344">
        <v>1582.2999999999997</v>
      </c>
    </row>
    <row r="345" spans="1:5" x14ac:dyDescent="0.25">
      <c r="A345" s="7" t="s">
        <v>28</v>
      </c>
      <c r="B345">
        <v>2014</v>
      </c>
      <c r="C345" s="7" t="s">
        <v>38</v>
      </c>
      <c r="D345" s="7" t="s">
        <v>49</v>
      </c>
      <c r="E345">
        <v>118.8</v>
      </c>
    </row>
    <row r="346" spans="1:5" x14ac:dyDescent="0.25">
      <c r="A346" s="7" t="s">
        <v>28</v>
      </c>
      <c r="B346">
        <v>2014</v>
      </c>
      <c r="C346" s="7" t="s">
        <v>38</v>
      </c>
      <c r="D346" s="7" t="s">
        <v>50</v>
      </c>
      <c r="E346">
        <v>360.4</v>
      </c>
    </row>
    <row r="347" spans="1:5" x14ac:dyDescent="0.25">
      <c r="A347" s="7" t="s">
        <v>28</v>
      </c>
      <c r="B347">
        <v>2014</v>
      </c>
      <c r="C347" s="7" t="s">
        <v>38</v>
      </c>
      <c r="D347" s="7" t="s">
        <v>19</v>
      </c>
      <c r="E347">
        <v>115.8</v>
      </c>
    </row>
    <row r="348" spans="1:5" x14ac:dyDescent="0.25">
      <c r="A348" s="7" t="s">
        <v>28</v>
      </c>
      <c r="B348">
        <v>2014</v>
      </c>
      <c r="C348" s="7" t="s">
        <v>38</v>
      </c>
      <c r="D348" s="7" t="s">
        <v>51</v>
      </c>
      <c r="E348">
        <v>115.4</v>
      </c>
    </row>
    <row r="349" spans="1:5" x14ac:dyDescent="0.25">
      <c r="A349" s="7" t="s">
        <v>28</v>
      </c>
      <c r="B349">
        <v>2014</v>
      </c>
      <c r="C349" s="7" t="s">
        <v>38</v>
      </c>
      <c r="D349" s="7" t="s">
        <v>26</v>
      </c>
      <c r="E349">
        <v>794.4</v>
      </c>
    </row>
    <row r="350" spans="1:5" x14ac:dyDescent="0.25">
      <c r="A350" s="7" t="s">
        <v>30</v>
      </c>
      <c r="B350">
        <v>2014</v>
      </c>
      <c r="C350" s="7" t="s">
        <v>38</v>
      </c>
      <c r="D350" s="7" t="s">
        <v>48</v>
      </c>
      <c r="E350">
        <v>1617</v>
      </c>
    </row>
    <row r="351" spans="1:5" x14ac:dyDescent="0.25">
      <c r="A351" s="7" t="s">
        <v>30</v>
      </c>
      <c r="B351">
        <v>2014</v>
      </c>
      <c r="C351" s="7" t="s">
        <v>38</v>
      </c>
      <c r="D351" s="7" t="s">
        <v>49</v>
      </c>
      <c r="E351">
        <v>123</v>
      </c>
    </row>
    <row r="352" spans="1:5" x14ac:dyDescent="0.25">
      <c r="A352" s="7" t="s">
        <v>30</v>
      </c>
      <c r="B352">
        <v>2014</v>
      </c>
      <c r="C352" s="7" t="s">
        <v>38</v>
      </c>
      <c r="D352" s="7" t="s">
        <v>50</v>
      </c>
      <c r="E352">
        <v>350.6</v>
      </c>
    </row>
    <row r="353" spans="1:5" x14ac:dyDescent="0.25">
      <c r="A353" s="7" t="s">
        <v>30</v>
      </c>
      <c r="B353">
        <v>2014</v>
      </c>
      <c r="C353" s="7" t="s">
        <v>38</v>
      </c>
      <c r="D353" s="7" t="s">
        <v>19</v>
      </c>
      <c r="E353">
        <v>115.5</v>
      </c>
    </row>
    <row r="354" spans="1:5" x14ac:dyDescent="0.25">
      <c r="A354" s="7" t="s">
        <v>30</v>
      </c>
      <c r="B354">
        <v>2014</v>
      </c>
      <c r="C354" s="7" t="s">
        <v>38</v>
      </c>
      <c r="D354" s="7" t="s">
        <v>51</v>
      </c>
      <c r="E354">
        <v>111.8</v>
      </c>
    </row>
    <row r="355" spans="1:5" x14ac:dyDescent="0.25">
      <c r="A355" s="7" t="s">
        <v>30</v>
      </c>
      <c r="B355">
        <v>2014</v>
      </c>
      <c r="C355" s="7" t="s">
        <v>38</v>
      </c>
      <c r="D355" s="7" t="s">
        <v>26</v>
      </c>
      <c r="E355">
        <v>796.5</v>
      </c>
    </row>
    <row r="356" spans="1:5" x14ac:dyDescent="0.25">
      <c r="A356" s="7" t="s">
        <v>31</v>
      </c>
      <c r="B356">
        <v>2014</v>
      </c>
      <c r="C356" s="7" t="s">
        <v>38</v>
      </c>
      <c r="D356" s="7" t="s">
        <v>48</v>
      </c>
      <c r="E356">
        <v>1594.4999999999998</v>
      </c>
    </row>
    <row r="357" spans="1:5" x14ac:dyDescent="0.25">
      <c r="A357" s="7" t="s">
        <v>31</v>
      </c>
      <c r="B357">
        <v>2014</v>
      </c>
      <c r="C357" s="7" t="s">
        <v>38</v>
      </c>
      <c r="D357" s="7" t="s">
        <v>49</v>
      </c>
      <c r="E357">
        <v>119.9</v>
      </c>
    </row>
    <row r="358" spans="1:5" x14ac:dyDescent="0.25">
      <c r="A358" s="7" t="s">
        <v>31</v>
      </c>
      <c r="B358">
        <v>2014</v>
      </c>
      <c r="C358" s="7" t="s">
        <v>38</v>
      </c>
      <c r="D358" s="7" t="s">
        <v>50</v>
      </c>
      <c r="E358">
        <v>356.4</v>
      </c>
    </row>
    <row r="359" spans="1:5" x14ac:dyDescent="0.25">
      <c r="A359" s="7" t="s">
        <v>31</v>
      </c>
      <c r="B359">
        <v>2014</v>
      </c>
      <c r="C359" s="7" t="s">
        <v>38</v>
      </c>
      <c r="D359" s="7" t="s">
        <v>19</v>
      </c>
      <c r="E359">
        <v>115.5</v>
      </c>
    </row>
    <row r="360" spans="1:5" x14ac:dyDescent="0.25">
      <c r="A360" s="7" t="s">
        <v>31</v>
      </c>
      <c r="B360">
        <v>2014</v>
      </c>
      <c r="C360" s="7" t="s">
        <v>38</v>
      </c>
      <c r="D360" s="7" t="s">
        <v>51</v>
      </c>
      <c r="E360">
        <v>114</v>
      </c>
    </row>
    <row r="361" spans="1:5" x14ac:dyDescent="0.25">
      <c r="A361" s="7" t="s">
        <v>31</v>
      </c>
      <c r="B361">
        <v>2014</v>
      </c>
      <c r="C361" s="7" t="s">
        <v>38</v>
      </c>
      <c r="D361" s="7" t="s">
        <v>26</v>
      </c>
      <c r="E361">
        <v>795.9</v>
      </c>
    </row>
    <row r="362" spans="1:5" x14ac:dyDescent="0.25">
      <c r="A362" s="7" t="s">
        <v>28</v>
      </c>
      <c r="B362">
        <v>2014</v>
      </c>
      <c r="C362" s="7" t="s">
        <v>39</v>
      </c>
      <c r="D362" s="7" t="s">
        <v>48</v>
      </c>
      <c r="E362">
        <v>1583.2</v>
      </c>
    </row>
    <row r="363" spans="1:5" x14ac:dyDescent="0.25">
      <c r="A363" s="7" t="s">
        <v>28</v>
      </c>
      <c r="B363">
        <v>2014</v>
      </c>
      <c r="C363" s="7" t="s">
        <v>39</v>
      </c>
      <c r="D363" s="7" t="s">
        <v>49</v>
      </c>
      <c r="E363">
        <v>119.5</v>
      </c>
    </row>
    <row r="364" spans="1:5" x14ac:dyDescent="0.25">
      <c r="A364" s="7" t="s">
        <v>28</v>
      </c>
      <c r="B364">
        <v>2014</v>
      </c>
      <c r="C364" s="7" t="s">
        <v>39</v>
      </c>
      <c r="D364" s="7" t="s">
        <v>50</v>
      </c>
      <c r="E364">
        <v>362.2</v>
      </c>
    </row>
    <row r="365" spans="1:5" x14ac:dyDescent="0.25">
      <c r="A365" s="7" t="s">
        <v>28</v>
      </c>
      <c r="B365">
        <v>2014</v>
      </c>
      <c r="C365" s="7" t="s">
        <v>39</v>
      </c>
      <c r="D365" s="7" t="s">
        <v>19</v>
      </c>
      <c r="E365">
        <v>116.4</v>
      </c>
    </row>
    <row r="366" spans="1:5" x14ac:dyDescent="0.25">
      <c r="A366" s="7" t="s">
        <v>28</v>
      </c>
      <c r="B366">
        <v>2014</v>
      </c>
      <c r="C366" s="7" t="s">
        <v>39</v>
      </c>
      <c r="D366" s="7" t="s">
        <v>51</v>
      </c>
      <c r="E366">
        <v>115.8</v>
      </c>
    </row>
    <row r="367" spans="1:5" x14ac:dyDescent="0.25">
      <c r="A367" s="7" t="s">
        <v>28</v>
      </c>
      <c r="B367">
        <v>2014</v>
      </c>
      <c r="C367" s="7" t="s">
        <v>39</v>
      </c>
      <c r="D367" s="7" t="s">
        <v>26</v>
      </c>
      <c r="E367">
        <v>796.00000000000011</v>
      </c>
    </row>
    <row r="368" spans="1:5" x14ac:dyDescent="0.25">
      <c r="A368" s="7" t="s">
        <v>30</v>
      </c>
      <c r="B368">
        <v>2014</v>
      </c>
      <c r="C368" s="7" t="s">
        <v>39</v>
      </c>
      <c r="D368" s="7" t="s">
        <v>48</v>
      </c>
      <c r="E368">
        <v>1593.7000000000003</v>
      </c>
    </row>
    <row r="369" spans="1:5" x14ac:dyDescent="0.25">
      <c r="A369" s="7" t="s">
        <v>30</v>
      </c>
      <c r="B369">
        <v>2014</v>
      </c>
      <c r="C369" s="7" t="s">
        <v>39</v>
      </c>
      <c r="D369" s="7" t="s">
        <v>49</v>
      </c>
      <c r="E369">
        <v>124.3</v>
      </c>
    </row>
    <row r="370" spans="1:5" x14ac:dyDescent="0.25">
      <c r="A370" s="7" t="s">
        <v>30</v>
      </c>
      <c r="B370">
        <v>2014</v>
      </c>
      <c r="C370" s="7" t="s">
        <v>39</v>
      </c>
      <c r="D370" s="7" t="s">
        <v>50</v>
      </c>
      <c r="E370">
        <v>352.1</v>
      </c>
    </row>
    <row r="371" spans="1:5" x14ac:dyDescent="0.25">
      <c r="A371" s="7" t="s">
        <v>30</v>
      </c>
      <c r="B371">
        <v>2014</v>
      </c>
      <c r="C371" s="7" t="s">
        <v>39</v>
      </c>
      <c r="D371" s="7" t="s">
        <v>19</v>
      </c>
      <c r="E371">
        <v>116.1</v>
      </c>
    </row>
    <row r="372" spans="1:5" x14ac:dyDescent="0.25">
      <c r="A372" s="7" t="s">
        <v>30</v>
      </c>
      <c r="B372">
        <v>2014</v>
      </c>
      <c r="C372" s="7" t="s">
        <v>39</v>
      </c>
      <c r="D372" s="7" t="s">
        <v>51</v>
      </c>
      <c r="E372">
        <v>111.8</v>
      </c>
    </row>
    <row r="373" spans="1:5" x14ac:dyDescent="0.25">
      <c r="A373" s="7" t="s">
        <v>30</v>
      </c>
      <c r="B373">
        <v>2014</v>
      </c>
      <c r="C373" s="7" t="s">
        <v>39</v>
      </c>
      <c r="D373" s="7" t="s">
        <v>26</v>
      </c>
      <c r="E373">
        <v>796</v>
      </c>
    </row>
    <row r="374" spans="1:5" x14ac:dyDescent="0.25">
      <c r="A374" s="7" t="s">
        <v>31</v>
      </c>
      <c r="B374">
        <v>2014</v>
      </c>
      <c r="C374" s="7" t="s">
        <v>39</v>
      </c>
      <c r="D374" s="7" t="s">
        <v>48</v>
      </c>
      <c r="E374">
        <v>1586.0999999999997</v>
      </c>
    </row>
    <row r="375" spans="1:5" x14ac:dyDescent="0.25">
      <c r="A375" s="7" t="s">
        <v>31</v>
      </c>
      <c r="B375">
        <v>2014</v>
      </c>
      <c r="C375" s="7" t="s">
        <v>39</v>
      </c>
      <c r="D375" s="7" t="s">
        <v>49</v>
      </c>
      <c r="E375">
        <v>120.8</v>
      </c>
    </row>
    <row r="376" spans="1:5" x14ac:dyDescent="0.25">
      <c r="A376" s="7" t="s">
        <v>31</v>
      </c>
      <c r="B376">
        <v>2014</v>
      </c>
      <c r="C376" s="7" t="s">
        <v>39</v>
      </c>
      <c r="D376" s="7" t="s">
        <v>50</v>
      </c>
      <c r="E376">
        <v>358</v>
      </c>
    </row>
    <row r="377" spans="1:5" x14ac:dyDescent="0.25">
      <c r="A377" s="7" t="s">
        <v>31</v>
      </c>
      <c r="B377">
        <v>2014</v>
      </c>
      <c r="C377" s="7" t="s">
        <v>39</v>
      </c>
      <c r="D377" s="7" t="s">
        <v>19</v>
      </c>
      <c r="E377">
        <v>116.1</v>
      </c>
    </row>
    <row r="378" spans="1:5" x14ac:dyDescent="0.25">
      <c r="A378" s="7" t="s">
        <v>31</v>
      </c>
      <c r="B378">
        <v>2014</v>
      </c>
      <c r="C378" s="7" t="s">
        <v>39</v>
      </c>
      <c r="D378" s="7" t="s">
        <v>51</v>
      </c>
      <c r="E378">
        <v>114.3</v>
      </c>
    </row>
    <row r="379" spans="1:5" x14ac:dyDescent="0.25">
      <c r="A379" s="7" t="s">
        <v>31</v>
      </c>
      <c r="B379">
        <v>2014</v>
      </c>
      <c r="C379" s="7" t="s">
        <v>39</v>
      </c>
      <c r="D379" s="7" t="s">
        <v>26</v>
      </c>
      <c r="E379">
        <v>796.7</v>
      </c>
    </row>
    <row r="380" spans="1:5" x14ac:dyDescent="0.25">
      <c r="A380" s="7" t="s">
        <v>28</v>
      </c>
      <c r="B380">
        <v>2014</v>
      </c>
      <c r="C380" s="7" t="s">
        <v>40</v>
      </c>
      <c r="D380" s="7" t="s">
        <v>48</v>
      </c>
      <c r="E380">
        <v>1581.1999999999998</v>
      </c>
    </row>
    <row r="381" spans="1:5" x14ac:dyDescent="0.25">
      <c r="A381" s="7" t="s">
        <v>28</v>
      </c>
      <c r="B381">
        <v>2014</v>
      </c>
      <c r="C381" s="7" t="s">
        <v>40</v>
      </c>
      <c r="D381" s="7" t="s">
        <v>49</v>
      </c>
      <c r="E381">
        <v>120</v>
      </c>
    </row>
    <row r="382" spans="1:5" x14ac:dyDescent="0.25">
      <c r="A382" s="7" t="s">
        <v>28</v>
      </c>
      <c r="B382">
        <v>2014</v>
      </c>
      <c r="C382" s="7" t="s">
        <v>40</v>
      </c>
      <c r="D382" s="7" t="s">
        <v>50</v>
      </c>
      <c r="E382">
        <v>365.3</v>
      </c>
    </row>
    <row r="383" spans="1:5" x14ac:dyDescent="0.25">
      <c r="A383" s="7" t="s">
        <v>28</v>
      </c>
      <c r="B383">
        <v>2014</v>
      </c>
      <c r="C383" s="7" t="s">
        <v>40</v>
      </c>
      <c r="D383" s="7" t="s">
        <v>19</v>
      </c>
      <c r="E383">
        <v>116.9</v>
      </c>
    </row>
    <row r="384" spans="1:5" x14ac:dyDescent="0.25">
      <c r="A384" s="7" t="s">
        <v>28</v>
      </c>
      <c r="B384">
        <v>2014</v>
      </c>
      <c r="C384" s="7" t="s">
        <v>40</v>
      </c>
      <c r="D384" s="7" t="s">
        <v>51</v>
      </c>
      <c r="E384">
        <v>116.4</v>
      </c>
    </row>
    <row r="385" spans="1:5" x14ac:dyDescent="0.25">
      <c r="A385" s="7" t="s">
        <v>28</v>
      </c>
      <c r="B385">
        <v>2014</v>
      </c>
      <c r="C385" s="7" t="s">
        <v>40</v>
      </c>
      <c r="D385" s="7" t="s">
        <v>26</v>
      </c>
      <c r="E385">
        <v>798.59999999999991</v>
      </c>
    </row>
    <row r="386" spans="1:5" x14ac:dyDescent="0.25">
      <c r="A386" s="7" t="s">
        <v>30</v>
      </c>
      <c r="B386">
        <v>2014</v>
      </c>
      <c r="C386" s="7" t="s">
        <v>40</v>
      </c>
      <c r="D386" s="7" t="s">
        <v>48</v>
      </c>
      <c r="E386">
        <v>1587.5</v>
      </c>
    </row>
    <row r="387" spans="1:5" x14ac:dyDescent="0.25">
      <c r="A387" s="7" t="s">
        <v>30</v>
      </c>
      <c r="B387">
        <v>2014</v>
      </c>
      <c r="C387" s="7" t="s">
        <v>40</v>
      </c>
      <c r="D387" s="7" t="s">
        <v>49</v>
      </c>
      <c r="E387">
        <v>124.3</v>
      </c>
    </row>
    <row r="388" spans="1:5" x14ac:dyDescent="0.25">
      <c r="A388" s="7" t="s">
        <v>30</v>
      </c>
      <c r="B388">
        <v>2014</v>
      </c>
      <c r="C388" s="7" t="s">
        <v>40</v>
      </c>
      <c r="D388" s="7" t="s">
        <v>50</v>
      </c>
      <c r="E388">
        <v>353.4</v>
      </c>
    </row>
    <row r="389" spans="1:5" x14ac:dyDescent="0.25">
      <c r="A389" s="7" t="s">
        <v>30</v>
      </c>
      <c r="B389">
        <v>2014</v>
      </c>
      <c r="C389" s="7" t="s">
        <v>40</v>
      </c>
      <c r="D389" s="7" t="s">
        <v>19</v>
      </c>
      <c r="E389">
        <v>116.7</v>
      </c>
    </row>
    <row r="390" spans="1:5" x14ac:dyDescent="0.25">
      <c r="A390" s="7" t="s">
        <v>30</v>
      </c>
      <c r="B390">
        <v>2014</v>
      </c>
      <c r="C390" s="7" t="s">
        <v>40</v>
      </c>
      <c r="D390" s="7" t="s">
        <v>51</v>
      </c>
      <c r="E390">
        <v>112</v>
      </c>
    </row>
    <row r="391" spans="1:5" x14ac:dyDescent="0.25">
      <c r="A391" s="7" t="s">
        <v>30</v>
      </c>
      <c r="B391">
        <v>2014</v>
      </c>
      <c r="C391" s="7" t="s">
        <v>40</v>
      </c>
      <c r="D391" s="7" t="s">
        <v>26</v>
      </c>
      <c r="E391">
        <v>797.00000000000011</v>
      </c>
    </row>
    <row r="392" spans="1:5" x14ac:dyDescent="0.25">
      <c r="A392" s="7" t="s">
        <v>31</v>
      </c>
      <c r="B392">
        <v>2014</v>
      </c>
      <c r="C392" s="7" t="s">
        <v>40</v>
      </c>
      <c r="D392" s="7" t="s">
        <v>48</v>
      </c>
      <c r="E392">
        <v>1582.7</v>
      </c>
    </row>
    <row r="393" spans="1:5" x14ac:dyDescent="0.25">
      <c r="A393" s="7" t="s">
        <v>31</v>
      </c>
      <c r="B393">
        <v>2014</v>
      </c>
      <c r="C393" s="7" t="s">
        <v>40</v>
      </c>
      <c r="D393" s="7" t="s">
        <v>49</v>
      </c>
      <c r="E393">
        <v>121.1</v>
      </c>
    </row>
    <row r="394" spans="1:5" x14ac:dyDescent="0.25">
      <c r="A394" s="7" t="s">
        <v>31</v>
      </c>
      <c r="B394">
        <v>2014</v>
      </c>
      <c r="C394" s="7" t="s">
        <v>40</v>
      </c>
      <c r="D394" s="7" t="s">
        <v>50</v>
      </c>
      <c r="E394">
        <v>360.6</v>
      </c>
    </row>
    <row r="395" spans="1:5" x14ac:dyDescent="0.25">
      <c r="A395" s="7" t="s">
        <v>31</v>
      </c>
      <c r="B395">
        <v>2014</v>
      </c>
      <c r="C395" s="7" t="s">
        <v>40</v>
      </c>
      <c r="D395" s="7" t="s">
        <v>19</v>
      </c>
      <c r="E395">
        <v>116.7</v>
      </c>
    </row>
    <row r="396" spans="1:5" x14ac:dyDescent="0.25">
      <c r="A396" s="7" t="s">
        <v>31</v>
      </c>
      <c r="B396">
        <v>2014</v>
      </c>
      <c r="C396" s="7" t="s">
        <v>40</v>
      </c>
      <c r="D396" s="7" t="s">
        <v>51</v>
      </c>
      <c r="E396">
        <v>114.7</v>
      </c>
    </row>
    <row r="397" spans="1:5" x14ac:dyDescent="0.25">
      <c r="A397" s="7" t="s">
        <v>31</v>
      </c>
      <c r="B397">
        <v>2014</v>
      </c>
      <c r="C397" s="7" t="s">
        <v>40</v>
      </c>
      <c r="D397" s="7" t="s">
        <v>26</v>
      </c>
      <c r="E397">
        <v>798.4</v>
      </c>
    </row>
    <row r="398" spans="1:5" x14ac:dyDescent="0.25">
      <c r="A398" s="7" t="s">
        <v>28</v>
      </c>
      <c r="B398">
        <v>2014</v>
      </c>
      <c r="C398" s="7" t="s">
        <v>42</v>
      </c>
      <c r="D398" s="7" t="s">
        <v>48</v>
      </c>
      <c r="E398">
        <v>1582</v>
      </c>
    </row>
    <row r="399" spans="1:5" x14ac:dyDescent="0.25">
      <c r="A399" s="7" t="s">
        <v>28</v>
      </c>
      <c r="B399">
        <v>2014</v>
      </c>
      <c r="C399" s="7" t="s">
        <v>42</v>
      </c>
      <c r="D399" s="7" t="s">
        <v>49</v>
      </c>
      <c r="E399">
        <v>120.8</v>
      </c>
    </row>
    <row r="400" spans="1:5" x14ac:dyDescent="0.25">
      <c r="A400" s="7" t="s">
        <v>28</v>
      </c>
      <c r="B400">
        <v>2014</v>
      </c>
      <c r="C400" s="7" t="s">
        <v>42</v>
      </c>
      <c r="D400" s="7" t="s">
        <v>50</v>
      </c>
      <c r="E400">
        <v>366.70000000000005</v>
      </c>
    </row>
    <row r="401" spans="1:5" x14ac:dyDescent="0.25">
      <c r="A401" s="7" t="s">
        <v>28</v>
      </c>
      <c r="B401">
        <v>2014</v>
      </c>
      <c r="C401" s="7" t="s">
        <v>42</v>
      </c>
      <c r="D401" s="7" t="s">
        <v>19</v>
      </c>
      <c r="E401">
        <v>116.8</v>
      </c>
    </row>
    <row r="402" spans="1:5" x14ac:dyDescent="0.25">
      <c r="A402" s="7" t="s">
        <v>28</v>
      </c>
      <c r="B402">
        <v>2014</v>
      </c>
      <c r="C402" s="7" t="s">
        <v>42</v>
      </c>
      <c r="D402" s="7" t="s">
        <v>51</v>
      </c>
      <c r="E402">
        <v>117.3</v>
      </c>
    </row>
    <row r="403" spans="1:5" x14ac:dyDescent="0.25">
      <c r="A403" s="7" t="s">
        <v>28</v>
      </c>
      <c r="B403">
        <v>2014</v>
      </c>
      <c r="C403" s="7" t="s">
        <v>42</v>
      </c>
      <c r="D403" s="7" t="s">
        <v>26</v>
      </c>
      <c r="E403">
        <v>799.4</v>
      </c>
    </row>
    <row r="404" spans="1:5" x14ac:dyDescent="0.25">
      <c r="A404" s="7" t="s">
        <v>30</v>
      </c>
      <c r="B404">
        <v>2014</v>
      </c>
      <c r="C404" s="7" t="s">
        <v>42</v>
      </c>
      <c r="D404" s="7" t="s">
        <v>48</v>
      </c>
      <c r="E404">
        <v>1587.8</v>
      </c>
    </row>
    <row r="405" spans="1:5" x14ac:dyDescent="0.25">
      <c r="A405" s="7" t="s">
        <v>30</v>
      </c>
      <c r="B405">
        <v>2014</v>
      </c>
      <c r="C405" s="7" t="s">
        <v>42</v>
      </c>
      <c r="D405" s="7" t="s">
        <v>49</v>
      </c>
      <c r="E405">
        <v>125.8</v>
      </c>
    </row>
    <row r="406" spans="1:5" x14ac:dyDescent="0.25">
      <c r="A406" s="7" t="s">
        <v>30</v>
      </c>
      <c r="B406">
        <v>2014</v>
      </c>
      <c r="C406" s="7" t="s">
        <v>42</v>
      </c>
      <c r="D406" s="7" t="s">
        <v>50</v>
      </c>
      <c r="E406">
        <v>355.2</v>
      </c>
    </row>
    <row r="407" spans="1:5" x14ac:dyDescent="0.25">
      <c r="A407" s="7" t="s">
        <v>30</v>
      </c>
      <c r="B407">
        <v>2014</v>
      </c>
      <c r="C407" s="7" t="s">
        <v>42</v>
      </c>
      <c r="D407" s="7" t="s">
        <v>19</v>
      </c>
      <c r="E407">
        <v>117.1</v>
      </c>
    </row>
    <row r="408" spans="1:5" x14ac:dyDescent="0.25">
      <c r="A408" s="7" t="s">
        <v>30</v>
      </c>
      <c r="B408">
        <v>2014</v>
      </c>
      <c r="C408" s="7" t="s">
        <v>42</v>
      </c>
      <c r="D408" s="7" t="s">
        <v>51</v>
      </c>
      <c r="E408">
        <v>112.6</v>
      </c>
    </row>
    <row r="409" spans="1:5" x14ac:dyDescent="0.25">
      <c r="A409" s="7" t="s">
        <v>30</v>
      </c>
      <c r="B409">
        <v>2014</v>
      </c>
      <c r="C409" s="7" t="s">
        <v>42</v>
      </c>
      <c r="D409" s="7" t="s">
        <v>26</v>
      </c>
      <c r="E409">
        <v>796.4</v>
      </c>
    </row>
    <row r="410" spans="1:5" x14ac:dyDescent="0.25">
      <c r="A410" s="7" t="s">
        <v>31</v>
      </c>
      <c r="B410">
        <v>2014</v>
      </c>
      <c r="C410" s="7" t="s">
        <v>42</v>
      </c>
      <c r="D410" s="7" t="s">
        <v>48</v>
      </c>
      <c r="E410">
        <v>1583.2</v>
      </c>
    </row>
    <row r="411" spans="1:5" x14ac:dyDescent="0.25">
      <c r="A411" s="7" t="s">
        <v>31</v>
      </c>
      <c r="B411">
        <v>2014</v>
      </c>
      <c r="C411" s="7" t="s">
        <v>42</v>
      </c>
      <c r="D411" s="7" t="s">
        <v>49</v>
      </c>
      <c r="E411">
        <v>122.1</v>
      </c>
    </row>
    <row r="412" spans="1:5" x14ac:dyDescent="0.25">
      <c r="A412" s="7" t="s">
        <v>31</v>
      </c>
      <c r="B412">
        <v>2014</v>
      </c>
      <c r="C412" s="7" t="s">
        <v>42</v>
      </c>
      <c r="D412" s="7" t="s">
        <v>50</v>
      </c>
      <c r="E412">
        <v>362.1</v>
      </c>
    </row>
    <row r="413" spans="1:5" x14ac:dyDescent="0.25">
      <c r="A413" s="7" t="s">
        <v>31</v>
      </c>
      <c r="B413">
        <v>2014</v>
      </c>
      <c r="C413" s="7" t="s">
        <v>42</v>
      </c>
      <c r="D413" s="7" t="s">
        <v>19</v>
      </c>
      <c r="E413">
        <v>117.1</v>
      </c>
    </row>
    <row r="414" spans="1:5" x14ac:dyDescent="0.25">
      <c r="A414" s="7" t="s">
        <v>31</v>
      </c>
      <c r="B414">
        <v>2014</v>
      </c>
      <c r="C414" s="7" t="s">
        <v>42</v>
      </c>
      <c r="D414" s="7" t="s">
        <v>51</v>
      </c>
      <c r="E414">
        <v>115.5</v>
      </c>
    </row>
    <row r="415" spans="1:5" x14ac:dyDescent="0.25">
      <c r="A415" s="7" t="s">
        <v>31</v>
      </c>
      <c r="B415">
        <v>2014</v>
      </c>
      <c r="C415" s="7" t="s">
        <v>42</v>
      </c>
      <c r="D415" s="7" t="s">
        <v>26</v>
      </c>
      <c r="E415">
        <v>798.49999999999989</v>
      </c>
    </row>
    <row r="416" spans="1:5" x14ac:dyDescent="0.25">
      <c r="A416" s="7" t="s">
        <v>28</v>
      </c>
      <c r="B416">
        <v>2014</v>
      </c>
      <c r="C416" s="7" t="s">
        <v>43</v>
      </c>
      <c r="D416" s="7" t="s">
        <v>48</v>
      </c>
      <c r="E416">
        <v>1569.6</v>
      </c>
    </row>
    <row r="417" spans="1:5" x14ac:dyDescent="0.25">
      <c r="A417" s="7" t="s">
        <v>28</v>
      </c>
      <c r="B417">
        <v>2014</v>
      </c>
      <c r="C417" s="7" t="s">
        <v>43</v>
      </c>
      <c r="D417" s="7" t="s">
        <v>49</v>
      </c>
      <c r="E417">
        <v>121.7</v>
      </c>
    </row>
    <row r="418" spans="1:5" x14ac:dyDescent="0.25">
      <c r="A418" s="7" t="s">
        <v>28</v>
      </c>
      <c r="B418">
        <v>2014</v>
      </c>
      <c r="C418" s="7" t="s">
        <v>43</v>
      </c>
      <c r="D418" s="7" t="s">
        <v>50</v>
      </c>
      <c r="E418">
        <v>367.7</v>
      </c>
    </row>
    <row r="419" spans="1:5" x14ac:dyDescent="0.25">
      <c r="A419" s="7" t="s">
        <v>28</v>
      </c>
      <c r="B419">
        <v>2014</v>
      </c>
      <c r="C419" s="7" t="s">
        <v>43</v>
      </c>
      <c r="D419" s="7" t="s">
        <v>19</v>
      </c>
      <c r="E419">
        <v>116.9</v>
      </c>
    </row>
    <row r="420" spans="1:5" x14ac:dyDescent="0.25">
      <c r="A420" s="7" t="s">
        <v>28</v>
      </c>
      <c r="B420">
        <v>2014</v>
      </c>
      <c r="C420" s="7" t="s">
        <v>43</v>
      </c>
      <c r="D420" s="7" t="s">
        <v>51</v>
      </c>
      <c r="E420">
        <v>117.4</v>
      </c>
    </row>
    <row r="421" spans="1:5" x14ac:dyDescent="0.25">
      <c r="A421" s="7" t="s">
        <v>28</v>
      </c>
      <c r="B421">
        <v>2014</v>
      </c>
      <c r="C421" s="7" t="s">
        <v>43</v>
      </c>
      <c r="D421" s="7" t="s">
        <v>26</v>
      </c>
      <c r="E421">
        <v>800.5</v>
      </c>
    </row>
    <row r="422" spans="1:5" x14ac:dyDescent="0.25">
      <c r="A422" s="7" t="s">
        <v>30</v>
      </c>
      <c r="B422">
        <v>2014</v>
      </c>
      <c r="C422" s="7" t="s">
        <v>43</v>
      </c>
      <c r="D422" s="7" t="s">
        <v>48</v>
      </c>
      <c r="E422">
        <v>1577.1999999999998</v>
      </c>
    </row>
    <row r="423" spans="1:5" x14ac:dyDescent="0.25">
      <c r="A423" s="7" t="s">
        <v>30</v>
      </c>
      <c r="B423">
        <v>2014</v>
      </c>
      <c r="C423" s="7" t="s">
        <v>43</v>
      </c>
      <c r="D423" s="7" t="s">
        <v>49</v>
      </c>
      <c r="E423">
        <v>126.4</v>
      </c>
    </row>
    <row r="424" spans="1:5" x14ac:dyDescent="0.25">
      <c r="A424" s="7" t="s">
        <v>30</v>
      </c>
      <c r="B424">
        <v>2014</v>
      </c>
      <c r="C424" s="7" t="s">
        <v>43</v>
      </c>
      <c r="D424" s="7" t="s">
        <v>50</v>
      </c>
      <c r="E424">
        <v>356.5</v>
      </c>
    </row>
    <row r="425" spans="1:5" x14ac:dyDescent="0.25">
      <c r="A425" s="7" t="s">
        <v>30</v>
      </c>
      <c r="B425">
        <v>2014</v>
      </c>
      <c r="C425" s="7" t="s">
        <v>43</v>
      </c>
      <c r="D425" s="7" t="s">
        <v>19</v>
      </c>
      <c r="E425">
        <v>116.5</v>
      </c>
    </row>
    <row r="426" spans="1:5" x14ac:dyDescent="0.25">
      <c r="A426" s="7" t="s">
        <v>30</v>
      </c>
      <c r="B426">
        <v>2014</v>
      </c>
      <c r="C426" s="7" t="s">
        <v>43</v>
      </c>
      <c r="D426" s="7" t="s">
        <v>51</v>
      </c>
      <c r="E426">
        <v>113</v>
      </c>
    </row>
    <row r="427" spans="1:5" x14ac:dyDescent="0.25">
      <c r="A427" s="7" t="s">
        <v>30</v>
      </c>
      <c r="B427">
        <v>2014</v>
      </c>
      <c r="C427" s="7" t="s">
        <v>43</v>
      </c>
      <c r="D427" s="7" t="s">
        <v>26</v>
      </c>
      <c r="E427">
        <v>797.6</v>
      </c>
    </row>
    <row r="428" spans="1:5" x14ac:dyDescent="0.25">
      <c r="A428" s="7" t="s">
        <v>31</v>
      </c>
      <c r="B428">
        <v>2014</v>
      </c>
      <c r="C428" s="7" t="s">
        <v>43</v>
      </c>
      <c r="D428" s="7" t="s">
        <v>48</v>
      </c>
      <c r="E428">
        <v>1571.6999999999998</v>
      </c>
    </row>
    <row r="429" spans="1:5" x14ac:dyDescent="0.25">
      <c r="A429" s="7" t="s">
        <v>31</v>
      </c>
      <c r="B429">
        <v>2014</v>
      </c>
      <c r="C429" s="7" t="s">
        <v>43</v>
      </c>
      <c r="D429" s="7" t="s">
        <v>49</v>
      </c>
      <c r="E429">
        <v>123</v>
      </c>
    </row>
    <row r="430" spans="1:5" x14ac:dyDescent="0.25">
      <c r="A430" s="7" t="s">
        <v>31</v>
      </c>
      <c r="B430">
        <v>2014</v>
      </c>
      <c r="C430" s="7" t="s">
        <v>43</v>
      </c>
      <c r="D430" s="7" t="s">
        <v>50</v>
      </c>
      <c r="E430">
        <v>363.2</v>
      </c>
    </row>
    <row r="431" spans="1:5" x14ac:dyDescent="0.25">
      <c r="A431" s="7" t="s">
        <v>31</v>
      </c>
      <c r="B431">
        <v>2014</v>
      </c>
      <c r="C431" s="7" t="s">
        <v>43</v>
      </c>
      <c r="D431" s="7" t="s">
        <v>19</v>
      </c>
      <c r="E431">
        <v>116.5</v>
      </c>
    </row>
    <row r="432" spans="1:5" x14ac:dyDescent="0.25">
      <c r="A432" s="7" t="s">
        <v>31</v>
      </c>
      <c r="B432">
        <v>2014</v>
      </c>
      <c r="C432" s="7" t="s">
        <v>43</v>
      </c>
      <c r="D432" s="7" t="s">
        <v>51</v>
      </c>
      <c r="E432">
        <v>115.7</v>
      </c>
    </row>
    <row r="433" spans="1:5" x14ac:dyDescent="0.25">
      <c r="A433" s="7" t="s">
        <v>31</v>
      </c>
      <c r="B433">
        <v>2014</v>
      </c>
      <c r="C433" s="7" t="s">
        <v>43</v>
      </c>
      <c r="D433" s="7" t="s">
        <v>26</v>
      </c>
      <c r="E433">
        <v>799.69999999999993</v>
      </c>
    </row>
    <row r="434" spans="1:5" x14ac:dyDescent="0.25">
      <c r="A434" s="7" t="s">
        <v>28</v>
      </c>
      <c r="B434">
        <v>2015</v>
      </c>
      <c r="C434" s="7" t="s">
        <v>29</v>
      </c>
      <c r="D434" s="7" t="s">
        <v>48</v>
      </c>
      <c r="E434">
        <v>1568.1</v>
      </c>
    </row>
    <row r="435" spans="1:5" x14ac:dyDescent="0.25">
      <c r="A435" s="7" t="s">
        <v>28</v>
      </c>
      <c r="B435">
        <v>2015</v>
      </c>
      <c r="C435" s="7" t="s">
        <v>29</v>
      </c>
      <c r="D435" s="7" t="s">
        <v>49</v>
      </c>
      <c r="E435">
        <v>122.7</v>
      </c>
    </row>
    <row r="436" spans="1:5" x14ac:dyDescent="0.25">
      <c r="A436" s="7" t="s">
        <v>28</v>
      </c>
      <c r="B436">
        <v>2015</v>
      </c>
      <c r="C436" s="7" t="s">
        <v>29</v>
      </c>
      <c r="D436" s="7" t="s">
        <v>50</v>
      </c>
      <c r="E436">
        <v>370</v>
      </c>
    </row>
    <row r="437" spans="1:5" x14ac:dyDescent="0.25">
      <c r="A437" s="7" t="s">
        <v>28</v>
      </c>
      <c r="B437">
        <v>2015</v>
      </c>
      <c r="C437" s="7" t="s">
        <v>29</v>
      </c>
      <c r="D437" s="7" t="s">
        <v>19</v>
      </c>
      <c r="E437">
        <v>117.7</v>
      </c>
    </row>
    <row r="438" spans="1:5" x14ac:dyDescent="0.25">
      <c r="A438" s="7" t="s">
        <v>28</v>
      </c>
      <c r="B438">
        <v>2015</v>
      </c>
      <c r="C438" s="7" t="s">
        <v>29</v>
      </c>
      <c r="D438" s="7" t="s">
        <v>51</v>
      </c>
      <c r="E438">
        <v>118.4</v>
      </c>
    </row>
    <row r="439" spans="1:5" x14ac:dyDescent="0.25">
      <c r="A439" s="7" t="s">
        <v>28</v>
      </c>
      <c r="B439">
        <v>2015</v>
      </c>
      <c r="C439" s="7" t="s">
        <v>29</v>
      </c>
      <c r="D439" s="7" t="s">
        <v>26</v>
      </c>
      <c r="E439">
        <v>803.40000000000009</v>
      </c>
    </row>
    <row r="440" spans="1:5" x14ac:dyDescent="0.25">
      <c r="A440" s="7" t="s">
        <v>30</v>
      </c>
      <c r="B440">
        <v>2015</v>
      </c>
      <c r="C440" s="7" t="s">
        <v>29</v>
      </c>
      <c r="D440" s="7" t="s">
        <v>48</v>
      </c>
      <c r="E440">
        <v>1574.8999999999999</v>
      </c>
    </row>
    <row r="441" spans="1:5" x14ac:dyDescent="0.25">
      <c r="A441" s="7" t="s">
        <v>30</v>
      </c>
      <c r="B441">
        <v>2015</v>
      </c>
      <c r="C441" s="7" t="s">
        <v>29</v>
      </c>
      <c r="D441" s="7" t="s">
        <v>49</v>
      </c>
      <c r="E441">
        <v>127.4</v>
      </c>
    </row>
    <row r="442" spans="1:5" x14ac:dyDescent="0.25">
      <c r="A442" s="7" t="s">
        <v>30</v>
      </c>
      <c r="B442">
        <v>2015</v>
      </c>
      <c r="C442" s="7" t="s">
        <v>29</v>
      </c>
      <c r="D442" s="7" t="s">
        <v>50</v>
      </c>
      <c r="E442">
        <v>357.3</v>
      </c>
    </row>
    <row r="443" spans="1:5" x14ac:dyDescent="0.25">
      <c r="A443" s="7" t="s">
        <v>30</v>
      </c>
      <c r="B443">
        <v>2015</v>
      </c>
      <c r="C443" s="7" t="s">
        <v>29</v>
      </c>
      <c r="D443" s="7" t="s">
        <v>19</v>
      </c>
      <c r="E443">
        <v>117.3</v>
      </c>
    </row>
    <row r="444" spans="1:5" x14ac:dyDescent="0.25">
      <c r="A444" s="7" t="s">
        <v>30</v>
      </c>
      <c r="B444">
        <v>2015</v>
      </c>
      <c r="C444" s="7" t="s">
        <v>29</v>
      </c>
      <c r="D444" s="7" t="s">
        <v>51</v>
      </c>
      <c r="E444">
        <v>113.4</v>
      </c>
    </row>
    <row r="445" spans="1:5" x14ac:dyDescent="0.25">
      <c r="A445" s="7" t="s">
        <v>30</v>
      </c>
      <c r="B445">
        <v>2015</v>
      </c>
      <c r="C445" s="7" t="s">
        <v>29</v>
      </c>
      <c r="D445" s="7" t="s">
        <v>26</v>
      </c>
      <c r="E445">
        <v>798.99999999999989</v>
      </c>
    </row>
    <row r="446" spans="1:5" x14ac:dyDescent="0.25">
      <c r="A446" s="7" t="s">
        <v>31</v>
      </c>
      <c r="B446">
        <v>2015</v>
      </c>
      <c r="C446" s="7" t="s">
        <v>29</v>
      </c>
      <c r="D446" s="7" t="s">
        <v>48</v>
      </c>
      <c r="E446">
        <v>1569.3</v>
      </c>
    </row>
    <row r="447" spans="1:5" x14ac:dyDescent="0.25">
      <c r="A447" s="7" t="s">
        <v>31</v>
      </c>
      <c r="B447">
        <v>2015</v>
      </c>
      <c r="C447" s="7" t="s">
        <v>29</v>
      </c>
      <c r="D447" s="7" t="s">
        <v>49</v>
      </c>
      <c r="E447">
        <v>124</v>
      </c>
    </row>
    <row r="448" spans="1:5" x14ac:dyDescent="0.25">
      <c r="A448" s="7" t="s">
        <v>31</v>
      </c>
      <c r="B448">
        <v>2015</v>
      </c>
      <c r="C448" s="7" t="s">
        <v>29</v>
      </c>
      <c r="D448" s="7" t="s">
        <v>50</v>
      </c>
      <c r="E448">
        <v>364.9</v>
      </c>
    </row>
    <row r="449" spans="1:5" x14ac:dyDescent="0.25">
      <c r="A449" s="7" t="s">
        <v>31</v>
      </c>
      <c r="B449">
        <v>2015</v>
      </c>
      <c r="C449" s="7" t="s">
        <v>29</v>
      </c>
      <c r="D449" s="7" t="s">
        <v>19</v>
      </c>
      <c r="E449">
        <v>117.3</v>
      </c>
    </row>
    <row r="450" spans="1:5" x14ac:dyDescent="0.25">
      <c r="A450" s="7" t="s">
        <v>31</v>
      </c>
      <c r="B450">
        <v>2015</v>
      </c>
      <c r="C450" s="7" t="s">
        <v>29</v>
      </c>
      <c r="D450" s="7" t="s">
        <v>51</v>
      </c>
      <c r="E450">
        <v>116.5</v>
      </c>
    </row>
    <row r="451" spans="1:5" x14ac:dyDescent="0.25">
      <c r="A451" s="7" t="s">
        <v>31</v>
      </c>
      <c r="B451">
        <v>2015</v>
      </c>
      <c r="C451" s="7" t="s">
        <v>29</v>
      </c>
      <c r="D451" s="7" t="s">
        <v>26</v>
      </c>
      <c r="E451">
        <v>801.7</v>
      </c>
    </row>
    <row r="452" spans="1:5" x14ac:dyDescent="0.25">
      <c r="A452" s="7" t="s">
        <v>28</v>
      </c>
      <c r="B452">
        <v>2015</v>
      </c>
      <c r="C452" s="7" t="s">
        <v>32</v>
      </c>
      <c r="D452" s="7" t="s">
        <v>48</v>
      </c>
      <c r="E452">
        <v>1570.5999999999997</v>
      </c>
    </row>
    <row r="453" spans="1:5" x14ac:dyDescent="0.25">
      <c r="A453" s="7" t="s">
        <v>28</v>
      </c>
      <c r="B453">
        <v>2015</v>
      </c>
      <c r="C453" s="7" t="s">
        <v>32</v>
      </c>
      <c r="D453" s="7" t="s">
        <v>49</v>
      </c>
      <c r="E453">
        <v>124.2</v>
      </c>
    </row>
    <row r="454" spans="1:5" x14ac:dyDescent="0.25">
      <c r="A454" s="7" t="s">
        <v>28</v>
      </c>
      <c r="B454">
        <v>2015</v>
      </c>
      <c r="C454" s="7" t="s">
        <v>32</v>
      </c>
      <c r="D454" s="7" t="s">
        <v>50</v>
      </c>
      <c r="E454">
        <v>373.1</v>
      </c>
    </row>
    <row r="455" spans="1:5" x14ac:dyDescent="0.25">
      <c r="A455" s="7" t="s">
        <v>28</v>
      </c>
      <c r="B455">
        <v>2015</v>
      </c>
      <c r="C455" s="7" t="s">
        <v>32</v>
      </c>
      <c r="D455" s="7" t="s">
        <v>19</v>
      </c>
      <c r="E455">
        <v>118.4</v>
      </c>
    </row>
    <row r="456" spans="1:5" x14ac:dyDescent="0.25">
      <c r="A456" s="7" t="s">
        <v>28</v>
      </c>
      <c r="B456">
        <v>2015</v>
      </c>
      <c r="C456" s="7" t="s">
        <v>32</v>
      </c>
      <c r="D456" s="7" t="s">
        <v>51</v>
      </c>
      <c r="E456">
        <v>120</v>
      </c>
    </row>
    <row r="457" spans="1:5" x14ac:dyDescent="0.25">
      <c r="A457" s="7" t="s">
        <v>28</v>
      </c>
      <c r="B457">
        <v>2015</v>
      </c>
      <c r="C457" s="7" t="s">
        <v>32</v>
      </c>
      <c r="D457" s="7" t="s">
        <v>26</v>
      </c>
      <c r="E457">
        <v>807.5</v>
      </c>
    </row>
    <row r="458" spans="1:5" x14ac:dyDescent="0.25">
      <c r="A458" s="7" t="s">
        <v>30</v>
      </c>
      <c r="B458">
        <v>2015</v>
      </c>
      <c r="C458" s="7" t="s">
        <v>32</v>
      </c>
      <c r="D458" s="7" t="s">
        <v>48</v>
      </c>
      <c r="E458">
        <v>1571.1000000000001</v>
      </c>
    </row>
    <row r="459" spans="1:5" x14ac:dyDescent="0.25">
      <c r="A459" s="7" t="s">
        <v>30</v>
      </c>
      <c r="B459">
        <v>2015</v>
      </c>
      <c r="C459" s="7" t="s">
        <v>32</v>
      </c>
      <c r="D459" s="7" t="s">
        <v>49</v>
      </c>
      <c r="E459">
        <v>128.1</v>
      </c>
    </row>
    <row r="460" spans="1:5" x14ac:dyDescent="0.25">
      <c r="A460" s="7" t="s">
        <v>30</v>
      </c>
      <c r="B460">
        <v>2015</v>
      </c>
      <c r="C460" s="7" t="s">
        <v>32</v>
      </c>
      <c r="D460" s="7" t="s">
        <v>50</v>
      </c>
      <c r="E460">
        <v>358.4</v>
      </c>
    </row>
    <row r="461" spans="1:5" x14ac:dyDescent="0.25">
      <c r="A461" s="7" t="s">
        <v>30</v>
      </c>
      <c r="B461">
        <v>2015</v>
      </c>
      <c r="C461" s="7" t="s">
        <v>32</v>
      </c>
      <c r="D461" s="7" t="s">
        <v>19</v>
      </c>
      <c r="E461">
        <v>118.1</v>
      </c>
    </row>
    <row r="462" spans="1:5" x14ac:dyDescent="0.25">
      <c r="A462" s="7" t="s">
        <v>30</v>
      </c>
      <c r="B462">
        <v>2015</v>
      </c>
      <c r="C462" s="7" t="s">
        <v>32</v>
      </c>
      <c r="D462" s="7" t="s">
        <v>51</v>
      </c>
      <c r="E462">
        <v>114</v>
      </c>
    </row>
    <row r="463" spans="1:5" x14ac:dyDescent="0.25">
      <c r="A463" s="7" t="s">
        <v>30</v>
      </c>
      <c r="B463">
        <v>2015</v>
      </c>
      <c r="C463" s="7" t="s">
        <v>32</v>
      </c>
      <c r="D463" s="7" t="s">
        <v>26</v>
      </c>
      <c r="E463">
        <v>798.80000000000007</v>
      </c>
    </row>
    <row r="464" spans="1:5" x14ac:dyDescent="0.25">
      <c r="A464" s="7" t="s">
        <v>31</v>
      </c>
      <c r="B464">
        <v>2015</v>
      </c>
      <c r="C464" s="7" t="s">
        <v>32</v>
      </c>
      <c r="D464" s="7" t="s">
        <v>48</v>
      </c>
      <c r="E464">
        <v>1569.3999999999996</v>
      </c>
    </row>
    <row r="465" spans="1:5" x14ac:dyDescent="0.25">
      <c r="A465" s="7" t="s">
        <v>31</v>
      </c>
      <c r="B465">
        <v>2015</v>
      </c>
      <c r="C465" s="7" t="s">
        <v>32</v>
      </c>
      <c r="D465" s="7" t="s">
        <v>49</v>
      </c>
      <c r="E465">
        <v>125.2</v>
      </c>
    </row>
    <row r="466" spans="1:5" x14ac:dyDescent="0.25">
      <c r="A466" s="7" t="s">
        <v>31</v>
      </c>
      <c r="B466">
        <v>2015</v>
      </c>
      <c r="C466" s="7" t="s">
        <v>32</v>
      </c>
      <c r="D466" s="7" t="s">
        <v>50</v>
      </c>
      <c r="E466">
        <v>367.2</v>
      </c>
    </row>
    <row r="467" spans="1:5" x14ac:dyDescent="0.25">
      <c r="A467" s="7" t="s">
        <v>31</v>
      </c>
      <c r="B467">
        <v>2015</v>
      </c>
      <c r="C467" s="7" t="s">
        <v>32</v>
      </c>
      <c r="D467" s="7" t="s">
        <v>19</v>
      </c>
      <c r="E467">
        <v>118.1</v>
      </c>
    </row>
    <row r="468" spans="1:5" x14ac:dyDescent="0.25">
      <c r="A468" s="7" t="s">
        <v>31</v>
      </c>
      <c r="B468">
        <v>2015</v>
      </c>
      <c r="C468" s="7" t="s">
        <v>32</v>
      </c>
      <c r="D468" s="7" t="s">
        <v>51</v>
      </c>
      <c r="E468">
        <v>117.7</v>
      </c>
    </row>
    <row r="469" spans="1:5" x14ac:dyDescent="0.25">
      <c r="A469" s="7" t="s">
        <v>31</v>
      </c>
      <c r="B469">
        <v>2015</v>
      </c>
      <c r="C469" s="7" t="s">
        <v>32</v>
      </c>
      <c r="D469" s="7" t="s">
        <v>26</v>
      </c>
      <c r="E469">
        <v>803.60000000000014</v>
      </c>
    </row>
    <row r="470" spans="1:5" x14ac:dyDescent="0.25">
      <c r="A470" s="7" t="s">
        <v>28</v>
      </c>
      <c r="B470">
        <v>2015</v>
      </c>
      <c r="C470" s="7" t="s">
        <v>33</v>
      </c>
      <c r="D470" s="7" t="s">
        <v>48</v>
      </c>
      <c r="E470">
        <v>1571.5</v>
      </c>
    </row>
    <row r="471" spans="1:5" x14ac:dyDescent="0.25">
      <c r="A471" s="7" t="s">
        <v>28</v>
      </c>
      <c r="B471">
        <v>2015</v>
      </c>
      <c r="C471" s="7" t="s">
        <v>33</v>
      </c>
      <c r="D471" s="7" t="s">
        <v>49</v>
      </c>
      <c r="E471">
        <v>124.7</v>
      </c>
    </row>
    <row r="472" spans="1:5" x14ac:dyDescent="0.25">
      <c r="A472" s="7" t="s">
        <v>28</v>
      </c>
      <c r="B472">
        <v>2015</v>
      </c>
      <c r="C472" s="7" t="s">
        <v>33</v>
      </c>
      <c r="D472" s="7" t="s">
        <v>50</v>
      </c>
      <c r="E472">
        <v>374.4</v>
      </c>
    </row>
    <row r="473" spans="1:5" x14ac:dyDescent="0.25">
      <c r="A473" s="7" t="s">
        <v>28</v>
      </c>
      <c r="B473">
        <v>2015</v>
      </c>
      <c r="C473" s="7" t="s">
        <v>33</v>
      </c>
      <c r="D473" s="7" t="s">
        <v>19</v>
      </c>
      <c r="E473">
        <v>118.9</v>
      </c>
    </row>
    <row r="474" spans="1:5" x14ac:dyDescent="0.25">
      <c r="A474" s="7" t="s">
        <v>28</v>
      </c>
      <c r="B474">
        <v>2015</v>
      </c>
      <c r="C474" s="7" t="s">
        <v>33</v>
      </c>
      <c r="D474" s="7" t="s">
        <v>51</v>
      </c>
      <c r="E474">
        <v>120.6</v>
      </c>
    </row>
    <row r="475" spans="1:5" x14ac:dyDescent="0.25">
      <c r="A475" s="7" t="s">
        <v>28</v>
      </c>
      <c r="B475">
        <v>2015</v>
      </c>
      <c r="C475" s="7" t="s">
        <v>33</v>
      </c>
      <c r="D475" s="7" t="s">
        <v>26</v>
      </c>
      <c r="E475">
        <v>811.19999999999993</v>
      </c>
    </row>
    <row r="476" spans="1:5" x14ac:dyDescent="0.25">
      <c r="A476" s="7" t="s">
        <v>30</v>
      </c>
      <c r="B476">
        <v>2015</v>
      </c>
      <c r="C476" s="7" t="s">
        <v>33</v>
      </c>
      <c r="D476" s="7" t="s">
        <v>48</v>
      </c>
      <c r="E476">
        <v>1568.0000000000002</v>
      </c>
    </row>
    <row r="477" spans="1:5" x14ac:dyDescent="0.25">
      <c r="A477" s="7" t="s">
        <v>30</v>
      </c>
      <c r="B477">
        <v>2015</v>
      </c>
      <c r="C477" s="7" t="s">
        <v>33</v>
      </c>
      <c r="D477" s="7" t="s">
        <v>49</v>
      </c>
      <c r="E477">
        <v>128.80000000000001</v>
      </c>
    </row>
    <row r="478" spans="1:5" x14ac:dyDescent="0.25">
      <c r="A478" s="7" t="s">
        <v>30</v>
      </c>
      <c r="B478">
        <v>2015</v>
      </c>
      <c r="C478" s="7" t="s">
        <v>33</v>
      </c>
      <c r="D478" s="7" t="s">
        <v>50</v>
      </c>
      <c r="E478">
        <v>359.5</v>
      </c>
    </row>
    <row r="479" spans="1:5" x14ac:dyDescent="0.25">
      <c r="A479" s="7" t="s">
        <v>30</v>
      </c>
      <c r="B479">
        <v>2015</v>
      </c>
      <c r="C479" s="7" t="s">
        <v>33</v>
      </c>
      <c r="D479" s="7" t="s">
        <v>19</v>
      </c>
      <c r="E479">
        <v>118.6</v>
      </c>
    </row>
    <row r="480" spans="1:5" x14ac:dyDescent="0.25">
      <c r="A480" s="7" t="s">
        <v>30</v>
      </c>
      <c r="B480">
        <v>2015</v>
      </c>
      <c r="C480" s="7" t="s">
        <v>33</v>
      </c>
      <c r="D480" s="7" t="s">
        <v>51</v>
      </c>
      <c r="E480">
        <v>114.4</v>
      </c>
    </row>
    <row r="481" spans="1:5" x14ac:dyDescent="0.25">
      <c r="A481" s="7" t="s">
        <v>30</v>
      </c>
      <c r="B481">
        <v>2015</v>
      </c>
      <c r="C481" s="7" t="s">
        <v>33</v>
      </c>
      <c r="D481" s="7" t="s">
        <v>26</v>
      </c>
      <c r="E481">
        <v>801.8</v>
      </c>
    </row>
    <row r="482" spans="1:5" x14ac:dyDescent="0.25">
      <c r="A482" s="7" t="s">
        <v>31</v>
      </c>
      <c r="B482">
        <v>2015</v>
      </c>
      <c r="C482" s="7" t="s">
        <v>33</v>
      </c>
      <c r="D482" s="7" t="s">
        <v>48</v>
      </c>
      <c r="E482">
        <v>1569.1</v>
      </c>
    </row>
    <row r="483" spans="1:5" x14ac:dyDescent="0.25">
      <c r="A483" s="7" t="s">
        <v>31</v>
      </c>
      <c r="B483">
        <v>2015</v>
      </c>
      <c r="C483" s="7" t="s">
        <v>33</v>
      </c>
      <c r="D483" s="7" t="s">
        <v>49</v>
      </c>
      <c r="E483">
        <v>125.8</v>
      </c>
    </row>
    <row r="484" spans="1:5" x14ac:dyDescent="0.25">
      <c r="A484" s="7" t="s">
        <v>31</v>
      </c>
      <c r="B484">
        <v>2015</v>
      </c>
      <c r="C484" s="7" t="s">
        <v>33</v>
      </c>
      <c r="D484" s="7" t="s">
        <v>50</v>
      </c>
      <c r="E484">
        <v>368.4</v>
      </c>
    </row>
    <row r="485" spans="1:5" x14ac:dyDescent="0.25">
      <c r="A485" s="7" t="s">
        <v>31</v>
      </c>
      <c r="B485">
        <v>2015</v>
      </c>
      <c r="C485" s="7" t="s">
        <v>33</v>
      </c>
      <c r="D485" s="7" t="s">
        <v>19</v>
      </c>
      <c r="E485">
        <v>118.6</v>
      </c>
    </row>
    <row r="486" spans="1:5" x14ac:dyDescent="0.25">
      <c r="A486" s="7" t="s">
        <v>31</v>
      </c>
      <c r="B486">
        <v>2015</v>
      </c>
      <c r="C486" s="7" t="s">
        <v>33</v>
      </c>
      <c r="D486" s="7" t="s">
        <v>51</v>
      </c>
      <c r="E486">
        <v>118.3</v>
      </c>
    </row>
    <row r="487" spans="1:5" x14ac:dyDescent="0.25">
      <c r="A487" s="7" t="s">
        <v>31</v>
      </c>
      <c r="B487">
        <v>2015</v>
      </c>
      <c r="C487" s="7" t="s">
        <v>33</v>
      </c>
      <c r="D487" s="7" t="s">
        <v>26</v>
      </c>
      <c r="E487">
        <v>807.00000000000011</v>
      </c>
    </row>
    <row r="488" spans="1:5" x14ac:dyDescent="0.25">
      <c r="A488" s="7" t="s">
        <v>28</v>
      </c>
      <c r="B488">
        <v>2015</v>
      </c>
      <c r="C488" s="7" t="s">
        <v>34</v>
      </c>
      <c r="D488" s="7" t="s">
        <v>48</v>
      </c>
      <c r="E488">
        <v>1577.2</v>
      </c>
    </row>
    <row r="489" spans="1:5" x14ac:dyDescent="0.25">
      <c r="A489" s="7" t="s">
        <v>28</v>
      </c>
      <c r="B489">
        <v>2015</v>
      </c>
      <c r="C489" s="7" t="s">
        <v>34</v>
      </c>
      <c r="D489" s="7" t="s">
        <v>49</v>
      </c>
      <c r="E489">
        <v>125.7</v>
      </c>
    </row>
    <row r="490" spans="1:5" x14ac:dyDescent="0.25">
      <c r="A490" s="7" t="s">
        <v>28</v>
      </c>
      <c r="B490">
        <v>2015</v>
      </c>
      <c r="C490" s="7" t="s">
        <v>34</v>
      </c>
      <c r="D490" s="7" t="s">
        <v>50</v>
      </c>
      <c r="E490">
        <v>375.7</v>
      </c>
    </row>
    <row r="491" spans="1:5" x14ac:dyDescent="0.25">
      <c r="A491" s="7" t="s">
        <v>28</v>
      </c>
      <c r="B491">
        <v>2015</v>
      </c>
      <c r="C491" s="7" t="s">
        <v>34</v>
      </c>
      <c r="D491" s="7" t="s">
        <v>19</v>
      </c>
      <c r="E491">
        <v>119.4</v>
      </c>
    </row>
    <row r="492" spans="1:5" x14ac:dyDescent="0.25">
      <c r="A492" s="7" t="s">
        <v>28</v>
      </c>
      <c r="B492">
        <v>2015</v>
      </c>
      <c r="C492" s="7" t="s">
        <v>34</v>
      </c>
      <c r="D492" s="7" t="s">
        <v>51</v>
      </c>
      <c r="E492">
        <v>121.2</v>
      </c>
    </row>
    <row r="493" spans="1:5" x14ac:dyDescent="0.25">
      <c r="A493" s="7" t="s">
        <v>28</v>
      </c>
      <c r="B493">
        <v>2015</v>
      </c>
      <c r="C493" s="7" t="s">
        <v>34</v>
      </c>
      <c r="D493" s="7" t="s">
        <v>26</v>
      </c>
      <c r="E493">
        <v>815.1</v>
      </c>
    </row>
    <row r="494" spans="1:5" x14ac:dyDescent="0.25">
      <c r="A494" s="7" t="s">
        <v>30</v>
      </c>
      <c r="B494">
        <v>2015</v>
      </c>
      <c r="C494" s="7" t="s">
        <v>34</v>
      </c>
      <c r="D494" s="7" t="s">
        <v>48</v>
      </c>
      <c r="E494">
        <v>1576.1</v>
      </c>
    </row>
    <row r="495" spans="1:5" x14ac:dyDescent="0.25">
      <c r="A495" s="7" t="s">
        <v>30</v>
      </c>
      <c r="B495">
        <v>2015</v>
      </c>
      <c r="C495" s="7" t="s">
        <v>34</v>
      </c>
      <c r="D495" s="7" t="s">
        <v>49</v>
      </c>
      <c r="E495">
        <v>130.1</v>
      </c>
    </row>
    <row r="496" spans="1:5" x14ac:dyDescent="0.25">
      <c r="A496" s="7" t="s">
        <v>30</v>
      </c>
      <c r="B496">
        <v>2015</v>
      </c>
      <c r="C496" s="7" t="s">
        <v>34</v>
      </c>
      <c r="D496" s="7" t="s">
        <v>50</v>
      </c>
      <c r="E496">
        <v>360.6</v>
      </c>
    </row>
    <row r="497" spans="1:5" x14ac:dyDescent="0.25">
      <c r="A497" s="7" t="s">
        <v>30</v>
      </c>
      <c r="B497">
        <v>2015</v>
      </c>
      <c r="C497" s="7" t="s">
        <v>34</v>
      </c>
      <c r="D497" s="7" t="s">
        <v>19</v>
      </c>
      <c r="E497">
        <v>119.2</v>
      </c>
    </row>
    <row r="498" spans="1:5" x14ac:dyDescent="0.25">
      <c r="A498" s="7" t="s">
        <v>30</v>
      </c>
      <c r="B498">
        <v>2015</v>
      </c>
      <c r="C498" s="7" t="s">
        <v>34</v>
      </c>
      <c r="D498" s="7" t="s">
        <v>51</v>
      </c>
      <c r="E498">
        <v>114.7</v>
      </c>
    </row>
    <row r="499" spans="1:5" x14ac:dyDescent="0.25">
      <c r="A499" s="7" t="s">
        <v>30</v>
      </c>
      <c r="B499">
        <v>2015</v>
      </c>
      <c r="C499" s="7" t="s">
        <v>34</v>
      </c>
      <c r="D499" s="7" t="s">
        <v>26</v>
      </c>
      <c r="E499">
        <v>804.7</v>
      </c>
    </row>
    <row r="500" spans="1:5" x14ac:dyDescent="0.25">
      <c r="A500" s="7" t="s">
        <v>31</v>
      </c>
      <c r="B500">
        <v>2015</v>
      </c>
      <c r="C500" s="7" t="s">
        <v>34</v>
      </c>
      <c r="D500" s="7" t="s">
        <v>48</v>
      </c>
      <c r="E500">
        <v>1575.7</v>
      </c>
    </row>
    <row r="501" spans="1:5" x14ac:dyDescent="0.25">
      <c r="A501" s="7" t="s">
        <v>31</v>
      </c>
      <c r="B501">
        <v>2015</v>
      </c>
      <c r="C501" s="7" t="s">
        <v>34</v>
      </c>
      <c r="D501" s="7" t="s">
        <v>49</v>
      </c>
      <c r="E501">
        <v>126.9</v>
      </c>
    </row>
    <row r="502" spans="1:5" x14ac:dyDescent="0.25">
      <c r="A502" s="7" t="s">
        <v>31</v>
      </c>
      <c r="B502">
        <v>2015</v>
      </c>
      <c r="C502" s="7" t="s">
        <v>34</v>
      </c>
      <c r="D502" s="7" t="s">
        <v>50</v>
      </c>
      <c r="E502">
        <v>369.6</v>
      </c>
    </row>
    <row r="503" spans="1:5" x14ac:dyDescent="0.25">
      <c r="A503" s="7" t="s">
        <v>31</v>
      </c>
      <c r="B503">
        <v>2015</v>
      </c>
      <c r="C503" s="7" t="s">
        <v>34</v>
      </c>
      <c r="D503" s="7" t="s">
        <v>19</v>
      </c>
      <c r="E503">
        <v>119.2</v>
      </c>
    </row>
    <row r="504" spans="1:5" x14ac:dyDescent="0.25">
      <c r="A504" s="7" t="s">
        <v>31</v>
      </c>
      <c r="B504">
        <v>2015</v>
      </c>
      <c r="C504" s="7" t="s">
        <v>34</v>
      </c>
      <c r="D504" s="7" t="s">
        <v>51</v>
      </c>
      <c r="E504">
        <v>118.7</v>
      </c>
    </row>
    <row r="505" spans="1:5" x14ac:dyDescent="0.25">
      <c r="A505" s="7" t="s">
        <v>31</v>
      </c>
      <c r="B505">
        <v>2015</v>
      </c>
      <c r="C505" s="7" t="s">
        <v>34</v>
      </c>
      <c r="D505" s="7" t="s">
        <v>26</v>
      </c>
      <c r="E505">
        <v>810.6</v>
      </c>
    </row>
    <row r="506" spans="1:5" x14ac:dyDescent="0.25">
      <c r="A506" s="7" t="s">
        <v>28</v>
      </c>
      <c r="B506">
        <v>2015</v>
      </c>
      <c r="C506" s="7" t="s">
        <v>35</v>
      </c>
      <c r="D506" s="7" t="s">
        <v>48</v>
      </c>
      <c r="E506">
        <v>1587.7</v>
      </c>
    </row>
    <row r="507" spans="1:5" x14ac:dyDescent="0.25">
      <c r="A507" s="7" t="s">
        <v>28</v>
      </c>
      <c r="B507">
        <v>2015</v>
      </c>
      <c r="C507" s="7" t="s">
        <v>35</v>
      </c>
      <c r="D507" s="7" t="s">
        <v>49</v>
      </c>
      <c r="E507">
        <v>126.7</v>
      </c>
    </row>
    <row r="508" spans="1:5" x14ac:dyDescent="0.25">
      <c r="A508" s="7" t="s">
        <v>28</v>
      </c>
      <c r="B508">
        <v>2015</v>
      </c>
      <c r="C508" s="7" t="s">
        <v>35</v>
      </c>
      <c r="D508" s="7" t="s">
        <v>50</v>
      </c>
      <c r="E508">
        <v>378.2</v>
      </c>
    </row>
    <row r="509" spans="1:5" x14ac:dyDescent="0.25">
      <c r="A509" s="7" t="s">
        <v>28</v>
      </c>
      <c r="B509">
        <v>2015</v>
      </c>
      <c r="C509" s="7" t="s">
        <v>35</v>
      </c>
      <c r="D509" s="7" t="s">
        <v>19</v>
      </c>
      <c r="E509">
        <v>119.3</v>
      </c>
    </row>
    <row r="510" spans="1:5" x14ac:dyDescent="0.25">
      <c r="A510" s="7" t="s">
        <v>28</v>
      </c>
      <c r="B510">
        <v>2015</v>
      </c>
      <c r="C510" s="7" t="s">
        <v>35</v>
      </c>
      <c r="D510" s="7" t="s">
        <v>51</v>
      </c>
      <c r="E510">
        <v>121.9</v>
      </c>
    </row>
    <row r="511" spans="1:5" x14ac:dyDescent="0.25">
      <c r="A511" s="7" t="s">
        <v>28</v>
      </c>
      <c r="B511">
        <v>2015</v>
      </c>
      <c r="C511" s="7" t="s">
        <v>35</v>
      </c>
      <c r="D511" s="7" t="s">
        <v>26</v>
      </c>
      <c r="E511">
        <v>820.59999999999991</v>
      </c>
    </row>
    <row r="512" spans="1:5" x14ac:dyDescent="0.25">
      <c r="A512" s="7" t="s">
        <v>30</v>
      </c>
      <c r="B512">
        <v>2015</v>
      </c>
      <c r="C512" s="7" t="s">
        <v>35</v>
      </c>
      <c r="D512" s="7" t="s">
        <v>48</v>
      </c>
      <c r="E512">
        <v>1598.9</v>
      </c>
    </row>
    <row r="513" spans="1:5" x14ac:dyDescent="0.25">
      <c r="A513" s="7" t="s">
        <v>30</v>
      </c>
      <c r="B513">
        <v>2015</v>
      </c>
      <c r="C513" s="7" t="s">
        <v>35</v>
      </c>
      <c r="D513" s="7" t="s">
        <v>49</v>
      </c>
      <c r="E513">
        <v>131.30000000000001</v>
      </c>
    </row>
    <row r="514" spans="1:5" x14ac:dyDescent="0.25">
      <c r="A514" s="7" t="s">
        <v>30</v>
      </c>
      <c r="B514">
        <v>2015</v>
      </c>
      <c r="C514" s="7" t="s">
        <v>35</v>
      </c>
      <c r="D514" s="7" t="s">
        <v>50</v>
      </c>
      <c r="E514">
        <v>361.4</v>
      </c>
    </row>
    <row r="515" spans="1:5" x14ac:dyDescent="0.25">
      <c r="A515" s="7" t="s">
        <v>30</v>
      </c>
      <c r="B515">
        <v>2015</v>
      </c>
      <c r="C515" s="7" t="s">
        <v>35</v>
      </c>
      <c r="D515" s="7" t="s">
        <v>19</v>
      </c>
      <c r="E515">
        <v>119.6</v>
      </c>
    </row>
    <row r="516" spans="1:5" x14ac:dyDescent="0.25">
      <c r="A516" s="7" t="s">
        <v>30</v>
      </c>
      <c r="B516">
        <v>2015</v>
      </c>
      <c r="C516" s="7" t="s">
        <v>35</v>
      </c>
      <c r="D516" s="7" t="s">
        <v>51</v>
      </c>
      <c r="E516">
        <v>114.9</v>
      </c>
    </row>
    <row r="517" spans="1:5" x14ac:dyDescent="0.25">
      <c r="A517" s="7" t="s">
        <v>30</v>
      </c>
      <c r="B517">
        <v>2015</v>
      </c>
      <c r="C517" s="7" t="s">
        <v>35</v>
      </c>
      <c r="D517" s="7" t="s">
        <v>26</v>
      </c>
      <c r="E517">
        <v>810.00000000000011</v>
      </c>
    </row>
    <row r="518" spans="1:5" x14ac:dyDescent="0.25">
      <c r="A518" s="7" t="s">
        <v>31</v>
      </c>
      <c r="B518">
        <v>2015</v>
      </c>
      <c r="C518" s="7" t="s">
        <v>35</v>
      </c>
      <c r="D518" s="7" t="s">
        <v>48</v>
      </c>
      <c r="E518">
        <v>1590.4</v>
      </c>
    </row>
    <row r="519" spans="1:5" x14ac:dyDescent="0.25">
      <c r="A519" s="7" t="s">
        <v>31</v>
      </c>
      <c r="B519">
        <v>2015</v>
      </c>
      <c r="C519" s="7" t="s">
        <v>35</v>
      </c>
      <c r="D519" s="7" t="s">
        <v>49</v>
      </c>
      <c r="E519">
        <v>127.9</v>
      </c>
    </row>
    <row r="520" spans="1:5" x14ac:dyDescent="0.25">
      <c r="A520" s="7" t="s">
        <v>31</v>
      </c>
      <c r="B520">
        <v>2015</v>
      </c>
      <c r="C520" s="7" t="s">
        <v>35</v>
      </c>
      <c r="D520" s="7" t="s">
        <v>50</v>
      </c>
      <c r="E520">
        <v>371.4</v>
      </c>
    </row>
    <row r="521" spans="1:5" x14ac:dyDescent="0.25">
      <c r="A521" s="7" t="s">
        <v>31</v>
      </c>
      <c r="B521">
        <v>2015</v>
      </c>
      <c r="C521" s="7" t="s">
        <v>35</v>
      </c>
      <c r="D521" s="7" t="s">
        <v>19</v>
      </c>
      <c r="E521">
        <v>119.6</v>
      </c>
    </row>
    <row r="522" spans="1:5" x14ac:dyDescent="0.25">
      <c r="A522" s="7" t="s">
        <v>31</v>
      </c>
      <c r="B522">
        <v>2015</v>
      </c>
      <c r="C522" s="7" t="s">
        <v>35</v>
      </c>
      <c r="D522" s="7" t="s">
        <v>51</v>
      </c>
      <c r="E522">
        <v>119.2</v>
      </c>
    </row>
    <row r="523" spans="1:5" x14ac:dyDescent="0.25">
      <c r="A523" s="7" t="s">
        <v>31</v>
      </c>
      <c r="B523">
        <v>2015</v>
      </c>
      <c r="C523" s="7" t="s">
        <v>35</v>
      </c>
      <c r="D523" s="7" t="s">
        <v>26</v>
      </c>
      <c r="E523">
        <v>816</v>
      </c>
    </row>
    <row r="524" spans="1:5" x14ac:dyDescent="0.25">
      <c r="A524" s="7" t="s">
        <v>28</v>
      </c>
      <c r="B524">
        <v>2015</v>
      </c>
      <c r="C524" s="7" t="s">
        <v>36</v>
      </c>
      <c r="D524" s="7" t="s">
        <v>48</v>
      </c>
      <c r="E524">
        <v>1617.8999999999999</v>
      </c>
    </row>
    <row r="525" spans="1:5" x14ac:dyDescent="0.25">
      <c r="A525" s="7" t="s">
        <v>28</v>
      </c>
      <c r="B525">
        <v>2015</v>
      </c>
      <c r="C525" s="7" t="s">
        <v>36</v>
      </c>
      <c r="D525" s="7" t="s">
        <v>49</v>
      </c>
      <c r="E525">
        <v>128.19999999999999</v>
      </c>
    </row>
    <row r="526" spans="1:5" x14ac:dyDescent="0.25">
      <c r="A526" s="7" t="s">
        <v>28</v>
      </c>
      <c r="B526">
        <v>2015</v>
      </c>
      <c r="C526" s="7" t="s">
        <v>36</v>
      </c>
      <c r="D526" s="7" t="s">
        <v>50</v>
      </c>
      <c r="E526">
        <v>381.5</v>
      </c>
    </row>
    <row r="527" spans="1:5" x14ac:dyDescent="0.25">
      <c r="A527" s="7" t="s">
        <v>28</v>
      </c>
      <c r="B527">
        <v>2015</v>
      </c>
      <c r="C527" s="7" t="s">
        <v>36</v>
      </c>
      <c r="D527" s="7" t="s">
        <v>19</v>
      </c>
      <c r="E527">
        <v>119.5</v>
      </c>
    </row>
    <row r="528" spans="1:5" x14ac:dyDescent="0.25">
      <c r="A528" s="7" t="s">
        <v>28</v>
      </c>
      <c r="B528">
        <v>2015</v>
      </c>
      <c r="C528" s="7" t="s">
        <v>36</v>
      </c>
      <c r="D528" s="7" t="s">
        <v>51</v>
      </c>
      <c r="E528">
        <v>122.6</v>
      </c>
    </row>
    <row r="529" spans="1:5" x14ac:dyDescent="0.25">
      <c r="A529" s="7" t="s">
        <v>28</v>
      </c>
      <c r="B529">
        <v>2015</v>
      </c>
      <c r="C529" s="7" t="s">
        <v>36</v>
      </c>
      <c r="D529" s="7" t="s">
        <v>26</v>
      </c>
      <c r="E529">
        <v>828.19999999999993</v>
      </c>
    </row>
    <row r="530" spans="1:5" x14ac:dyDescent="0.25">
      <c r="A530" s="7" t="s">
        <v>30</v>
      </c>
      <c r="B530">
        <v>2015</v>
      </c>
      <c r="C530" s="7" t="s">
        <v>36</v>
      </c>
      <c r="D530" s="7" t="s">
        <v>48</v>
      </c>
      <c r="E530">
        <v>1636.6</v>
      </c>
    </row>
    <row r="531" spans="1:5" x14ac:dyDescent="0.25">
      <c r="A531" s="7" t="s">
        <v>30</v>
      </c>
      <c r="B531">
        <v>2015</v>
      </c>
      <c r="C531" s="7" t="s">
        <v>36</v>
      </c>
      <c r="D531" s="7" t="s">
        <v>49</v>
      </c>
      <c r="E531">
        <v>132.1</v>
      </c>
    </row>
    <row r="532" spans="1:5" x14ac:dyDescent="0.25">
      <c r="A532" s="7" t="s">
        <v>30</v>
      </c>
      <c r="B532">
        <v>2015</v>
      </c>
      <c r="C532" s="7" t="s">
        <v>36</v>
      </c>
      <c r="D532" s="7" t="s">
        <v>50</v>
      </c>
      <c r="E532">
        <v>363.1</v>
      </c>
    </row>
    <row r="533" spans="1:5" x14ac:dyDescent="0.25">
      <c r="A533" s="7" t="s">
        <v>30</v>
      </c>
      <c r="B533">
        <v>2015</v>
      </c>
      <c r="C533" s="7" t="s">
        <v>36</v>
      </c>
      <c r="D533" s="7" t="s">
        <v>19</v>
      </c>
      <c r="E533">
        <v>119</v>
      </c>
    </row>
    <row r="534" spans="1:5" x14ac:dyDescent="0.25">
      <c r="A534" s="7" t="s">
        <v>30</v>
      </c>
      <c r="B534">
        <v>2015</v>
      </c>
      <c r="C534" s="7" t="s">
        <v>36</v>
      </c>
      <c r="D534" s="7" t="s">
        <v>51</v>
      </c>
      <c r="E534">
        <v>115.1</v>
      </c>
    </row>
    <row r="535" spans="1:5" x14ac:dyDescent="0.25">
      <c r="A535" s="7" t="s">
        <v>30</v>
      </c>
      <c r="B535">
        <v>2015</v>
      </c>
      <c r="C535" s="7" t="s">
        <v>36</v>
      </c>
      <c r="D535" s="7" t="s">
        <v>26</v>
      </c>
      <c r="E535">
        <v>814.8</v>
      </c>
    </row>
    <row r="536" spans="1:5" x14ac:dyDescent="0.25">
      <c r="A536" s="7" t="s">
        <v>31</v>
      </c>
      <c r="B536">
        <v>2015</v>
      </c>
      <c r="C536" s="7" t="s">
        <v>36</v>
      </c>
      <c r="D536" s="7" t="s">
        <v>48</v>
      </c>
      <c r="E536">
        <v>1623.5</v>
      </c>
    </row>
    <row r="537" spans="1:5" x14ac:dyDescent="0.25">
      <c r="A537" s="7" t="s">
        <v>31</v>
      </c>
      <c r="B537">
        <v>2015</v>
      </c>
      <c r="C537" s="7" t="s">
        <v>36</v>
      </c>
      <c r="D537" s="7" t="s">
        <v>49</v>
      </c>
      <c r="E537">
        <v>129.19999999999999</v>
      </c>
    </row>
    <row r="538" spans="1:5" x14ac:dyDescent="0.25">
      <c r="A538" s="7" t="s">
        <v>31</v>
      </c>
      <c r="B538">
        <v>2015</v>
      </c>
      <c r="C538" s="7" t="s">
        <v>36</v>
      </c>
      <c r="D538" s="7" t="s">
        <v>50</v>
      </c>
      <c r="E538">
        <v>374.1</v>
      </c>
    </row>
    <row r="539" spans="1:5" x14ac:dyDescent="0.25">
      <c r="A539" s="7" t="s">
        <v>31</v>
      </c>
      <c r="B539">
        <v>2015</v>
      </c>
      <c r="C539" s="7" t="s">
        <v>36</v>
      </c>
      <c r="D539" s="7" t="s">
        <v>19</v>
      </c>
      <c r="E539">
        <v>119</v>
      </c>
    </row>
    <row r="540" spans="1:5" x14ac:dyDescent="0.25">
      <c r="A540" s="7" t="s">
        <v>31</v>
      </c>
      <c r="B540">
        <v>2015</v>
      </c>
      <c r="C540" s="7" t="s">
        <v>36</v>
      </c>
      <c r="D540" s="7" t="s">
        <v>51</v>
      </c>
      <c r="E540">
        <v>119.8</v>
      </c>
    </row>
    <row r="541" spans="1:5" x14ac:dyDescent="0.25">
      <c r="A541" s="7" t="s">
        <v>31</v>
      </c>
      <c r="B541">
        <v>2015</v>
      </c>
      <c r="C541" s="7" t="s">
        <v>36</v>
      </c>
      <c r="D541" s="7" t="s">
        <v>26</v>
      </c>
      <c r="E541">
        <v>822.3</v>
      </c>
    </row>
    <row r="542" spans="1:5" x14ac:dyDescent="0.25">
      <c r="A542" s="7" t="s">
        <v>28</v>
      </c>
      <c r="B542">
        <v>2015</v>
      </c>
      <c r="C542" s="7" t="s">
        <v>37</v>
      </c>
      <c r="D542" s="7" t="s">
        <v>48</v>
      </c>
      <c r="E542">
        <v>1625.3</v>
      </c>
    </row>
    <row r="543" spans="1:5" x14ac:dyDescent="0.25">
      <c r="A543" s="7" t="s">
        <v>28</v>
      </c>
      <c r="B543">
        <v>2015</v>
      </c>
      <c r="C543" s="7" t="s">
        <v>37</v>
      </c>
      <c r="D543" s="7" t="s">
        <v>49</v>
      </c>
      <c r="E543">
        <v>129.4</v>
      </c>
    </row>
    <row r="544" spans="1:5" x14ac:dyDescent="0.25">
      <c r="A544" s="7" t="s">
        <v>28</v>
      </c>
      <c r="B544">
        <v>2015</v>
      </c>
      <c r="C544" s="7" t="s">
        <v>37</v>
      </c>
      <c r="D544" s="7" t="s">
        <v>50</v>
      </c>
      <c r="E544">
        <v>382.6</v>
      </c>
    </row>
    <row r="545" spans="1:5" x14ac:dyDescent="0.25">
      <c r="A545" s="7" t="s">
        <v>28</v>
      </c>
      <c r="B545">
        <v>2015</v>
      </c>
      <c r="C545" s="7" t="s">
        <v>37</v>
      </c>
      <c r="D545" s="7" t="s">
        <v>19</v>
      </c>
      <c r="E545">
        <v>120.4</v>
      </c>
    </row>
    <row r="546" spans="1:5" x14ac:dyDescent="0.25">
      <c r="A546" s="7" t="s">
        <v>28</v>
      </c>
      <c r="B546">
        <v>2015</v>
      </c>
      <c r="C546" s="7" t="s">
        <v>37</v>
      </c>
      <c r="D546" s="7" t="s">
        <v>51</v>
      </c>
      <c r="E546">
        <v>123</v>
      </c>
    </row>
    <row r="547" spans="1:5" x14ac:dyDescent="0.25">
      <c r="A547" s="7" t="s">
        <v>28</v>
      </c>
      <c r="B547">
        <v>2015</v>
      </c>
      <c r="C547" s="7" t="s">
        <v>37</v>
      </c>
      <c r="D547" s="7" t="s">
        <v>26</v>
      </c>
      <c r="E547">
        <v>829.6</v>
      </c>
    </row>
    <row r="548" spans="1:5" x14ac:dyDescent="0.25">
      <c r="A548" s="7" t="s">
        <v>30</v>
      </c>
      <c r="B548">
        <v>2015</v>
      </c>
      <c r="C548" s="7" t="s">
        <v>37</v>
      </c>
      <c r="D548" s="7" t="s">
        <v>48</v>
      </c>
      <c r="E548">
        <v>1642.8999999999999</v>
      </c>
    </row>
    <row r="549" spans="1:5" x14ac:dyDescent="0.25">
      <c r="A549" s="7" t="s">
        <v>30</v>
      </c>
      <c r="B549">
        <v>2015</v>
      </c>
      <c r="C549" s="7" t="s">
        <v>37</v>
      </c>
      <c r="D549" s="7" t="s">
        <v>49</v>
      </c>
      <c r="E549">
        <v>133.1</v>
      </c>
    </row>
    <row r="550" spans="1:5" x14ac:dyDescent="0.25">
      <c r="A550" s="7" t="s">
        <v>30</v>
      </c>
      <c r="B550">
        <v>2015</v>
      </c>
      <c r="C550" s="7" t="s">
        <v>37</v>
      </c>
      <c r="D550" s="7" t="s">
        <v>50</v>
      </c>
      <c r="E550">
        <v>364.1</v>
      </c>
    </row>
    <row r="551" spans="1:5" x14ac:dyDescent="0.25">
      <c r="A551" s="7" t="s">
        <v>30</v>
      </c>
      <c r="B551">
        <v>2015</v>
      </c>
      <c r="C551" s="7" t="s">
        <v>37</v>
      </c>
      <c r="D551" s="7" t="s">
        <v>19</v>
      </c>
      <c r="E551">
        <v>119.9</v>
      </c>
    </row>
    <row r="552" spans="1:5" x14ac:dyDescent="0.25">
      <c r="A552" s="7" t="s">
        <v>30</v>
      </c>
      <c r="B552">
        <v>2015</v>
      </c>
      <c r="C552" s="7" t="s">
        <v>37</v>
      </c>
      <c r="D552" s="7" t="s">
        <v>51</v>
      </c>
      <c r="E552">
        <v>115.3</v>
      </c>
    </row>
    <row r="553" spans="1:5" x14ac:dyDescent="0.25">
      <c r="A553" s="7" t="s">
        <v>30</v>
      </c>
      <c r="B553">
        <v>2015</v>
      </c>
      <c r="C553" s="7" t="s">
        <v>37</v>
      </c>
      <c r="D553" s="7" t="s">
        <v>26</v>
      </c>
      <c r="E553">
        <v>817</v>
      </c>
    </row>
    <row r="554" spans="1:5" x14ac:dyDescent="0.25">
      <c r="A554" s="7" t="s">
        <v>31</v>
      </c>
      <c r="B554">
        <v>2015</v>
      </c>
      <c r="C554" s="7" t="s">
        <v>37</v>
      </c>
      <c r="D554" s="7" t="s">
        <v>48</v>
      </c>
      <c r="E554">
        <v>1630.6000000000001</v>
      </c>
    </row>
    <row r="555" spans="1:5" x14ac:dyDescent="0.25">
      <c r="A555" s="7" t="s">
        <v>31</v>
      </c>
      <c r="B555">
        <v>2015</v>
      </c>
      <c r="C555" s="7" t="s">
        <v>37</v>
      </c>
      <c r="D555" s="7" t="s">
        <v>49</v>
      </c>
      <c r="E555">
        <v>130.4</v>
      </c>
    </row>
    <row r="556" spans="1:5" x14ac:dyDescent="0.25">
      <c r="A556" s="7" t="s">
        <v>31</v>
      </c>
      <c r="B556">
        <v>2015</v>
      </c>
      <c r="C556" s="7" t="s">
        <v>37</v>
      </c>
      <c r="D556" s="7" t="s">
        <v>50</v>
      </c>
      <c r="E556">
        <v>375.1</v>
      </c>
    </row>
    <row r="557" spans="1:5" x14ac:dyDescent="0.25">
      <c r="A557" s="7" t="s">
        <v>31</v>
      </c>
      <c r="B557">
        <v>2015</v>
      </c>
      <c r="C557" s="7" t="s">
        <v>37</v>
      </c>
      <c r="D557" s="7" t="s">
        <v>19</v>
      </c>
      <c r="E557">
        <v>119.9</v>
      </c>
    </row>
    <row r="558" spans="1:5" x14ac:dyDescent="0.25">
      <c r="A558" s="7" t="s">
        <v>31</v>
      </c>
      <c r="B558">
        <v>2015</v>
      </c>
      <c r="C558" s="7" t="s">
        <v>37</v>
      </c>
      <c r="D558" s="7" t="s">
        <v>51</v>
      </c>
      <c r="E558">
        <v>120.1</v>
      </c>
    </row>
    <row r="559" spans="1:5" x14ac:dyDescent="0.25">
      <c r="A559" s="7" t="s">
        <v>31</v>
      </c>
      <c r="B559">
        <v>2015</v>
      </c>
      <c r="C559" s="7" t="s">
        <v>37</v>
      </c>
      <c r="D559" s="7" t="s">
        <v>26</v>
      </c>
      <c r="E559">
        <v>824.1</v>
      </c>
    </row>
    <row r="560" spans="1:5" x14ac:dyDescent="0.25">
      <c r="A560" s="7" t="s">
        <v>28</v>
      </c>
      <c r="B560">
        <v>2015</v>
      </c>
      <c r="C560" s="7" t="s">
        <v>38</v>
      </c>
      <c r="D560" s="7" t="s">
        <v>48</v>
      </c>
      <c r="E560">
        <v>1646.6</v>
      </c>
    </row>
    <row r="561" spans="1:5" x14ac:dyDescent="0.25">
      <c r="A561" s="7" t="s">
        <v>28</v>
      </c>
      <c r="B561">
        <v>2015</v>
      </c>
      <c r="C561" s="7" t="s">
        <v>38</v>
      </c>
      <c r="D561" s="7" t="s">
        <v>49</v>
      </c>
      <c r="E561">
        <v>130.1</v>
      </c>
    </row>
    <row r="562" spans="1:5" x14ac:dyDescent="0.25">
      <c r="A562" s="7" t="s">
        <v>28</v>
      </c>
      <c r="B562">
        <v>2015</v>
      </c>
      <c r="C562" s="7" t="s">
        <v>38</v>
      </c>
      <c r="D562" s="7" t="s">
        <v>50</v>
      </c>
      <c r="E562">
        <v>384.8</v>
      </c>
    </row>
    <row r="563" spans="1:5" x14ac:dyDescent="0.25">
      <c r="A563" s="7" t="s">
        <v>28</v>
      </c>
      <c r="B563">
        <v>2015</v>
      </c>
      <c r="C563" s="7" t="s">
        <v>38</v>
      </c>
      <c r="D563" s="7" t="s">
        <v>19</v>
      </c>
      <c r="E563">
        <v>121.3</v>
      </c>
    </row>
    <row r="564" spans="1:5" x14ac:dyDescent="0.25">
      <c r="A564" s="7" t="s">
        <v>28</v>
      </c>
      <c r="B564">
        <v>2015</v>
      </c>
      <c r="C564" s="7" t="s">
        <v>38</v>
      </c>
      <c r="D564" s="7" t="s">
        <v>51</v>
      </c>
      <c r="E564">
        <v>123.8</v>
      </c>
    </row>
    <row r="565" spans="1:5" x14ac:dyDescent="0.25">
      <c r="A565" s="7" t="s">
        <v>28</v>
      </c>
      <c r="B565">
        <v>2015</v>
      </c>
      <c r="C565" s="7" t="s">
        <v>38</v>
      </c>
      <c r="D565" s="7" t="s">
        <v>26</v>
      </c>
      <c r="E565">
        <v>831.2</v>
      </c>
    </row>
    <row r="566" spans="1:5" x14ac:dyDescent="0.25">
      <c r="A566" s="7" t="s">
        <v>30</v>
      </c>
      <c r="B566">
        <v>2015</v>
      </c>
      <c r="C566" s="7" t="s">
        <v>38</v>
      </c>
      <c r="D566" s="7" t="s">
        <v>48</v>
      </c>
      <c r="E566">
        <v>1658.8999999999999</v>
      </c>
    </row>
    <row r="567" spans="1:5" x14ac:dyDescent="0.25">
      <c r="A567" s="7" t="s">
        <v>30</v>
      </c>
      <c r="B567">
        <v>2015</v>
      </c>
      <c r="C567" s="7" t="s">
        <v>38</v>
      </c>
      <c r="D567" s="7" t="s">
        <v>49</v>
      </c>
      <c r="E567">
        <v>134.19999999999999</v>
      </c>
    </row>
    <row r="568" spans="1:5" x14ac:dyDescent="0.25">
      <c r="A568" s="7" t="s">
        <v>30</v>
      </c>
      <c r="B568">
        <v>2015</v>
      </c>
      <c r="C568" s="7" t="s">
        <v>38</v>
      </c>
      <c r="D568" s="7" t="s">
        <v>50</v>
      </c>
      <c r="E568">
        <v>364.8</v>
      </c>
    </row>
    <row r="569" spans="1:5" x14ac:dyDescent="0.25">
      <c r="A569" s="7" t="s">
        <v>30</v>
      </c>
      <c r="B569">
        <v>2015</v>
      </c>
      <c r="C569" s="7" t="s">
        <v>38</v>
      </c>
      <c r="D569" s="7" t="s">
        <v>19</v>
      </c>
      <c r="E569">
        <v>120.9</v>
      </c>
    </row>
    <row r="570" spans="1:5" x14ac:dyDescent="0.25">
      <c r="A570" s="7" t="s">
        <v>30</v>
      </c>
      <c r="B570">
        <v>2015</v>
      </c>
      <c r="C570" s="7" t="s">
        <v>38</v>
      </c>
      <c r="D570" s="7" t="s">
        <v>51</v>
      </c>
      <c r="E570">
        <v>115.3</v>
      </c>
    </row>
    <row r="571" spans="1:5" x14ac:dyDescent="0.25">
      <c r="A571" s="7" t="s">
        <v>30</v>
      </c>
      <c r="B571">
        <v>2015</v>
      </c>
      <c r="C571" s="7" t="s">
        <v>38</v>
      </c>
      <c r="D571" s="7" t="s">
        <v>26</v>
      </c>
      <c r="E571">
        <v>818.1</v>
      </c>
    </row>
    <row r="572" spans="1:5" x14ac:dyDescent="0.25">
      <c r="A572" s="7" t="s">
        <v>31</v>
      </c>
      <c r="B572">
        <v>2015</v>
      </c>
      <c r="C572" s="7" t="s">
        <v>38</v>
      </c>
      <c r="D572" s="7" t="s">
        <v>48</v>
      </c>
      <c r="E572">
        <v>1649.6</v>
      </c>
    </row>
    <row r="573" spans="1:5" x14ac:dyDescent="0.25">
      <c r="A573" s="7" t="s">
        <v>31</v>
      </c>
      <c r="B573">
        <v>2015</v>
      </c>
      <c r="C573" s="7" t="s">
        <v>38</v>
      </c>
      <c r="D573" s="7" t="s">
        <v>49</v>
      </c>
      <c r="E573">
        <v>131.19999999999999</v>
      </c>
    </row>
    <row r="574" spans="1:5" x14ac:dyDescent="0.25">
      <c r="A574" s="7" t="s">
        <v>31</v>
      </c>
      <c r="B574">
        <v>2015</v>
      </c>
      <c r="C574" s="7" t="s">
        <v>38</v>
      </c>
      <c r="D574" s="7" t="s">
        <v>50</v>
      </c>
      <c r="E574">
        <v>376.70000000000005</v>
      </c>
    </row>
    <row r="575" spans="1:5" x14ac:dyDescent="0.25">
      <c r="A575" s="7" t="s">
        <v>31</v>
      </c>
      <c r="B575">
        <v>2015</v>
      </c>
      <c r="C575" s="7" t="s">
        <v>38</v>
      </c>
      <c r="D575" s="7" t="s">
        <v>19</v>
      </c>
      <c r="E575">
        <v>120.9</v>
      </c>
    </row>
    <row r="576" spans="1:5" x14ac:dyDescent="0.25">
      <c r="A576" s="7" t="s">
        <v>31</v>
      </c>
      <c r="B576">
        <v>2015</v>
      </c>
      <c r="C576" s="7" t="s">
        <v>38</v>
      </c>
      <c r="D576" s="7" t="s">
        <v>51</v>
      </c>
      <c r="E576">
        <v>120.6</v>
      </c>
    </row>
    <row r="577" spans="1:5" x14ac:dyDescent="0.25">
      <c r="A577" s="7" t="s">
        <v>31</v>
      </c>
      <c r="B577">
        <v>2015</v>
      </c>
      <c r="C577" s="7" t="s">
        <v>38</v>
      </c>
      <c r="D577" s="7" t="s">
        <v>26</v>
      </c>
      <c r="E577">
        <v>825.5</v>
      </c>
    </row>
    <row r="578" spans="1:5" x14ac:dyDescent="0.25">
      <c r="A578" s="7" t="s">
        <v>28</v>
      </c>
      <c r="B578">
        <v>2015</v>
      </c>
      <c r="C578" s="7" t="s">
        <v>39</v>
      </c>
      <c r="D578" s="7" t="s">
        <v>48</v>
      </c>
      <c r="E578">
        <v>1657.6000000000001</v>
      </c>
    </row>
    <row r="579" spans="1:5" x14ac:dyDescent="0.25">
      <c r="A579" s="7" t="s">
        <v>28</v>
      </c>
      <c r="B579">
        <v>2015</v>
      </c>
      <c r="C579" s="7" t="s">
        <v>39</v>
      </c>
      <c r="D579" s="7" t="s">
        <v>49</v>
      </c>
      <c r="E579">
        <v>131</v>
      </c>
    </row>
    <row r="580" spans="1:5" x14ac:dyDescent="0.25">
      <c r="A580" s="7" t="s">
        <v>28</v>
      </c>
      <c r="B580">
        <v>2015</v>
      </c>
      <c r="C580" s="7" t="s">
        <v>39</v>
      </c>
      <c r="D580" s="7" t="s">
        <v>50</v>
      </c>
      <c r="E580">
        <v>387.1</v>
      </c>
    </row>
    <row r="581" spans="1:5" x14ac:dyDescent="0.25">
      <c r="A581" s="7" t="s">
        <v>28</v>
      </c>
      <c r="B581">
        <v>2015</v>
      </c>
      <c r="C581" s="7" t="s">
        <v>39</v>
      </c>
      <c r="D581" s="7" t="s">
        <v>19</v>
      </c>
      <c r="E581">
        <v>122</v>
      </c>
    </row>
    <row r="582" spans="1:5" x14ac:dyDescent="0.25">
      <c r="A582" s="7" t="s">
        <v>28</v>
      </c>
      <c r="B582">
        <v>2015</v>
      </c>
      <c r="C582" s="7" t="s">
        <v>39</v>
      </c>
      <c r="D582" s="7" t="s">
        <v>51</v>
      </c>
      <c r="E582">
        <v>123.7</v>
      </c>
    </row>
    <row r="583" spans="1:5" x14ac:dyDescent="0.25">
      <c r="A583" s="7" t="s">
        <v>28</v>
      </c>
      <c r="B583">
        <v>2015</v>
      </c>
      <c r="C583" s="7" t="s">
        <v>39</v>
      </c>
      <c r="D583" s="7" t="s">
        <v>26</v>
      </c>
      <c r="E583">
        <v>836.3</v>
      </c>
    </row>
    <row r="584" spans="1:5" x14ac:dyDescent="0.25">
      <c r="A584" s="7" t="s">
        <v>30</v>
      </c>
      <c r="B584">
        <v>2015</v>
      </c>
      <c r="C584" s="7" t="s">
        <v>39</v>
      </c>
      <c r="D584" s="7" t="s">
        <v>48</v>
      </c>
      <c r="E584">
        <v>1664.8</v>
      </c>
    </row>
    <row r="585" spans="1:5" x14ac:dyDescent="0.25">
      <c r="A585" s="7" t="s">
        <v>30</v>
      </c>
      <c r="B585">
        <v>2015</v>
      </c>
      <c r="C585" s="7" t="s">
        <v>39</v>
      </c>
      <c r="D585" s="7" t="s">
        <v>49</v>
      </c>
      <c r="E585">
        <v>134.69999999999999</v>
      </c>
    </row>
    <row r="586" spans="1:5" x14ac:dyDescent="0.25">
      <c r="A586" s="7" t="s">
        <v>30</v>
      </c>
      <c r="B586">
        <v>2015</v>
      </c>
      <c r="C586" s="7" t="s">
        <v>39</v>
      </c>
      <c r="D586" s="7" t="s">
        <v>50</v>
      </c>
      <c r="E586">
        <v>365.8</v>
      </c>
    </row>
    <row r="587" spans="1:5" x14ac:dyDescent="0.25">
      <c r="A587" s="7" t="s">
        <v>30</v>
      </c>
      <c r="B587">
        <v>2015</v>
      </c>
      <c r="C587" s="7" t="s">
        <v>39</v>
      </c>
      <c r="D587" s="7" t="s">
        <v>19</v>
      </c>
      <c r="E587">
        <v>121.6</v>
      </c>
    </row>
    <row r="588" spans="1:5" x14ac:dyDescent="0.25">
      <c r="A588" s="7" t="s">
        <v>30</v>
      </c>
      <c r="B588">
        <v>2015</v>
      </c>
      <c r="C588" s="7" t="s">
        <v>39</v>
      </c>
      <c r="D588" s="7" t="s">
        <v>51</v>
      </c>
      <c r="E588">
        <v>115.1</v>
      </c>
    </row>
    <row r="589" spans="1:5" x14ac:dyDescent="0.25">
      <c r="A589" s="7" t="s">
        <v>30</v>
      </c>
      <c r="B589">
        <v>2015</v>
      </c>
      <c r="C589" s="7" t="s">
        <v>39</v>
      </c>
      <c r="D589" s="7" t="s">
        <v>26</v>
      </c>
      <c r="E589">
        <v>819.50000000000011</v>
      </c>
    </row>
    <row r="590" spans="1:5" x14ac:dyDescent="0.25">
      <c r="A590" s="7" t="s">
        <v>31</v>
      </c>
      <c r="B590">
        <v>2015</v>
      </c>
      <c r="C590" s="7" t="s">
        <v>39</v>
      </c>
      <c r="D590" s="7" t="s">
        <v>48</v>
      </c>
      <c r="E590">
        <v>1658.3000000000002</v>
      </c>
    </row>
    <row r="591" spans="1:5" x14ac:dyDescent="0.25">
      <c r="A591" s="7" t="s">
        <v>31</v>
      </c>
      <c r="B591">
        <v>2015</v>
      </c>
      <c r="C591" s="7" t="s">
        <v>39</v>
      </c>
      <c r="D591" s="7" t="s">
        <v>49</v>
      </c>
      <c r="E591">
        <v>132</v>
      </c>
    </row>
    <row r="592" spans="1:5" x14ac:dyDescent="0.25">
      <c r="A592" s="7" t="s">
        <v>31</v>
      </c>
      <c r="B592">
        <v>2015</v>
      </c>
      <c r="C592" s="7" t="s">
        <v>39</v>
      </c>
      <c r="D592" s="7" t="s">
        <v>50</v>
      </c>
      <c r="E592">
        <v>378.5</v>
      </c>
    </row>
    <row r="593" spans="1:5" x14ac:dyDescent="0.25">
      <c r="A593" s="7" t="s">
        <v>31</v>
      </c>
      <c r="B593">
        <v>2015</v>
      </c>
      <c r="C593" s="7" t="s">
        <v>39</v>
      </c>
      <c r="D593" s="7" t="s">
        <v>19</v>
      </c>
      <c r="E593">
        <v>121.6</v>
      </c>
    </row>
    <row r="594" spans="1:5" x14ac:dyDescent="0.25">
      <c r="A594" s="7" t="s">
        <v>31</v>
      </c>
      <c r="B594">
        <v>2015</v>
      </c>
      <c r="C594" s="7" t="s">
        <v>39</v>
      </c>
      <c r="D594" s="7" t="s">
        <v>51</v>
      </c>
      <c r="E594">
        <v>120.4</v>
      </c>
    </row>
    <row r="595" spans="1:5" x14ac:dyDescent="0.25">
      <c r="A595" s="7" t="s">
        <v>31</v>
      </c>
      <c r="B595">
        <v>2015</v>
      </c>
      <c r="C595" s="7" t="s">
        <v>39</v>
      </c>
      <c r="D595" s="7" t="s">
        <v>26</v>
      </c>
      <c r="E595">
        <v>828.6</v>
      </c>
    </row>
    <row r="596" spans="1:5" x14ac:dyDescent="0.25">
      <c r="A596" s="7" t="s">
        <v>28</v>
      </c>
      <c r="B596">
        <v>2015</v>
      </c>
      <c r="C596" s="7" t="s">
        <v>40</v>
      </c>
      <c r="D596" s="7" t="s">
        <v>48</v>
      </c>
      <c r="E596">
        <v>1674.6</v>
      </c>
    </row>
    <row r="597" spans="1:5" x14ac:dyDescent="0.25">
      <c r="A597" s="7" t="s">
        <v>28</v>
      </c>
      <c r="B597">
        <v>2015</v>
      </c>
      <c r="C597" s="7" t="s">
        <v>40</v>
      </c>
      <c r="D597" s="7" t="s">
        <v>49</v>
      </c>
      <c r="E597">
        <v>131.5</v>
      </c>
    </row>
    <row r="598" spans="1:5" x14ac:dyDescent="0.25">
      <c r="A598" s="7" t="s">
        <v>28</v>
      </c>
      <c r="B598">
        <v>2015</v>
      </c>
      <c r="C598" s="7" t="s">
        <v>40</v>
      </c>
      <c r="D598" s="7" t="s">
        <v>50</v>
      </c>
      <c r="E598">
        <v>389</v>
      </c>
    </row>
    <row r="599" spans="1:5" x14ac:dyDescent="0.25">
      <c r="A599" s="7" t="s">
        <v>28</v>
      </c>
      <c r="B599">
        <v>2015</v>
      </c>
      <c r="C599" s="7" t="s">
        <v>40</v>
      </c>
      <c r="D599" s="7" t="s">
        <v>19</v>
      </c>
      <c r="E599">
        <v>122.7</v>
      </c>
    </row>
    <row r="600" spans="1:5" x14ac:dyDescent="0.25">
      <c r="A600" s="7" t="s">
        <v>28</v>
      </c>
      <c r="B600">
        <v>2015</v>
      </c>
      <c r="C600" s="7" t="s">
        <v>40</v>
      </c>
      <c r="D600" s="7" t="s">
        <v>51</v>
      </c>
      <c r="E600">
        <v>124.4</v>
      </c>
    </row>
    <row r="601" spans="1:5" x14ac:dyDescent="0.25">
      <c r="A601" s="7" t="s">
        <v>28</v>
      </c>
      <c r="B601">
        <v>2015</v>
      </c>
      <c r="C601" s="7" t="s">
        <v>40</v>
      </c>
      <c r="D601" s="7" t="s">
        <v>26</v>
      </c>
      <c r="E601">
        <v>839.50000000000011</v>
      </c>
    </row>
    <row r="602" spans="1:5" x14ac:dyDescent="0.25">
      <c r="A602" s="7" t="s">
        <v>30</v>
      </c>
      <c r="B602">
        <v>2015</v>
      </c>
      <c r="C602" s="7" t="s">
        <v>40</v>
      </c>
      <c r="D602" s="7" t="s">
        <v>48</v>
      </c>
      <c r="E602">
        <v>1692.8000000000002</v>
      </c>
    </row>
    <row r="603" spans="1:5" x14ac:dyDescent="0.25">
      <c r="A603" s="7" t="s">
        <v>30</v>
      </c>
      <c r="B603">
        <v>2015</v>
      </c>
      <c r="C603" s="7" t="s">
        <v>40</v>
      </c>
      <c r="D603" s="7" t="s">
        <v>49</v>
      </c>
      <c r="E603">
        <v>135.30000000000001</v>
      </c>
    </row>
    <row r="604" spans="1:5" x14ac:dyDescent="0.25">
      <c r="A604" s="7" t="s">
        <v>30</v>
      </c>
      <c r="B604">
        <v>2015</v>
      </c>
      <c r="C604" s="7" t="s">
        <v>40</v>
      </c>
      <c r="D604" s="7" t="s">
        <v>50</v>
      </c>
      <c r="E604">
        <v>366.79999999999995</v>
      </c>
    </row>
    <row r="605" spans="1:5" x14ac:dyDescent="0.25">
      <c r="A605" s="7" t="s">
        <v>30</v>
      </c>
      <c r="B605">
        <v>2015</v>
      </c>
      <c r="C605" s="7" t="s">
        <v>40</v>
      </c>
      <c r="D605" s="7" t="s">
        <v>19</v>
      </c>
      <c r="E605">
        <v>122.4</v>
      </c>
    </row>
    <row r="606" spans="1:5" x14ac:dyDescent="0.25">
      <c r="A606" s="7" t="s">
        <v>30</v>
      </c>
      <c r="B606">
        <v>2015</v>
      </c>
      <c r="C606" s="7" t="s">
        <v>40</v>
      </c>
      <c r="D606" s="7" t="s">
        <v>51</v>
      </c>
      <c r="E606">
        <v>114.9</v>
      </c>
    </row>
    <row r="607" spans="1:5" x14ac:dyDescent="0.25">
      <c r="A607" s="7" t="s">
        <v>30</v>
      </c>
      <c r="B607">
        <v>2015</v>
      </c>
      <c r="C607" s="7" t="s">
        <v>40</v>
      </c>
      <c r="D607" s="7" t="s">
        <v>26</v>
      </c>
      <c r="E607">
        <v>821.9</v>
      </c>
    </row>
    <row r="608" spans="1:5" x14ac:dyDescent="0.25">
      <c r="A608" s="7" t="s">
        <v>31</v>
      </c>
      <c r="B608">
        <v>2015</v>
      </c>
      <c r="C608" s="7" t="s">
        <v>40</v>
      </c>
      <c r="D608" s="7" t="s">
        <v>48</v>
      </c>
      <c r="E608">
        <v>1678.9999999999998</v>
      </c>
    </row>
    <row r="609" spans="1:5" x14ac:dyDescent="0.25">
      <c r="A609" s="7" t="s">
        <v>31</v>
      </c>
      <c r="B609">
        <v>2015</v>
      </c>
      <c r="C609" s="7" t="s">
        <v>40</v>
      </c>
      <c r="D609" s="7" t="s">
        <v>49</v>
      </c>
      <c r="E609">
        <v>132.5</v>
      </c>
    </row>
    <row r="610" spans="1:5" x14ac:dyDescent="0.25">
      <c r="A610" s="7" t="s">
        <v>31</v>
      </c>
      <c r="B610">
        <v>2015</v>
      </c>
      <c r="C610" s="7" t="s">
        <v>40</v>
      </c>
      <c r="D610" s="7" t="s">
        <v>50</v>
      </c>
      <c r="E610">
        <v>380.1</v>
      </c>
    </row>
    <row r="611" spans="1:5" x14ac:dyDescent="0.25">
      <c r="A611" s="7" t="s">
        <v>31</v>
      </c>
      <c r="B611">
        <v>2015</v>
      </c>
      <c r="C611" s="7" t="s">
        <v>40</v>
      </c>
      <c r="D611" s="7" t="s">
        <v>19</v>
      </c>
      <c r="E611">
        <v>122.4</v>
      </c>
    </row>
    <row r="612" spans="1:5" x14ac:dyDescent="0.25">
      <c r="A612" s="7" t="s">
        <v>31</v>
      </c>
      <c r="B612">
        <v>2015</v>
      </c>
      <c r="C612" s="7" t="s">
        <v>40</v>
      </c>
      <c r="D612" s="7" t="s">
        <v>51</v>
      </c>
      <c r="E612">
        <v>120.8</v>
      </c>
    </row>
    <row r="613" spans="1:5" x14ac:dyDescent="0.25">
      <c r="A613" s="7" t="s">
        <v>31</v>
      </c>
      <c r="B613">
        <v>2015</v>
      </c>
      <c r="C613" s="7" t="s">
        <v>40</v>
      </c>
      <c r="D613" s="7" t="s">
        <v>26</v>
      </c>
      <c r="E613">
        <v>831.19999999999993</v>
      </c>
    </row>
    <row r="614" spans="1:5" x14ac:dyDescent="0.25">
      <c r="A614" s="7" t="s">
        <v>28</v>
      </c>
      <c r="B614">
        <v>2015</v>
      </c>
      <c r="C614" s="7" t="s">
        <v>42</v>
      </c>
      <c r="D614" s="7" t="s">
        <v>48</v>
      </c>
      <c r="E614">
        <v>1686.3</v>
      </c>
    </row>
    <row r="615" spans="1:5" x14ac:dyDescent="0.25">
      <c r="A615" s="7" t="s">
        <v>28</v>
      </c>
      <c r="B615">
        <v>2015</v>
      </c>
      <c r="C615" s="7" t="s">
        <v>42</v>
      </c>
      <c r="D615" s="7" t="s">
        <v>49</v>
      </c>
      <c r="E615">
        <v>132.19999999999999</v>
      </c>
    </row>
    <row r="616" spans="1:5" x14ac:dyDescent="0.25">
      <c r="A616" s="7" t="s">
        <v>28</v>
      </c>
      <c r="B616">
        <v>2015</v>
      </c>
      <c r="C616" s="7" t="s">
        <v>42</v>
      </c>
      <c r="D616" s="7" t="s">
        <v>50</v>
      </c>
      <c r="E616">
        <v>391.79999999999995</v>
      </c>
    </row>
    <row r="617" spans="1:5" x14ac:dyDescent="0.25">
      <c r="A617" s="7" t="s">
        <v>28</v>
      </c>
      <c r="B617">
        <v>2015</v>
      </c>
      <c r="C617" s="7" t="s">
        <v>42</v>
      </c>
      <c r="D617" s="7" t="s">
        <v>19</v>
      </c>
      <c r="E617">
        <v>122.7</v>
      </c>
    </row>
    <row r="618" spans="1:5" x14ac:dyDescent="0.25">
      <c r="A618" s="7" t="s">
        <v>28</v>
      </c>
      <c r="B618">
        <v>2015</v>
      </c>
      <c r="C618" s="7" t="s">
        <v>42</v>
      </c>
      <c r="D618" s="7" t="s">
        <v>51</v>
      </c>
      <c r="E618">
        <v>125.6</v>
      </c>
    </row>
    <row r="619" spans="1:5" x14ac:dyDescent="0.25">
      <c r="A619" s="7" t="s">
        <v>28</v>
      </c>
      <c r="B619">
        <v>2015</v>
      </c>
      <c r="C619" s="7" t="s">
        <v>42</v>
      </c>
      <c r="D619" s="7" t="s">
        <v>26</v>
      </c>
      <c r="E619">
        <v>842.7</v>
      </c>
    </row>
    <row r="620" spans="1:5" x14ac:dyDescent="0.25">
      <c r="A620" s="7" t="s">
        <v>30</v>
      </c>
      <c r="B620">
        <v>2015</v>
      </c>
      <c r="C620" s="7" t="s">
        <v>42</v>
      </c>
      <c r="D620" s="7" t="s">
        <v>48</v>
      </c>
      <c r="E620">
        <v>1708.4999999999998</v>
      </c>
    </row>
    <row r="621" spans="1:5" x14ac:dyDescent="0.25">
      <c r="A621" s="7" t="s">
        <v>30</v>
      </c>
      <c r="B621">
        <v>2015</v>
      </c>
      <c r="C621" s="7" t="s">
        <v>42</v>
      </c>
      <c r="D621" s="7" t="s">
        <v>49</v>
      </c>
      <c r="E621">
        <v>137.6</v>
      </c>
    </row>
    <row r="622" spans="1:5" x14ac:dyDescent="0.25">
      <c r="A622" s="7" t="s">
        <v>30</v>
      </c>
      <c r="B622">
        <v>2015</v>
      </c>
      <c r="C622" s="7" t="s">
        <v>42</v>
      </c>
      <c r="D622" s="7" t="s">
        <v>50</v>
      </c>
      <c r="E622">
        <v>368.5</v>
      </c>
    </row>
    <row r="623" spans="1:5" x14ac:dyDescent="0.25">
      <c r="A623" s="7" t="s">
        <v>30</v>
      </c>
      <c r="B623">
        <v>2015</v>
      </c>
      <c r="C623" s="7" t="s">
        <v>42</v>
      </c>
      <c r="D623" s="7" t="s">
        <v>19</v>
      </c>
      <c r="E623">
        <v>122.9</v>
      </c>
    </row>
    <row r="624" spans="1:5" x14ac:dyDescent="0.25">
      <c r="A624" s="7" t="s">
        <v>30</v>
      </c>
      <c r="B624">
        <v>2015</v>
      </c>
      <c r="C624" s="7" t="s">
        <v>42</v>
      </c>
      <c r="D624" s="7" t="s">
        <v>51</v>
      </c>
      <c r="E624">
        <v>115.1</v>
      </c>
    </row>
    <row r="625" spans="1:5" x14ac:dyDescent="0.25">
      <c r="A625" s="7" t="s">
        <v>30</v>
      </c>
      <c r="B625">
        <v>2015</v>
      </c>
      <c r="C625" s="7" t="s">
        <v>42</v>
      </c>
      <c r="D625" s="7" t="s">
        <v>26</v>
      </c>
      <c r="E625">
        <v>822.8</v>
      </c>
    </row>
    <row r="626" spans="1:5" x14ac:dyDescent="0.25">
      <c r="A626" s="7" t="s">
        <v>31</v>
      </c>
      <c r="B626">
        <v>2015</v>
      </c>
      <c r="C626" s="7" t="s">
        <v>42</v>
      </c>
      <c r="D626" s="7" t="s">
        <v>48</v>
      </c>
      <c r="E626">
        <v>1692.1</v>
      </c>
    </row>
    <row r="627" spans="1:5" x14ac:dyDescent="0.25">
      <c r="A627" s="7" t="s">
        <v>31</v>
      </c>
      <c r="B627">
        <v>2015</v>
      </c>
      <c r="C627" s="7" t="s">
        <v>42</v>
      </c>
      <c r="D627" s="7" t="s">
        <v>49</v>
      </c>
      <c r="E627">
        <v>133.6</v>
      </c>
    </row>
    <row r="628" spans="1:5" x14ac:dyDescent="0.25">
      <c r="A628" s="7" t="s">
        <v>31</v>
      </c>
      <c r="B628">
        <v>2015</v>
      </c>
      <c r="C628" s="7" t="s">
        <v>42</v>
      </c>
      <c r="D628" s="7" t="s">
        <v>50</v>
      </c>
      <c r="E628">
        <v>382.4</v>
      </c>
    </row>
    <row r="629" spans="1:5" x14ac:dyDescent="0.25">
      <c r="A629" s="7" t="s">
        <v>31</v>
      </c>
      <c r="B629">
        <v>2015</v>
      </c>
      <c r="C629" s="7" t="s">
        <v>42</v>
      </c>
      <c r="D629" s="7" t="s">
        <v>19</v>
      </c>
      <c r="E629">
        <v>122.9</v>
      </c>
    </row>
    <row r="630" spans="1:5" x14ac:dyDescent="0.25">
      <c r="A630" s="7" t="s">
        <v>31</v>
      </c>
      <c r="B630">
        <v>2015</v>
      </c>
      <c r="C630" s="7" t="s">
        <v>42</v>
      </c>
      <c r="D630" s="7" t="s">
        <v>51</v>
      </c>
      <c r="E630">
        <v>121.6</v>
      </c>
    </row>
    <row r="631" spans="1:5" x14ac:dyDescent="0.25">
      <c r="A631" s="7" t="s">
        <v>31</v>
      </c>
      <c r="B631">
        <v>2015</v>
      </c>
      <c r="C631" s="7" t="s">
        <v>42</v>
      </c>
      <c r="D631" s="7" t="s">
        <v>26</v>
      </c>
      <c r="E631">
        <v>833.19999999999993</v>
      </c>
    </row>
    <row r="632" spans="1:5" x14ac:dyDescent="0.25">
      <c r="A632" s="7" t="s">
        <v>28</v>
      </c>
      <c r="B632">
        <v>2015</v>
      </c>
      <c r="C632" s="7" t="s">
        <v>43</v>
      </c>
      <c r="D632" s="7" t="s">
        <v>48</v>
      </c>
      <c r="E632">
        <v>1682.3000000000002</v>
      </c>
    </row>
    <row r="633" spans="1:5" x14ac:dyDescent="0.25">
      <c r="A633" s="7" t="s">
        <v>28</v>
      </c>
      <c r="B633">
        <v>2015</v>
      </c>
      <c r="C633" s="7" t="s">
        <v>43</v>
      </c>
      <c r="D633" s="7" t="s">
        <v>49</v>
      </c>
      <c r="E633">
        <v>133.1</v>
      </c>
    </row>
    <row r="634" spans="1:5" x14ac:dyDescent="0.25">
      <c r="A634" s="7" t="s">
        <v>28</v>
      </c>
      <c r="B634">
        <v>2015</v>
      </c>
      <c r="C634" s="7" t="s">
        <v>43</v>
      </c>
      <c r="D634" s="7" t="s">
        <v>50</v>
      </c>
      <c r="E634">
        <v>392.9</v>
      </c>
    </row>
    <row r="635" spans="1:5" x14ac:dyDescent="0.25">
      <c r="A635" s="7" t="s">
        <v>28</v>
      </c>
      <c r="B635">
        <v>2015</v>
      </c>
      <c r="C635" s="7" t="s">
        <v>43</v>
      </c>
      <c r="D635" s="7" t="s">
        <v>19</v>
      </c>
      <c r="E635">
        <v>122.9</v>
      </c>
    </row>
    <row r="636" spans="1:5" x14ac:dyDescent="0.25">
      <c r="A636" s="7" t="s">
        <v>28</v>
      </c>
      <c r="B636">
        <v>2015</v>
      </c>
      <c r="C636" s="7" t="s">
        <v>43</v>
      </c>
      <c r="D636" s="7" t="s">
        <v>51</v>
      </c>
      <c r="E636">
        <v>125.7</v>
      </c>
    </row>
    <row r="637" spans="1:5" x14ac:dyDescent="0.25">
      <c r="A637" s="7" t="s">
        <v>28</v>
      </c>
      <c r="B637">
        <v>2015</v>
      </c>
      <c r="C637" s="7" t="s">
        <v>43</v>
      </c>
      <c r="D637" s="7" t="s">
        <v>26</v>
      </c>
      <c r="E637">
        <v>844.2</v>
      </c>
    </row>
    <row r="638" spans="1:5" x14ac:dyDescent="0.25">
      <c r="A638" s="7" t="s">
        <v>30</v>
      </c>
      <c r="B638">
        <v>2015</v>
      </c>
      <c r="C638" s="7" t="s">
        <v>43</v>
      </c>
      <c r="D638" s="7" t="s">
        <v>48</v>
      </c>
      <c r="E638">
        <v>1698.8</v>
      </c>
    </row>
    <row r="639" spans="1:5" x14ac:dyDescent="0.25">
      <c r="A639" s="7" t="s">
        <v>30</v>
      </c>
      <c r="B639">
        <v>2015</v>
      </c>
      <c r="C639" s="7" t="s">
        <v>43</v>
      </c>
      <c r="D639" s="7" t="s">
        <v>49</v>
      </c>
      <c r="E639">
        <v>138.19999999999999</v>
      </c>
    </row>
    <row r="640" spans="1:5" x14ac:dyDescent="0.25">
      <c r="A640" s="7" t="s">
        <v>30</v>
      </c>
      <c r="B640">
        <v>2015</v>
      </c>
      <c r="C640" s="7" t="s">
        <v>43</v>
      </c>
      <c r="D640" s="7" t="s">
        <v>50</v>
      </c>
      <c r="E640">
        <v>369.4</v>
      </c>
    </row>
    <row r="641" spans="1:5" x14ac:dyDescent="0.25">
      <c r="A641" s="7" t="s">
        <v>30</v>
      </c>
      <c r="B641">
        <v>2015</v>
      </c>
      <c r="C641" s="7" t="s">
        <v>43</v>
      </c>
      <c r="D641" s="7" t="s">
        <v>19</v>
      </c>
      <c r="E641">
        <v>122.4</v>
      </c>
    </row>
    <row r="642" spans="1:5" x14ac:dyDescent="0.25">
      <c r="A642" s="7" t="s">
        <v>30</v>
      </c>
      <c r="B642">
        <v>2015</v>
      </c>
      <c r="C642" s="7" t="s">
        <v>43</v>
      </c>
      <c r="D642" s="7" t="s">
        <v>51</v>
      </c>
      <c r="E642">
        <v>116</v>
      </c>
    </row>
    <row r="643" spans="1:5" x14ac:dyDescent="0.25">
      <c r="A643" s="7" t="s">
        <v>30</v>
      </c>
      <c r="B643">
        <v>2015</v>
      </c>
      <c r="C643" s="7" t="s">
        <v>43</v>
      </c>
      <c r="D643" s="7" t="s">
        <v>26</v>
      </c>
      <c r="E643">
        <v>823.50000000000011</v>
      </c>
    </row>
    <row r="644" spans="1:5" x14ac:dyDescent="0.25">
      <c r="A644" s="7" t="s">
        <v>31</v>
      </c>
      <c r="B644">
        <v>2015</v>
      </c>
      <c r="C644" s="7" t="s">
        <v>43</v>
      </c>
      <c r="D644" s="7" t="s">
        <v>48</v>
      </c>
      <c r="E644">
        <v>1686.1000000000001</v>
      </c>
    </row>
    <row r="645" spans="1:5" x14ac:dyDescent="0.25">
      <c r="A645" s="7" t="s">
        <v>31</v>
      </c>
      <c r="B645">
        <v>2015</v>
      </c>
      <c r="C645" s="7" t="s">
        <v>43</v>
      </c>
      <c r="D645" s="7" t="s">
        <v>49</v>
      </c>
      <c r="E645">
        <v>134.5</v>
      </c>
    </row>
    <row r="646" spans="1:5" x14ac:dyDescent="0.25">
      <c r="A646" s="7" t="s">
        <v>31</v>
      </c>
      <c r="B646">
        <v>2015</v>
      </c>
      <c r="C646" s="7" t="s">
        <v>43</v>
      </c>
      <c r="D646" s="7" t="s">
        <v>50</v>
      </c>
      <c r="E646">
        <v>383.5</v>
      </c>
    </row>
    <row r="647" spans="1:5" x14ac:dyDescent="0.25">
      <c r="A647" s="7" t="s">
        <v>31</v>
      </c>
      <c r="B647">
        <v>2015</v>
      </c>
      <c r="C647" s="7" t="s">
        <v>43</v>
      </c>
      <c r="D647" s="7" t="s">
        <v>19</v>
      </c>
      <c r="E647">
        <v>122.4</v>
      </c>
    </row>
    <row r="648" spans="1:5" x14ac:dyDescent="0.25">
      <c r="A648" s="7" t="s">
        <v>31</v>
      </c>
      <c r="B648">
        <v>2015</v>
      </c>
      <c r="C648" s="7" t="s">
        <v>43</v>
      </c>
      <c r="D648" s="7" t="s">
        <v>51</v>
      </c>
      <c r="E648">
        <v>122</v>
      </c>
    </row>
    <row r="649" spans="1:5" x14ac:dyDescent="0.25">
      <c r="A649" s="7" t="s">
        <v>31</v>
      </c>
      <c r="B649">
        <v>2015</v>
      </c>
      <c r="C649" s="7" t="s">
        <v>43</v>
      </c>
      <c r="D649" s="7" t="s">
        <v>26</v>
      </c>
      <c r="E649">
        <v>834.30000000000007</v>
      </c>
    </row>
    <row r="650" spans="1:5" x14ac:dyDescent="0.25">
      <c r="A650" s="7" t="s">
        <v>28</v>
      </c>
      <c r="B650">
        <v>2016</v>
      </c>
      <c r="C650" s="7" t="s">
        <v>29</v>
      </c>
      <c r="D650" s="7" t="s">
        <v>48</v>
      </c>
      <c r="E650">
        <v>1690.1000000000001</v>
      </c>
    </row>
    <row r="651" spans="1:5" x14ac:dyDescent="0.25">
      <c r="A651" s="7" t="s">
        <v>28</v>
      </c>
      <c r="B651">
        <v>2016</v>
      </c>
      <c r="C651" s="7" t="s">
        <v>29</v>
      </c>
      <c r="D651" s="7" t="s">
        <v>49</v>
      </c>
      <c r="E651">
        <v>133.6</v>
      </c>
    </row>
    <row r="652" spans="1:5" x14ac:dyDescent="0.25">
      <c r="A652" s="7" t="s">
        <v>28</v>
      </c>
      <c r="B652">
        <v>2016</v>
      </c>
      <c r="C652" s="7" t="s">
        <v>29</v>
      </c>
      <c r="D652" s="7" t="s">
        <v>50</v>
      </c>
      <c r="E652">
        <v>394.70000000000005</v>
      </c>
    </row>
    <row r="653" spans="1:5" x14ac:dyDescent="0.25">
      <c r="A653" s="7" t="s">
        <v>28</v>
      </c>
      <c r="B653">
        <v>2016</v>
      </c>
      <c r="C653" s="7" t="s">
        <v>29</v>
      </c>
      <c r="D653" s="7" t="s">
        <v>19</v>
      </c>
      <c r="E653">
        <v>123.9</v>
      </c>
    </row>
    <row r="654" spans="1:5" x14ac:dyDescent="0.25">
      <c r="A654" s="7" t="s">
        <v>28</v>
      </c>
      <c r="B654">
        <v>2016</v>
      </c>
      <c r="C654" s="7" t="s">
        <v>29</v>
      </c>
      <c r="D654" s="7" t="s">
        <v>51</v>
      </c>
      <c r="E654">
        <v>126.2</v>
      </c>
    </row>
    <row r="655" spans="1:5" x14ac:dyDescent="0.25">
      <c r="A655" s="7" t="s">
        <v>28</v>
      </c>
      <c r="B655">
        <v>2016</v>
      </c>
      <c r="C655" s="7" t="s">
        <v>29</v>
      </c>
      <c r="D655" s="7" t="s">
        <v>26</v>
      </c>
      <c r="E655">
        <v>846.5</v>
      </c>
    </row>
    <row r="656" spans="1:5" x14ac:dyDescent="0.25">
      <c r="A656" s="7" t="s">
        <v>30</v>
      </c>
      <c r="B656">
        <v>2016</v>
      </c>
      <c r="C656" s="7" t="s">
        <v>29</v>
      </c>
      <c r="D656" s="7" t="s">
        <v>48</v>
      </c>
      <c r="E656">
        <v>1701.4</v>
      </c>
    </row>
    <row r="657" spans="1:5" x14ac:dyDescent="0.25">
      <c r="A657" s="7" t="s">
        <v>30</v>
      </c>
      <c r="B657">
        <v>2016</v>
      </c>
      <c r="C657" s="7" t="s">
        <v>29</v>
      </c>
      <c r="D657" s="7" t="s">
        <v>49</v>
      </c>
      <c r="E657">
        <v>139.5</v>
      </c>
    </row>
    <row r="658" spans="1:5" x14ac:dyDescent="0.25">
      <c r="A658" s="7" t="s">
        <v>30</v>
      </c>
      <c r="B658">
        <v>2016</v>
      </c>
      <c r="C658" s="7" t="s">
        <v>29</v>
      </c>
      <c r="D658" s="7" t="s">
        <v>50</v>
      </c>
      <c r="E658">
        <v>370.5</v>
      </c>
    </row>
    <row r="659" spans="1:5" x14ac:dyDescent="0.25">
      <c r="A659" s="7" t="s">
        <v>30</v>
      </c>
      <c r="B659">
        <v>2016</v>
      </c>
      <c r="C659" s="7" t="s">
        <v>29</v>
      </c>
      <c r="D659" s="7" t="s">
        <v>19</v>
      </c>
      <c r="E659">
        <v>123.4</v>
      </c>
    </row>
    <row r="660" spans="1:5" x14ac:dyDescent="0.25">
      <c r="A660" s="7" t="s">
        <v>30</v>
      </c>
      <c r="B660">
        <v>2016</v>
      </c>
      <c r="C660" s="7" t="s">
        <v>29</v>
      </c>
      <c r="D660" s="7" t="s">
        <v>51</v>
      </c>
      <c r="E660">
        <v>116.9</v>
      </c>
    </row>
    <row r="661" spans="1:5" x14ac:dyDescent="0.25">
      <c r="A661" s="7" t="s">
        <v>30</v>
      </c>
      <c r="B661">
        <v>2016</v>
      </c>
      <c r="C661" s="7" t="s">
        <v>29</v>
      </c>
      <c r="D661" s="7" t="s">
        <v>26</v>
      </c>
      <c r="E661">
        <v>825.3</v>
      </c>
    </row>
    <row r="662" spans="1:5" x14ac:dyDescent="0.25">
      <c r="A662" s="7" t="s">
        <v>31</v>
      </c>
      <c r="B662">
        <v>2016</v>
      </c>
      <c r="C662" s="7" t="s">
        <v>29</v>
      </c>
      <c r="D662" s="7" t="s">
        <v>48</v>
      </c>
      <c r="E662">
        <v>1691.7</v>
      </c>
    </row>
    <row r="663" spans="1:5" x14ac:dyDescent="0.25">
      <c r="A663" s="7" t="s">
        <v>31</v>
      </c>
      <c r="B663">
        <v>2016</v>
      </c>
      <c r="C663" s="7" t="s">
        <v>29</v>
      </c>
      <c r="D663" s="7" t="s">
        <v>49</v>
      </c>
      <c r="E663">
        <v>135.19999999999999</v>
      </c>
    </row>
    <row r="664" spans="1:5" x14ac:dyDescent="0.25">
      <c r="A664" s="7" t="s">
        <v>31</v>
      </c>
      <c r="B664">
        <v>2016</v>
      </c>
      <c r="C664" s="7" t="s">
        <v>29</v>
      </c>
      <c r="D664" s="7" t="s">
        <v>50</v>
      </c>
      <c r="E664">
        <v>384.9</v>
      </c>
    </row>
    <row r="665" spans="1:5" x14ac:dyDescent="0.25">
      <c r="A665" s="7" t="s">
        <v>31</v>
      </c>
      <c r="B665">
        <v>2016</v>
      </c>
      <c r="C665" s="7" t="s">
        <v>29</v>
      </c>
      <c r="D665" s="7" t="s">
        <v>19</v>
      </c>
      <c r="E665">
        <v>123.4</v>
      </c>
    </row>
    <row r="666" spans="1:5" x14ac:dyDescent="0.25">
      <c r="A666" s="7" t="s">
        <v>31</v>
      </c>
      <c r="B666">
        <v>2016</v>
      </c>
      <c r="C666" s="7" t="s">
        <v>29</v>
      </c>
      <c r="D666" s="7" t="s">
        <v>51</v>
      </c>
      <c r="E666">
        <v>122.7</v>
      </c>
    </row>
    <row r="667" spans="1:5" x14ac:dyDescent="0.25">
      <c r="A667" s="7" t="s">
        <v>31</v>
      </c>
      <c r="B667">
        <v>2016</v>
      </c>
      <c r="C667" s="7" t="s">
        <v>29</v>
      </c>
      <c r="D667" s="7" t="s">
        <v>26</v>
      </c>
      <c r="E667">
        <v>836.4</v>
      </c>
    </row>
    <row r="668" spans="1:5" x14ac:dyDescent="0.25">
      <c r="A668" s="7" t="s">
        <v>28</v>
      </c>
      <c r="B668">
        <v>2016</v>
      </c>
      <c r="C668" s="7" t="s">
        <v>32</v>
      </c>
      <c r="D668" s="7" t="s">
        <v>48</v>
      </c>
      <c r="E668">
        <v>1682.6</v>
      </c>
    </row>
    <row r="669" spans="1:5" x14ac:dyDescent="0.25">
      <c r="A669" s="7" t="s">
        <v>28</v>
      </c>
      <c r="B669">
        <v>2016</v>
      </c>
      <c r="C669" s="7" t="s">
        <v>32</v>
      </c>
      <c r="D669" s="7" t="s">
        <v>49</v>
      </c>
      <c r="E669">
        <v>134.4</v>
      </c>
    </row>
    <row r="670" spans="1:5" x14ac:dyDescent="0.25">
      <c r="A670" s="7" t="s">
        <v>28</v>
      </c>
      <c r="B670">
        <v>2016</v>
      </c>
      <c r="C670" s="7" t="s">
        <v>32</v>
      </c>
      <c r="D670" s="7" t="s">
        <v>50</v>
      </c>
      <c r="E670">
        <v>397.1</v>
      </c>
    </row>
    <row r="671" spans="1:5" x14ac:dyDescent="0.25">
      <c r="A671" s="7" t="s">
        <v>28</v>
      </c>
      <c r="B671">
        <v>2016</v>
      </c>
      <c r="C671" s="7" t="s">
        <v>32</v>
      </c>
      <c r="D671" s="7" t="s">
        <v>19</v>
      </c>
      <c r="E671">
        <v>124.7</v>
      </c>
    </row>
    <row r="672" spans="1:5" x14ac:dyDescent="0.25">
      <c r="A672" s="7" t="s">
        <v>28</v>
      </c>
      <c r="B672">
        <v>2016</v>
      </c>
      <c r="C672" s="7" t="s">
        <v>32</v>
      </c>
      <c r="D672" s="7" t="s">
        <v>51</v>
      </c>
      <c r="E672">
        <v>127.5</v>
      </c>
    </row>
    <row r="673" spans="1:5" x14ac:dyDescent="0.25">
      <c r="A673" s="7" t="s">
        <v>28</v>
      </c>
      <c r="B673">
        <v>2016</v>
      </c>
      <c r="C673" s="7" t="s">
        <v>32</v>
      </c>
      <c r="D673" s="7" t="s">
        <v>26</v>
      </c>
      <c r="E673">
        <v>852.39999999999986</v>
      </c>
    </row>
    <row r="674" spans="1:5" x14ac:dyDescent="0.25">
      <c r="A674" s="7" t="s">
        <v>30</v>
      </c>
      <c r="B674">
        <v>2016</v>
      </c>
      <c r="C674" s="7" t="s">
        <v>32</v>
      </c>
      <c r="D674" s="7" t="s">
        <v>48</v>
      </c>
      <c r="E674">
        <v>1676.1</v>
      </c>
    </row>
    <row r="675" spans="1:5" x14ac:dyDescent="0.25">
      <c r="A675" s="7" t="s">
        <v>30</v>
      </c>
      <c r="B675">
        <v>2016</v>
      </c>
      <c r="C675" s="7" t="s">
        <v>32</v>
      </c>
      <c r="D675" s="7" t="s">
        <v>49</v>
      </c>
      <c r="E675">
        <v>140</v>
      </c>
    </row>
    <row r="676" spans="1:5" x14ac:dyDescent="0.25">
      <c r="A676" s="7" t="s">
        <v>30</v>
      </c>
      <c r="B676">
        <v>2016</v>
      </c>
      <c r="C676" s="7" t="s">
        <v>32</v>
      </c>
      <c r="D676" s="7" t="s">
        <v>50</v>
      </c>
      <c r="E676">
        <v>371.6</v>
      </c>
    </row>
    <row r="677" spans="1:5" x14ac:dyDescent="0.25">
      <c r="A677" s="7" t="s">
        <v>30</v>
      </c>
      <c r="B677">
        <v>2016</v>
      </c>
      <c r="C677" s="7" t="s">
        <v>32</v>
      </c>
      <c r="D677" s="7" t="s">
        <v>19</v>
      </c>
      <c r="E677">
        <v>124.4</v>
      </c>
    </row>
    <row r="678" spans="1:5" x14ac:dyDescent="0.25">
      <c r="A678" s="7" t="s">
        <v>30</v>
      </c>
      <c r="B678">
        <v>2016</v>
      </c>
      <c r="C678" s="7" t="s">
        <v>32</v>
      </c>
      <c r="D678" s="7" t="s">
        <v>51</v>
      </c>
      <c r="E678">
        <v>116</v>
      </c>
    </row>
    <row r="679" spans="1:5" x14ac:dyDescent="0.25">
      <c r="A679" s="7" t="s">
        <v>30</v>
      </c>
      <c r="B679">
        <v>2016</v>
      </c>
      <c r="C679" s="7" t="s">
        <v>32</v>
      </c>
      <c r="D679" s="7" t="s">
        <v>26</v>
      </c>
      <c r="E679">
        <v>828.90000000000009</v>
      </c>
    </row>
    <row r="680" spans="1:5" x14ac:dyDescent="0.25">
      <c r="A680" s="7" t="s">
        <v>31</v>
      </c>
      <c r="B680">
        <v>2016</v>
      </c>
      <c r="C680" s="7" t="s">
        <v>32</v>
      </c>
      <c r="D680" s="7" t="s">
        <v>48</v>
      </c>
      <c r="E680">
        <v>1678.1</v>
      </c>
    </row>
    <row r="681" spans="1:5" x14ac:dyDescent="0.25">
      <c r="A681" s="7" t="s">
        <v>31</v>
      </c>
      <c r="B681">
        <v>2016</v>
      </c>
      <c r="C681" s="7" t="s">
        <v>32</v>
      </c>
      <c r="D681" s="7" t="s">
        <v>49</v>
      </c>
      <c r="E681">
        <v>135.9</v>
      </c>
    </row>
    <row r="682" spans="1:5" x14ac:dyDescent="0.25">
      <c r="A682" s="7" t="s">
        <v>31</v>
      </c>
      <c r="B682">
        <v>2016</v>
      </c>
      <c r="C682" s="7" t="s">
        <v>32</v>
      </c>
      <c r="D682" s="7" t="s">
        <v>50</v>
      </c>
      <c r="E682">
        <v>386.9</v>
      </c>
    </row>
    <row r="683" spans="1:5" x14ac:dyDescent="0.25">
      <c r="A683" s="7" t="s">
        <v>31</v>
      </c>
      <c r="B683">
        <v>2016</v>
      </c>
      <c r="C683" s="7" t="s">
        <v>32</v>
      </c>
      <c r="D683" s="7" t="s">
        <v>19</v>
      </c>
      <c r="E683">
        <v>124.4</v>
      </c>
    </row>
    <row r="684" spans="1:5" x14ac:dyDescent="0.25">
      <c r="A684" s="7" t="s">
        <v>31</v>
      </c>
      <c r="B684">
        <v>2016</v>
      </c>
      <c r="C684" s="7" t="s">
        <v>32</v>
      </c>
      <c r="D684" s="7" t="s">
        <v>51</v>
      </c>
      <c r="E684">
        <v>123.1</v>
      </c>
    </row>
    <row r="685" spans="1:5" x14ac:dyDescent="0.25">
      <c r="A685" s="7" t="s">
        <v>31</v>
      </c>
      <c r="B685">
        <v>2016</v>
      </c>
      <c r="C685" s="7" t="s">
        <v>32</v>
      </c>
      <c r="D685" s="7" t="s">
        <v>26</v>
      </c>
      <c r="E685">
        <v>841.1</v>
      </c>
    </row>
    <row r="686" spans="1:5" x14ac:dyDescent="0.25">
      <c r="A686" s="7" t="s">
        <v>28</v>
      </c>
      <c r="B686">
        <v>2016</v>
      </c>
      <c r="C686" s="7" t="s">
        <v>33</v>
      </c>
      <c r="D686" s="7" t="s">
        <v>48</v>
      </c>
      <c r="E686">
        <v>1682.7000000000003</v>
      </c>
    </row>
    <row r="687" spans="1:5" x14ac:dyDescent="0.25">
      <c r="A687" s="7" t="s">
        <v>28</v>
      </c>
      <c r="B687">
        <v>2016</v>
      </c>
      <c r="C687" s="7" t="s">
        <v>33</v>
      </c>
      <c r="D687" s="7" t="s">
        <v>49</v>
      </c>
      <c r="E687">
        <v>135</v>
      </c>
    </row>
    <row r="688" spans="1:5" x14ac:dyDescent="0.25">
      <c r="A688" s="7" t="s">
        <v>28</v>
      </c>
      <c r="B688">
        <v>2016</v>
      </c>
      <c r="C688" s="7" t="s">
        <v>33</v>
      </c>
      <c r="D688" s="7" t="s">
        <v>50</v>
      </c>
      <c r="E688">
        <v>398.40000000000003</v>
      </c>
    </row>
    <row r="689" spans="1:5" x14ac:dyDescent="0.25">
      <c r="A689" s="7" t="s">
        <v>28</v>
      </c>
      <c r="B689">
        <v>2016</v>
      </c>
      <c r="C689" s="7" t="s">
        <v>33</v>
      </c>
      <c r="D689" s="7" t="s">
        <v>19</v>
      </c>
      <c r="E689">
        <v>125.3</v>
      </c>
    </row>
    <row r="690" spans="1:5" x14ac:dyDescent="0.25">
      <c r="A690" s="7" t="s">
        <v>28</v>
      </c>
      <c r="B690">
        <v>2016</v>
      </c>
      <c r="C690" s="7" t="s">
        <v>33</v>
      </c>
      <c r="D690" s="7" t="s">
        <v>51</v>
      </c>
      <c r="E690">
        <v>127</v>
      </c>
    </row>
    <row r="691" spans="1:5" x14ac:dyDescent="0.25">
      <c r="A691" s="7" t="s">
        <v>28</v>
      </c>
      <c r="B691">
        <v>2016</v>
      </c>
      <c r="C691" s="7" t="s">
        <v>33</v>
      </c>
      <c r="D691" s="7" t="s">
        <v>26</v>
      </c>
      <c r="E691">
        <v>854.6</v>
      </c>
    </row>
    <row r="692" spans="1:5" x14ac:dyDescent="0.25">
      <c r="A692" s="7" t="s">
        <v>30</v>
      </c>
      <c r="B692">
        <v>2016</v>
      </c>
      <c r="C692" s="7" t="s">
        <v>33</v>
      </c>
      <c r="D692" s="7" t="s">
        <v>48</v>
      </c>
      <c r="E692">
        <v>1667.6000000000001</v>
      </c>
    </row>
    <row r="693" spans="1:5" x14ac:dyDescent="0.25">
      <c r="A693" s="7" t="s">
        <v>30</v>
      </c>
      <c r="B693">
        <v>2016</v>
      </c>
      <c r="C693" s="7" t="s">
        <v>33</v>
      </c>
      <c r="D693" s="7" t="s">
        <v>49</v>
      </c>
      <c r="E693">
        <v>140.6</v>
      </c>
    </row>
    <row r="694" spans="1:5" x14ac:dyDescent="0.25">
      <c r="A694" s="7" t="s">
        <v>30</v>
      </c>
      <c r="B694">
        <v>2016</v>
      </c>
      <c r="C694" s="7" t="s">
        <v>33</v>
      </c>
      <c r="D694" s="7" t="s">
        <v>50</v>
      </c>
      <c r="E694">
        <v>372.2</v>
      </c>
    </row>
    <row r="695" spans="1:5" x14ac:dyDescent="0.25">
      <c r="A695" s="7" t="s">
        <v>30</v>
      </c>
      <c r="B695">
        <v>2016</v>
      </c>
      <c r="C695" s="7" t="s">
        <v>33</v>
      </c>
      <c r="D695" s="7" t="s">
        <v>19</v>
      </c>
      <c r="E695">
        <v>124.9</v>
      </c>
    </row>
    <row r="696" spans="1:5" x14ac:dyDescent="0.25">
      <c r="A696" s="7" t="s">
        <v>30</v>
      </c>
      <c r="B696">
        <v>2016</v>
      </c>
      <c r="C696" s="7" t="s">
        <v>33</v>
      </c>
      <c r="D696" s="7" t="s">
        <v>51</v>
      </c>
      <c r="E696">
        <v>114.8</v>
      </c>
    </row>
    <row r="697" spans="1:5" x14ac:dyDescent="0.25">
      <c r="A697" s="7" t="s">
        <v>30</v>
      </c>
      <c r="B697">
        <v>2016</v>
      </c>
      <c r="C697" s="7" t="s">
        <v>33</v>
      </c>
      <c r="D697" s="7" t="s">
        <v>26</v>
      </c>
      <c r="E697">
        <v>830.4</v>
      </c>
    </row>
    <row r="698" spans="1:5" x14ac:dyDescent="0.25">
      <c r="A698" s="7" t="s">
        <v>31</v>
      </c>
      <c r="B698">
        <v>2016</v>
      </c>
      <c r="C698" s="7" t="s">
        <v>33</v>
      </c>
      <c r="D698" s="7" t="s">
        <v>48</v>
      </c>
      <c r="E698">
        <v>1675.2</v>
      </c>
    </row>
    <row r="699" spans="1:5" x14ac:dyDescent="0.25">
      <c r="A699" s="7" t="s">
        <v>31</v>
      </c>
      <c r="B699">
        <v>2016</v>
      </c>
      <c r="C699" s="7" t="s">
        <v>33</v>
      </c>
      <c r="D699" s="7" t="s">
        <v>49</v>
      </c>
      <c r="E699">
        <v>136.5</v>
      </c>
    </row>
    <row r="700" spans="1:5" x14ac:dyDescent="0.25">
      <c r="A700" s="7" t="s">
        <v>31</v>
      </c>
      <c r="B700">
        <v>2016</v>
      </c>
      <c r="C700" s="7" t="s">
        <v>33</v>
      </c>
      <c r="D700" s="7" t="s">
        <v>50</v>
      </c>
      <c r="E700">
        <v>387.9</v>
      </c>
    </row>
    <row r="701" spans="1:5" x14ac:dyDescent="0.25">
      <c r="A701" s="7" t="s">
        <v>31</v>
      </c>
      <c r="B701">
        <v>2016</v>
      </c>
      <c r="C701" s="7" t="s">
        <v>33</v>
      </c>
      <c r="D701" s="7" t="s">
        <v>19</v>
      </c>
      <c r="E701">
        <v>124.9</v>
      </c>
    </row>
    <row r="702" spans="1:5" x14ac:dyDescent="0.25">
      <c r="A702" s="7" t="s">
        <v>31</v>
      </c>
      <c r="B702">
        <v>2016</v>
      </c>
      <c r="C702" s="7" t="s">
        <v>33</v>
      </c>
      <c r="D702" s="7" t="s">
        <v>51</v>
      </c>
      <c r="E702">
        <v>122.4</v>
      </c>
    </row>
    <row r="703" spans="1:5" x14ac:dyDescent="0.25">
      <c r="A703" s="7" t="s">
        <v>31</v>
      </c>
      <c r="B703">
        <v>2016</v>
      </c>
      <c r="C703" s="7" t="s">
        <v>33</v>
      </c>
      <c r="D703" s="7" t="s">
        <v>26</v>
      </c>
      <c r="E703">
        <v>842.99999999999989</v>
      </c>
    </row>
    <row r="704" spans="1:5" x14ac:dyDescent="0.25">
      <c r="A704" s="7" t="s">
        <v>28</v>
      </c>
      <c r="B704">
        <v>2016</v>
      </c>
      <c r="C704" s="7" t="s">
        <v>34</v>
      </c>
      <c r="D704" s="7" t="s">
        <v>48</v>
      </c>
      <c r="E704">
        <v>1701.6000000000004</v>
      </c>
    </row>
    <row r="705" spans="1:5" x14ac:dyDescent="0.25">
      <c r="A705" s="7" t="s">
        <v>28</v>
      </c>
      <c r="B705">
        <v>2016</v>
      </c>
      <c r="C705" s="7" t="s">
        <v>34</v>
      </c>
      <c r="D705" s="7" t="s">
        <v>49</v>
      </c>
      <c r="E705">
        <v>135.5</v>
      </c>
    </row>
    <row r="706" spans="1:5" x14ac:dyDescent="0.25">
      <c r="A706" s="7" t="s">
        <v>28</v>
      </c>
      <c r="B706">
        <v>2016</v>
      </c>
      <c r="C706" s="7" t="s">
        <v>34</v>
      </c>
      <c r="D706" s="7" t="s">
        <v>50</v>
      </c>
      <c r="E706">
        <v>400</v>
      </c>
    </row>
    <row r="707" spans="1:5" x14ac:dyDescent="0.25">
      <c r="A707" s="7" t="s">
        <v>28</v>
      </c>
      <c r="B707">
        <v>2016</v>
      </c>
      <c r="C707" s="7" t="s">
        <v>34</v>
      </c>
      <c r="D707" s="7" t="s">
        <v>19</v>
      </c>
      <c r="E707">
        <v>125.8</v>
      </c>
    </row>
    <row r="708" spans="1:5" x14ac:dyDescent="0.25">
      <c r="A708" s="7" t="s">
        <v>28</v>
      </c>
      <c r="B708">
        <v>2016</v>
      </c>
      <c r="C708" s="7" t="s">
        <v>34</v>
      </c>
      <c r="D708" s="7" t="s">
        <v>51</v>
      </c>
      <c r="E708">
        <v>127</v>
      </c>
    </row>
    <row r="709" spans="1:5" x14ac:dyDescent="0.25">
      <c r="A709" s="7" t="s">
        <v>28</v>
      </c>
      <c r="B709">
        <v>2016</v>
      </c>
      <c r="C709" s="7" t="s">
        <v>34</v>
      </c>
      <c r="D709" s="7" t="s">
        <v>26</v>
      </c>
      <c r="E709">
        <v>858.80000000000007</v>
      </c>
    </row>
    <row r="710" spans="1:5" x14ac:dyDescent="0.25">
      <c r="A710" s="7" t="s">
        <v>30</v>
      </c>
      <c r="B710">
        <v>2016</v>
      </c>
      <c r="C710" s="7" t="s">
        <v>34</v>
      </c>
      <c r="D710" s="7" t="s">
        <v>48</v>
      </c>
      <c r="E710">
        <v>1706.3</v>
      </c>
    </row>
    <row r="711" spans="1:5" x14ac:dyDescent="0.25">
      <c r="A711" s="7" t="s">
        <v>30</v>
      </c>
      <c r="B711">
        <v>2016</v>
      </c>
      <c r="C711" s="7" t="s">
        <v>34</v>
      </c>
      <c r="D711" s="7" t="s">
        <v>49</v>
      </c>
      <c r="E711">
        <v>141.5</v>
      </c>
    </row>
    <row r="712" spans="1:5" x14ac:dyDescent="0.25">
      <c r="A712" s="7" t="s">
        <v>30</v>
      </c>
      <c r="B712">
        <v>2016</v>
      </c>
      <c r="C712" s="7" t="s">
        <v>34</v>
      </c>
      <c r="D712" s="7" t="s">
        <v>50</v>
      </c>
      <c r="E712">
        <v>373.1</v>
      </c>
    </row>
    <row r="713" spans="1:5" x14ac:dyDescent="0.25">
      <c r="A713" s="7" t="s">
        <v>30</v>
      </c>
      <c r="B713">
        <v>2016</v>
      </c>
      <c r="C713" s="7" t="s">
        <v>34</v>
      </c>
      <c r="D713" s="7" t="s">
        <v>19</v>
      </c>
      <c r="E713">
        <v>125.6</v>
      </c>
    </row>
    <row r="714" spans="1:5" x14ac:dyDescent="0.25">
      <c r="A714" s="7" t="s">
        <v>30</v>
      </c>
      <c r="B714">
        <v>2016</v>
      </c>
      <c r="C714" s="7" t="s">
        <v>34</v>
      </c>
      <c r="D714" s="7" t="s">
        <v>51</v>
      </c>
      <c r="E714">
        <v>114.6</v>
      </c>
    </row>
    <row r="715" spans="1:5" x14ac:dyDescent="0.25">
      <c r="A715" s="7" t="s">
        <v>30</v>
      </c>
      <c r="B715">
        <v>2016</v>
      </c>
      <c r="C715" s="7" t="s">
        <v>34</v>
      </c>
      <c r="D715" s="7" t="s">
        <v>26</v>
      </c>
      <c r="E715">
        <v>835.7</v>
      </c>
    </row>
    <row r="716" spans="1:5" x14ac:dyDescent="0.25">
      <c r="A716" s="7" t="s">
        <v>31</v>
      </c>
      <c r="B716">
        <v>2016</v>
      </c>
      <c r="C716" s="7" t="s">
        <v>34</v>
      </c>
      <c r="D716" s="7" t="s">
        <v>48</v>
      </c>
      <c r="E716">
        <v>1701.3</v>
      </c>
    </row>
    <row r="717" spans="1:5" x14ac:dyDescent="0.25">
      <c r="A717" s="7" t="s">
        <v>31</v>
      </c>
      <c r="B717">
        <v>2016</v>
      </c>
      <c r="C717" s="7" t="s">
        <v>34</v>
      </c>
      <c r="D717" s="7" t="s">
        <v>49</v>
      </c>
      <c r="E717">
        <v>137.1</v>
      </c>
    </row>
    <row r="718" spans="1:5" x14ac:dyDescent="0.25">
      <c r="A718" s="7" t="s">
        <v>31</v>
      </c>
      <c r="B718">
        <v>2016</v>
      </c>
      <c r="C718" s="7" t="s">
        <v>34</v>
      </c>
      <c r="D718" s="7" t="s">
        <v>50</v>
      </c>
      <c r="E718">
        <v>389.20000000000005</v>
      </c>
    </row>
    <row r="719" spans="1:5" x14ac:dyDescent="0.25">
      <c r="A719" s="7" t="s">
        <v>31</v>
      </c>
      <c r="B719">
        <v>2016</v>
      </c>
      <c r="C719" s="7" t="s">
        <v>34</v>
      </c>
      <c r="D719" s="7" t="s">
        <v>19</v>
      </c>
      <c r="E719">
        <v>125.6</v>
      </c>
    </row>
    <row r="720" spans="1:5" x14ac:dyDescent="0.25">
      <c r="A720" s="7" t="s">
        <v>31</v>
      </c>
      <c r="B720">
        <v>2016</v>
      </c>
      <c r="C720" s="7" t="s">
        <v>34</v>
      </c>
      <c r="D720" s="7" t="s">
        <v>51</v>
      </c>
      <c r="E720">
        <v>122.3</v>
      </c>
    </row>
    <row r="721" spans="1:5" x14ac:dyDescent="0.25">
      <c r="A721" s="7" t="s">
        <v>31</v>
      </c>
      <c r="B721">
        <v>2016</v>
      </c>
      <c r="C721" s="7" t="s">
        <v>34</v>
      </c>
      <c r="D721" s="7" t="s">
        <v>26</v>
      </c>
      <c r="E721">
        <v>847.7</v>
      </c>
    </row>
    <row r="722" spans="1:5" x14ac:dyDescent="0.25">
      <c r="A722" s="7" t="s">
        <v>28</v>
      </c>
      <c r="B722">
        <v>2016</v>
      </c>
      <c r="C722" s="7" t="s">
        <v>35</v>
      </c>
      <c r="D722" s="7" t="s">
        <v>48</v>
      </c>
      <c r="E722">
        <v>1723.6999999999998</v>
      </c>
    </row>
    <row r="723" spans="1:5" x14ac:dyDescent="0.25">
      <c r="A723" s="7" t="s">
        <v>28</v>
      </c>
      <c r="B723">
        <v>2016</v>
      </c>
      <c r="C723" s="7" t="s">
        <v>35</v>
      </c>
      <c r="D723" s="7" t="s">
        <v>49</v>
      </c>
      <c r="E723">
        <v>136</v>
      </c>
    </row>
    <row r="724" spans="1:5" x14ac:dyDescent="0.25">
      <c r="A724" s="7" t="s">
        <v>28</v>
      </c>
      <c r="B724">
        <v>2016</v>
      </c>
      <c r="C724" s="7" t="s">
        <v>35</v>
      </c>
      <c r="D724" s="7" t="s">
        <v>50</v>
      </c>
      <c r="E724">
        <v>401.3</v>
      </c>
    </row>
    <row r="725" spans="1:5" x14ac:dyDescent="0.25">
      <c r="A725" s="7" t="s">
        <v>28</v>
      </c>
      <c r="B725">
        <v>2016</v>
      </c>
      <c r="C725" s="7" t="s">
        <v>35</v>
      </c>
      <c r="D725" s="7" t="s">
        <v>19</v>
      </c>
      <c r="E725">
        <v>125.8</v>
      </c>
    </row>
    <row r="726" spans="1:5" x14ac:dyDescent="0.25">
      <c r="A726" s="7" t="s">
        <v>28</v>
      </c>
      <c r="B726">
        <v>2016</v>
      </c>
      <c r="C726" s="7" t="s">
        <v>35</v>
      </c>
      <c r="D726" s="7" t="s">
        <v>51</v>
      </c>
      <c r="E726">
        <v>127.4</v>
      </c>
    </row>
    <row r="727" spans="1:5" x14ac:dyDescent="0.25">
      <c r="A727" s="7" t="s">
        <v>28</v>
      </c>
      <c r="B727">
        <v>2016</v>
      </c>
      <c r="C727" s="7" t="s">
        <v>35</v>
      </c>
      <c r="D727" s="7" t="s">
        <v>26</v>
      </c>
      <c r="E727">
        <v>864.30000000000007</v>
      </c>
    </row>
    <row r="728" spans="1:5" x14ac:dyDescent="0.25">
      <c r="A728" s="7" t="s">
        <v>30</v>
      </c>
      <c r="B728">
        <v>2016</v>
      </c>
      <c r="C728" s="7" t="s">
        <v>35</v>
      </c>
      <c r="D728" s="7" t="s">
        <v>48</v>
      </c>
      <c r="E728">
        <v>1746.7999999999997</v>
      </c>
    </row>
    <row r="729" spans="1:5" x14ac:dyDescent="0.25">
      <c r="A729" s="7" t="s">
        <v>30</v>
      </c>
      <c r="B729">
        <v>2016</v>
      </c>
      <c r="C729" s="7" t="s">
        <v>35</v>
      </c>
      <c r="D729" s="7" t="s">
        <v>49</v>
      </c>
      <c r="E729">
        <v>142.19999999999999</v>
      </c>
    </row>
    <row r="730" spans="1:5" x14ac:dyDescent="0.25">
      <c r="A730" s="7" t="s">
        <v>30</v>
      </c>
      <c r="B730">
        <v>2016</v>
      </c>
      <c r="C730" s="7" t="s">
        <v>35</v>
      </c>
      <c r="D730" s="7" t="s">
        <v>50</v>
      </c>
      <c r="E730">
        <v>374.1</v>
      </c>
    </row>
    <row r="731" spans="1:5" x14ac:dyDescent="0.25">
      <c r="A731" s="7" t="s">
        <v>30</v>
      </c>
      <c r="B731">
        <v>2016</v>
      </c>
      <c r="C731" s="7" t="s">
        <v>35</v>
      </c>
      <c r="D731" s="7" t="s">
        <v>19</v>
      </c>
      <c r="E731">
        <v>126</v>
      </c>
    </row>
    <row r="732" spans="1:5" x14ac:dyDescent="0.25">
      <c r="A732" s="7" t="s">
        <v>30</v>
      </c>
      <c r="B732">
        <v>2016</v>
      </c>
      <c r="C732" s="7" t="s">
        <v>35</v>
      </c>
      <c r="D732" s="7" t="s">
        <v>51</v>
      </c>
      <c r="E732">
        <v>115</v>
      </c>
    </row>
    <row r="733" spans="1:5" x14ac:dyDescent="0.25">
      <c r="A733" s="7" t="s">
        <v>30</v>
      </c>
      <c r="B733">
        <v>2016</v>
      </c>
      <c r="C733" s="7" t="s">
        <v>35</v>
      </c>
      <c r="D733" s="7" t="s">
        <v>26</v>
      </c>
      <c r="E733">
        <v>839.2</v>
      </c>
    </row>
    <row r="734" spans="1:5" x14ac:dyDescent="0.25">
      <c r="A734" s="7" t="s">
        <v>31</v>
      </c>
      <c r="B734">
        <v>2016</v>
      </c>
      <c r="C734" s="7" t="s">
        <v>35</v>
      </c>
      <c r="D734" s="7" t="s">
        <v>48</v>
      </c>
      <c r="E734">
        <v>1730.4</v>
      </c>
    </row>
    <row r="735" spans="1:5" x14ac:dyDescent="0.25">
      <c r="A735" s="7" t="s">
        <v>31</v>
      </c>
      <c r="B735">
        <v>2016</v>
      </c>
      <c r="C735" s="7" t="s">
        <v>35</v>
      </c>
      <c r="D735" s="7" t="s">
        <v>49</v>
      </c>
      <c r="E735">
        <v>137.69999999999999</v>
      </c>
    </row>
    <row r="736" spans="1:5" x14ac:dyDescent="0.25">
      <c r="A736" s="7" t="s">
        <v>31</v>
      </c>
      <c r="B736">
        <v>2016</v>
      </c>
      <c r="C736" s="7" t="s">
        <v>35</v>
      </c>
      <c r="D736" s="7" t="s">
        <v>50</v>
      </c>
      <c r="E736">
        <v>390.4</v>
      </c>
    </row>
    <row r="737" spans="1:5" x14ac:dyDescent="0.25">
      <c r="A737" s="7" t="s">
        <v>31</v>
      </c>
      <c r="B737">
        <v>2016</v>
      </c>
      <c r="C737" s="7" t="s">
        <v>35</v>
      </c>
      <c r="D737" s="7" t="s">
        <v>19</v>
      </c>
      <c r="E737">
        <v>126</v>
      </c>
    </row>
    <row r="738" spans="1:5" x14ac:dyDescent="0.25">
      <c r="A738" s="7" t="s">
        <v>31</v>
      </c>
      <c r="B738">
        <v>2016</v>
      </c>
      <c r="C738" s="7" t="s">
        <v>35</v>
      </c>
      <c r="D738" s="7" t="s">
        <v>51</v>
      </c>
      <c r="E738">
        <v>122.7</v>
      </c>
    </row>
    <row r="739" spans="1:5" x14ac:dyDescent="0.25">
      <c r="A739" s="7" t="s">
        <v>31</v>
      </c>
      <c r="B739">
        <v>2016</v>
      </c>
      <c r="C739" s="7" t="s">
        <v>35</v>
      </c>
      <c r="D739" s="7" t="s">
        <v>26</v>
      </c>
      <c r="E739">
        <v>852.40000000000009</v>
      </c>
    </row>
    <row r="740" spans="1:5" x14ac:dyDescent="0.25">
      <c r="A740" s="7" t="s">
        <v>28</v>
      </c>
      <c r="B740">
        <v>2016</v>
      </c>
      <c r="C740" s="7" t="s">
        <v>36</v>
      </c>
      <c r="D740" s="7" t="s">
        <v>48</v>
      </c>
      <c r="E740">
        <v>1748.6</v>
      </c>
    </row>
    <row r="741" spans="1:5" x14ac:dyDescent="0.25">
      <c r="A741" s="7" t="s">
        <v>28</v>
      </c>
      <c r="B741">
        <v>2016</v>
      </c>
      <c r="C741" s="7" t="s">
        <v>36</v>
      </c>
      <c r="D741" s="7" t="s">
        <v>49</v>
      </c>
      <c r="E741">
        <v>137.19999999999999</v>
      </c>
    </row>
    <row r="742" spans="1:5" x14ac:dyDescent="0.25">
      <c r="A742" s="7" t="s">
        <v>28</v>
      </c>
      <c r="B742">
        <v>2016</v>
      </c>
      <c r="C742" s="7" t="s">
        <v>36</v>
      </c>
      <c r="D742" s="7" t="s">
        <v>50</v>
      </c>
      <c r="E742">
        <v>403.5</v>
      </c>
    </row>
    <row r="743" spans="1:5" x14ac:dyDescent="0.25">
      <c r="A743" s="7" t="s">
        <v>28</v>
      </c>
      <c r="B743">
        <v>2016</v>
      </c>
      <c r="C743" s="7" t="s">
        <v>36</v>
      </c>
      <c r="D743" s="7" t="s">
        <v>19</v>
      </c>
      <c r="E743">
        <v>126</v>
      </c>
    </row>
    <row r="744" spans="1:5" x14ac:dyDescent="0.25">
      <c r="A744" s="7" t="s">
        <v>28</v>
      </c>
      <c r="B744">
        <v>2016</v>
      </c>
      <c r="C744" s="7" t="s">
        <v>36</v>
      </c>
      <c r="D744" s="7" t="s">
        <v>51</v>
      </c>
      <c r="E744">
        <v>128</v>
      </c>
    </row>
    <row r="745" spans="1:5" x14ac:dyDescent="0.25">
      <c r="A745" s="7" t="s">
        <v>28</v>
      </c>
      <c r="B745">
        <v>2016</v>
      </c>
      <c r="C745" s="7" t="s">
        <v>36</v>
      </c>
      <c r="D745" s="7" t="s">
        <v>26</v>
      </c>
      <c r="E745">
        <v>869.29999999999984</v>
      </c>
    </row>
    <row r="746" spans="1:5" x14ac:dyDescent="0.25">
      <c r="A746" s="7" t="s">
        <v>30</v>
      </c>
      <c r="B746">
        <v>2016</v>
      </c>
      <c r="C746" s="7" t="s">
        <v>36</v>
      </c>
      <c r="D746" s="7" t="s">
        <v>48</v>
      </c>
      <c r="E746">
        <v>1787.0000000000002</v>
      </c>
    </row>
    <row r="747" spans="1:5" x14ac:dyDescent="0.25">
      <c r="A747" s="7" t="s">
        <v>30</v>
      </c>
      <c r="B747">
        <v>2016</v>
      </c>
      <c r="C747" s="7" t="s">
        <v>36</v>
      </c>
      <c r="D747" s="7" t="s">
        <v>49</v>
      </c>
      <c r="E747">
        <v>142.69999999999999</v>
      </c>
    </row>
    <row r="748" spans="1:5" x14ac:dyDescent="0.25">
      <c r="A748" s="7" t="s">
        <v>30</v>
      </c>
      <c r="B748">
        <v>2016</v>
      </c>
      <c r="C748" s="7" t="s">
        <v>36</v>
      </c>
      <c r="D748" s="7" t="s">
        <v>50</v>
      </c>
      <c r="E748">
        <v>375.29999999999995</v>
      </c>
    </row>
    <row r="749" spans="1:5" x14ac:dyDescent="0.25">
      <c r="A749" s="7" t="s">
        <v>30</v>
      </c>
      <c r="B749">
        <v>2016</v>
      </c>
      <c r="C749" s="7" t="s">
        <v>36</v>
      </c>
      <c r="D749" s="7" t="s">
        <v>19</v>
      </c>
      <c r="E749">
        <v>125.5</v>
      </c>
    </row>
    <row r="750" spans="1:5" x14ac:dyDescent="0.25">
      <c r="A750" s="7" t="s">
        <v>30</v>
      </c>
      <c r="B750">
        <v>2016</v>
      </c>
      <c r="C750" s="7" t="s">
        <v>36</v>
      </c>
      <c r="D750" s="7" t="s">
        <v>51</v>
      </c>
      <c r="E750">
        <v>115.5</v>
      </c>
    </row>
    <row r="751" spans="1:5" x14ac:dyDescent="0.25">
      <c r="A751" s="7" t="s">
        <v>30</v>
      </c>
      <c r="B751">
        <v>2016</v>
      </c>
      <c r="C751" s="7" t="s">
        <v>36</v>
      </c>
      <c r="D751" s="7" t="s">
        <v>26</v>
      </c>
      <c r="E751">
        <v>843.69999999999993</v>
      </c>
    </row>
    <row r="752" spans="1:5" x14ac:dyDescent="0.25">
      <c r="A752" s="7" t="s">
        <v>31</v>
      </c>
      <c r="B752">
        <v>2016</v>
      </c>
      <c r="C752" s="7" t="s">
        <v>36</v>
      </c>
      <c r="D752" s="7" t="s">
        <v>48</v>
      </c>
      <c r="E752">
        <v>1760.6</v>
      </c>
    </row>
    <row r="753" spans="1:5" x14ac:dyDescent="0.25">
      <c r="A753" s="7" t="s">
        <v>31</v>
      </c>
      <c r="B753">
        <v>2016</v>
      </c>
      <c r="C753" s="7" t="s">
        <v>36</v>
      </c>
      <c r="D753" s="7" t="s">
        <v>49</v>
      </c>
      <c r="E753">
        <v>138.69999999999999</v>
      </c>
    </row>
    <row r="754" spans="1:5" x14ac:dyDescent="0.25">
      <c r="A754" s="7" t="s">
        <v>31</v>
      </c>
      <c r="B754">
        <v>2016</v>
      </c>
      <c r="C754" s="7" t="s">
        <v>36</v>
      </c>
      <c r="D754" s="7" t="s">
        <v>50</v>
      </c>
      <c r="E754">
        <v>392.1</v>
      </c>
    </row>
    <row r="755" spans="1:5" x14ac:dyDescent="0.25">
      <c r="A755" s="7" t="s">
        <v>31</v>
      </c>
      <c r="B755">
        <v>2016</v>
      </c>
      <c r="C755" s="7" t="s">
        <v>36</v>
      </c>
      <c r="D755" s="7" t="s">
        <v>19</v>
      </c>
      <c r="E755">
        <v>125.5</v>
      </c>
    </row>
    <row r="756" spans="1:5" x14ac:dyDescent="0.25">
      <c r="A756" s="7" t="s">
        <v>31</v>
      </c>
      <c r="B756">
        <v>2016</v>
      </c>
      <c r="C756" s="7" t="s">
        <v>36</v>
      </c>
      <c r="D756" s="7" t="s">
        <v>51</v>
      </c>
      <c r="E756">
        <v>123.3</v>
      </c>
    </row>
    <row r="757" spans="1:5" x14ac:dyDescent="0.25">
      <c r="A757" s="7" t="s">
        <v>31</v>
      </c>
      <c r="B757">
        <v>2016</v>
      </c>
      <c r="C757" s="7" t="s">
        <v>36</v>
      </c>
      <c r="D757" s="7" t="s">
        <v>26</v>
      </c>
      <c r="E757">
        <v>856.99999999999989</v>
      </c>
    </row>
    <row r="758" spans="1:5" x14ac:dyDescent="0.25">
      <c r="A758" s="7" t="s">
        <v>28</v>
      </c>
      <c r="B758">
        <v>2016</v>
      </c>
      <c r="C758" s="7" t="s">
        <v>37</v>
      </c>
      <c r="D758" s="7" t="s">
        <v>48</v>
      </c>
      <c r="E758">
        <v>1770.2999999999997</v>
      </c>
    </row>
    <row r="759" spans="1:5" x14ac:dyDescent="0.25">
      <c r="A759" s="7" t="s">
        <v>28</v>
      </c>
      <c r="B759">
        <v>2016</v>
      </c>
      <c r="C759" s="7" t="s">
        <v>37</v>
      </c>
      <c r="D759" s="7" t="s">
        <v>49</v>
      </c>
      <c r="E759">
        <v>138</v>
      </c>
    </row>
    <row r="760" spans="1:5" x14ac:dyDescent="0.25">
      <c r="A760" s="7" t="s">
        <v>28</v>
      </c>
      <c r="B760">
        <v>2016</v>
      </c>
      <c r="C760" s="7" t="s">
        <v>37</v>
      </c>
      <c r="D760" s="7" t="s">
        <v>50</v>
      </c>
      <c r="E760">
        <v>405.9</v>
      </c>
    </row>
    <row r="761" spans="1:5" x14ac:dyDescent="0.25">
      <c r="A761" s="7" t="s">
        <v>28</v>
      </c>
      <c r="B761">
        <v>2016</v>
      </c>
      <c r="C761" s="7" t="s">
        <v>37</v>
      </c>
      <c r="D761" s="7" t="s">
        <v>19</v>
      </c>
      <c r="E761">
        <v>126.9</v>
      </c>
    </row>
    <row r="762" spans="1:5" x14ac:dyDescent="0.25">
      <c r="A762" s="7" t="s">
        <v>28</v>
      </c>
      <c r="B762">
        <v>2016</v>
      </c>
      <c r="C762" s="7" t="s">
        <v>37</v>
      </c>
      <c r="D762" s="7" t="s">
        <v>51</v>
      </c>
      <c r="E762">
        <v>128.19999999999999</v>
      </c>
    </row>
    <row r="763" spans="1:5" x14ac:dyDescent="0.25">
      <c r="A763" s="7" t="s">
        <v>28</v>
      </c>
      <c r="B763">
        <v>2016</v>
      </c>
      <c r="C763" s="7" t="s">
        <v>37</v>
      </c>
      <c r="D763" s="7" t="s">
        <v>26</v>
      </c>
      <c r="E763">
        <v>873.8</v>
      </c>
    </row>
    <row r="764" spans="1:5" x14ac:dyDescent="0.25">
      <c r="A764" s="7" t="s">
        <v>30</v>
      </c>
      <c r="B764">
        <v>2016</v>
      </c>
      <c r="C764" s="7" t="s">
        <v>37</v>
      </c>
      <c r="D764" s="7" t="s">
        <v>48</v>
      </c>
      <c r="E764">
        <v>1811.5000000000002</v>
      </c>
    </row>
    <row r="765" spans="1:5" x14ac:dyDescent="0.25">
      <c r="A765" s="7" t="s">
        <v>30</v>
      </c>
      <c r="B765">
        <v>2016</v>
      </c>
      <c r="C765" s="7" t="s">
        <v>37</v>
      </c>
      <c r="D765" s="7" t="s">
        <v>49</v>
      </c>
      <c r="E765">
        <v>142.9</v>
      </c>
    </row>
    <row r="766" spans="1:5" x14ac:dyDescent="0.25">
      <c r="A766" s="7" t="s">
        <v>30</v>
      </c>
      <c r="B766">
        <v>2016</v>
      </c>
      <c r="C766" s="7" t="s">
        <v>37</v>
      </c>
      <c r="D766" s="7" t="s">
        <v>50</v>
      </c>
      <c r="E766">
        <v>375.9</v>
      </c>
    </row>
    <row r="767" spans="1:5" x14ac:dyDescent="0.25">
      <c r="A767" s="7" t="s">
        <v>30</v>
      </c>
      <c r="B767">
        <v>2016</v>
      </c>
      <c r="C767" s="7" t="s">
        <v>37</v>
      </c>
      <c r="D767" s="7" t="s">
        <v>19</v>
      </c>
      <c r="E767">
        <v>126.4</v>
      </c>
    </row>
    <row r="768" spans="1:5" x14ac:dyDescent="0.25">
      <c r="A768" s="7" t="s">
        <v>30</v>
      </c>
      <c r="B768">
        <v>2016</v>
      </c>
      <c r="C768" s="7" t="s">
        <v>37</v>
      </c>
      <c r="D768" s="7" t="s">
        <v>51</v>
      </c>
      <c r="E768">
        <v>115.5</v>
      </c>
    </row>
    <row r="769" spans="1:5" x14ac:dyDescent="0.25">
      <c r="A769" s="7" t="s">
        <v>30</v>
      </c>
      <c r="B769">
        <v>2016</v>
      </c>
      <c r="C769" s="7" t="s">
        <v>37</v>
      </c>
      <c r="D769" s="7" t="s">
        <v>26</v>
      </c>
      <c r="E769">
        <v>847.1</v>
      </c>
    </row>
    <row r="770" spans="1:5" x14ac:dyDescent="0.25">
      <c r="A770" s="7" t="s">
        <v>31</v>
      </c>
      <c r="B770">
        <v>2016</v>
      </c>
      <c r="C770" s="7" t="s">
        <v>37</v>
      </c>
      <c r="D770" s="7" t="s">
        <v>48</v>
      </c>
      <c r="E770">
        <v>1783.5</v>
      </c>
    </row>
    <row r="771" spans="1:5" x14ac:dyDescent="0.25">
      <c r="A771" s="7" t="s">
        <v>31</v>
      </c>
      <c r="B771">
        <v>2016</v>
      </c>
      <c r="C771" s="7" t="s">
        <v>37</v>
      </c>
      <c r="D771" s="7" t="s">
        <v>49</v>
      </c>
      <c r="E771">
        <v>139.30000000000001</v>
      </c>
    </row>
    <row r="772" spans="1:5" x14ac:dyDescent="0.25">
      <c r="A772" s="7" t="s">
        <v>31</v>
      </c>
      <c r="B772">
        <v>2016</v>
      </c>
      <c r="C772" s="7" t="s">
        <v>37</v>
      </c>
      <c r="D772" s="7" t="s">
        <v>50</v>
      </c>
      <c r="E772">
        <v>393.8</v>
      </c>
    </row>
    <row r="773" spans="1:5" x14ac:dyDescent="0.25">
      <c r="A773" s="7" t="s">
        <v>31</v>
      </c>
      <c r="B773">
        <v>2016</v>
      </c>
      <c r="C773" s="7" t="s">
        <v>37</v>
      </c>
      <c r="D773" s="7" t="s">
        <v>19</v>
      </c>
      <c r="E773">
        <v>126.4</v>
      </c>
    </row>
    <row r="774" spans="1:5" x14ac:dyDescent="0.25">
      <c r="A774" s="7" t="s">
        <v>31</v>
      </c>
      <c r="B774">
        <v>2016</v>
      </c>
      <c r="C774" s="7" t="s">
        <v>37</v>
      </c>
      <c r="D774" s="7" t="s">
        <v>51</v>
      </c>
      <c r="E774">
        <v>123.4</v>
      </c>
    </row>
    <row r="775" spans="1:5" x14ac:dyDescent="0.25">
      <c r="A775" s="7" t="s">
        <v>31</v>
      </c>
      <c r="B775">
        <v>2016</v>
      </c>
      <c r="C775" s="7" t="s">
        <v>37</v>
      </c>
      <c r="D775" s="7" t="s">
        <v>26</v>
      </c>
      <c r="E775">
        <v>860.9</v>
      </c>
    </row>
    <row r="776" spans="1:5" x14ac:dyDescent="0.25">
      <c r="A776" s="7" t="s">
        <v>28</v>
      </c>
      <c r="B776">
        <v>2016</v>
      </c>
      <c r="C776" s="7" t="s">
        <v>38</v>
      </c>
      <c r="D776" s="7" t="s">
        <v>48</v>
      </c>
      <c r="E776">
        <v>1777.4999999999998</v>
      </c>
    </row>
    <row r="777" spans="1:5" x14ac:dyDescent="0.25">
      <c r="A777" s="7" t="s">
        <v>28</v>
      </c>
      <c r="B777">
        <v>2016</v>
      </c>
      <c r="C777" s="7" t="s">
        <v>38</v>
      </c>
      <c r="D777" s="7" t="s">
        <v>49</v>
      </c>
      <c r="E777">
        <v>138.9</v>
      </c>
    </row>
    <row r="778" spans="1:5" x14ac:dyDescent="0.25">
      <c r="A778" s="7" t="s">
        <v>28</v>
      </c>
      <c r="B778">
        <v>2016</v>
      </c>
      <c r="C778" s="7" t="s">
        <v>38</v>
      </c>
      <c r="D778" s="7" t="s">
        <v>50</v>
      </c>
      <c r="E778">
        <v>407.9</v>
      </c>
    </row>
    <row r="779" spans="1:5" x14ac:dyDescent="0.25">
      <c r="A779" s="7" t="s">
        <v>28</v>
      </c>
      <c r="B779">
        <v>2016</v>
      </c>
      <c r="C779" s="7" t="s">
        <v>38</v>
      </c>
      <c r="D779" s="7" t="s">
        <v>19</v>
      </c>
      <c r="E779">
        <v>127.6</v>
      </c>
    </row>
    <row r="780" spans="1:5" x14ac:dyDescent="0.25">
      <c r="A780" s="7" t="s">
        <v>28</v>
      </c>
      <c r="B780">
        <v>2016</v>
      </c>
      <c r="C780" s="7" t="s">
        <v>38</v>
      </c>
      <c r="D780" s="7" t="s">
        <v>51</v>
      </c>
      <c r="E780">
        <v>129.1</v>
      </c>
    </row>
    <row r="781" spans="1:5" x14ac:dyDescent="0.25">
      <c r="A781" s="7" t="s">
        <v>28</v>
      </c>
      <c r="B781">
        <v>2016</v>
      </c>
      <c r="C781" s="7" t="s">
        <v>38</v>
      </c>
      <c r="D781" s="7" t="s">
        <v>26</v>
      </c>
      <c r="E781">
        <v>877.2</v>
      </c>
    </row>
    <row r="782" spans="1:5" x14ac:dyDescent="0.25">
      <c r="A782" s="7" t="s">
        <v>30</v>
      </c>
      <c r="B782">
        <v>2016</v>
      </c>
      <c r="C782" s="7" t="s">
        <v>38</v>
      </c>
      <c r="D782" s="7" t="s">
        <v>48</v>
      </c>
      <c r="E782">
        <v>1783.9999999999995</v>
      </c>
    </row>
    <row r="783" spans="1:5" x14ac:dyDescent="0.25">
      <c r="A783" s="7" t="s">
        <v>30</v>
      </c>
      <c r="B783">
        <v>2016</v>
      </c>
      <c r="C783" s="7" t="s">
        <v>38</v>
      </c>
      <c r="D783" s="7" t="s">
        <v>49</v>
      </c>
      <c r="E783">
        <v>143.6</v>
      </c>
    </row>
    <row r="784" spans="1:5" x14ac:dyDescent="0.25">
      <c r="A784" s="7" t="s">
        <v>30</v>
      </c>
      <c r="B784">
        <v>2016</v>
      </c>
      <c r="C784" s="7" t="s">
        <v>38</v>
      </c>
      <c r="D784" s="7" t="s">
        <v>50</v>
      </c>
      <c r="E784">
        <v>377</v>
      </c>
    </row>
    <row r="785" spans="1:5" x14ac:dyDescent="0.25">
      <c r="A785" s="7" t="s">
        <v>30</v>
      </c>
      <c r="B785">
        <v>2016</v>
      </c>
      <c r="C785" s="7" t="s">
        <v>38</v>
      </c>
      <c r="D785" s="7" t="s">
        <v>19</v>
      </c>
      <c r="E785">
        <v>127.3</v>
      </c>
    </row>
    <row r="786" spans="1:5" x14ac:dyDescent="0.25">
      <c r="A786" s="7" t="s">
        <v>30</v>
      </c>
      <c r="B786">
        <v>2016</v>
      </c>
      <c r="C786" s="7" t="s">
        <v>38</v>
      </c>
      <c r="D786" s="7" t="s">
        <v>51</v>
      </c>
      <c r="E786">
        <v>114.7</v>
      </c>
    </row>
    <row r="787" spans="1:5" x14ac:dyDescent="0.25">
      <c r="A787" s="7" t="s">
        <v>30</v>
      </c>
      <c r="B787">
        <v>2016</v>
      </c>
      <c r="C787" s="7" t="s">
        <v>38</v>
      </c>
      <c r="D787" s="7" t="s">
        <v>26</v>
      </c>
      <c r="E787">
        <v>848.4</v>
      </c>
    </row>
    <row r="788" spans="1:5" x14ac:dyDescent="0.25">
      <c r="A788" s="7" t="s">
        <v>31</v>
      </c>
      <c r="B788">
        <v>2016</v>
      </c>
      <c r="C788" s="7" t="s">
        <v>38</v>
      </c>
      <c r="D788" s="7" t="s">
        <v>48</v>
      </c>
      <c r="E788">
        <v>1777.9</v>
      </c>
    </row>
    <row r="789" spans="1:5" x14ac:dyDescent="0.25">
      <c r="A789" s="7" t="s">
        <v>31</v>
      </c>
      <c r="B789">
        <v>2016</v>
      </c>
      <c r="C789" s="7" t="s">
        <v>38</v>
      </c>
      <c r="D789" s="7" t="s">
        <v>49</v>
      </c>
      <c r="E789">
        <v>140.19999999999999</v>
      </c>
    </row>
    <row r="790" spans="1:5" x14ac:dyDescent="0.25">
      <c r="A790" s="7" t="s">
        <v>31</v>
      </c>
      <c r="B790">
        <v>2016</v>
      </c>
      <c r="C790" s="7" t="s">
        <v>38</v>
      </c>
      <c r="D790" s="7" t="s">
        <v>50</v>
      </c>
      <c r="E790">
        <v>395.49999999999994</v>
      </c>
    </row>
    <row r="791" spans="1:5" x14ac:dyDescent="0.25">
      <c r="A791" s="7" t="s">
        <v>31</v>
      </c>
      <c r="B791">
        <v>2016</v>
      </c>
      <c r="C791" s="7" t="s">
        <v>38</v>
      </c>
      <c r="D791" s="7" t="s">
        <v>19</v>
      </c>
      <c r="E791">
        <v>127.3</v>
      </c>
    </row>
    <row r="792" spans="1:5" x14ac:dyDescent="0.25">
      <c r="A792" s="7" t="s">
        <v>31</v>
      </c>
      <c r="B792">
        <v>2016</v>
      </c>
      <c r="C792" s="7" t="s">
        <v>38</v>
      </c>
      <c r="D792" s="7" t="s">
        <v>51</v>
      </c>
      <c r="E792">
        <v>123.6</v>
      </c>
    </row>
    <row r="793" spans="1:5" x14ac:dyDescent="0.25">
      <c r="A793" s="7" t="s">
        <v>31</v>
      </c>
      <c r="B793">
        <v>2016</v>
      </c>
      <c r="C793" s="7" t="s">
        <v>38</v>
      </c>
      <c r="D793" s="7" t="s">
        <v>26</v>
      </c>
      <c r="E793">
        <v>863.3</v>
      </c>
    </row>
    <row r="794" spans="1:5" x14ac:dyDescent="0.25">
      <c r="A794" s="7" t="s">
        <v>28</v>
      </c>
      <c r="B794">
        <v>2016</v>
      </c>
      <c r="C794" s="7" t="s">
        <v>39</v>
      </c>
      <c r="D794" s="7" t="s">
        <v>48</v>
      </c>
      <c r="E794">
        <v>1770.7</v>
      </c>
    </row>
    <row r="795" spans="1:5" x14ac:dyDescent="0.25">
      <c r="A795" s="7" t="s">
        <v>28</v>
      </c>
      <c r="B795">
        <v>2016</v>
      </c>
      <c r="C795" s="7" t="s">
        <v>39</v>
      </c>
      <c r="D795" s="7" t="s">
        <v>49</v>
      </c>
      <c r="E795">
        <v>139.9</v>
      </c>
    </row>
    <row r="796" spans="1:5" x14ac:dyDescent="0.25">
      <c r="A796" s="7" t="s">
        <v>28</v>
      </c>
      <c r="B796">
        <v>2016</v>
      </c>
      <c r="C796" s="7" t="s">
        <v>39</v>
      </c>
      <c r="D796" s="7" t="s">
        <v>50</v>
      </c>
      <c r="E796">
        <v>409.8</v>
      </c>
    </row>
    <row r="797" spans="1:5" x14ac:dyDescent="0.25">
      <c r="A797" s="7" t="s">
        <v>28</v>
      </c>
      <c r="B797">
        <v>2016</v>
      </c>
      <c r="C797" s="7" t="s">
        <v>39</v>
      </c>
      <c r="D797" s="7" t="s">
        <v>19</v>
      </c>
      <c r="E797">
        <v>128.30000000000001</v>
      </c>
    </row>
    <row r="798" spans="1:5" x14ac:dyDescent="0.25">
      <c r="A798" s="7" t="s">
        <v>28</v>
      </c>
      <c r="B798">
        <v>2016</v>
      </c>
      <c r="C798" s="7" t="s">
        <v>39</v>
      </c>
      <c r="D798" s="7" t="s">
        <v>51</v>
      </c>
      <c r="E798">
        <v>129.69999999999999</v>
      </c>
    </row>
    <row r="799" spans="1:5" x14ac:dyDescent="0.25">
      <c r="A799" s="7" t="s">
        <v>28</v>
      </c>
      <c r="B799">
        <v>2016</v>
      </c>
      <c r="C799" s="7" t="s">
        <v>39</v>
      </c>
      <c r="D799" s="7" t="s">
        <v>26</v>
      </c>
      <c r="E799">
        <v>881.49999999999989</v>
      </c>
    </row>
    <row r="800" spans="1:5" x14ac:dyDescent="0.25">
      <c r="A800" s="7" t="s">
        <v>30</v>
      </c>
      <c r="B800">
        <v>2016</v>
      </c>
      <c r="C800" s="7" t="s">
        <v>39</v>
      </c>
      <c r="D800" s="7" t="s">
        <v>48</v>
      </c>
      <c r="E800">
        <v>1756.3999999999996</v>
      </c>
    </row>
    <row r="801" spans="1:5" x14ac:dyDescent="0.25">
      <c r="A801" s="7" t="s">
        <v>30</v>
      </c>
      <c r="B801">
        <v>2016</v>
      </c>
      <c r="C801" s="7" t="s">
        <v>39</v>
      </c>
      <c r="D801" s="7" t="s">
        <v>49</v>
      </c>
      <c r="E801">
        <v>143.9</v>
      </c>
    </row>
    <row r="802" spans="1:5" x14ac:dyDescent="0.25">
      <c r="A802" s="7" t="s">
        <v>30</v>
      </c>
      <c r="B802">
        <v>2016</v>
      </c>
      <c r="C802" s="7" t="s">
        <v>39</v>
      </c>
      <c r="D802" s="7" t="s">
        <v>50</v>
      </c>
      <c r="E802">
        <v>378</v>
      </c>
    </row>
    <row r="803" spans="1:5" x14ac:dyDescent="0.25">
      <c r="A803" s="7" t="s">
        <v>30</v>
      </c>
      <c r="B803">
        <v>2016</v>
      </c>
      <c r="C803" s="7" t="s">
        <v>39</v>
      </c>
      <c r="D803" s="7" t="s">
        <v>19</v>
      </c>
      <c r="E803">
        <v>127.9</v>
      </c>
    </row>
    <row r="804" spans="1:5" x14ac:dyDescent="0.25">
      <c r="A804" s="7" t="s">
        <v>30</v>
      </c>
      <c r="B804">
        <v>2016</v>
      </c>
      <c r="C804" s="7" t="s">
        <v>39</v>
      </c>
      <c r="D804" s="7" t="s">
        <v>51</v>
      </c>
      <c r="E804">
        <v>114.8</v>
      </c>
    </row>
    <row r="805" spans="1:5" x14ac:dyDescent="0.25">
      <c r="A805" s="7" t="s">
        <v>30</v>
      </c>
      <c r="B805">
        <v>2016</v>
      </c>
      <c r="C805" s="7" t="s">
        <v>39</v>
      </c>
      <c r="D805" s="7" t="s">
        <v>26</v>
      </c>
      <c r="E805">
        <v>851.6</v>
      </c>
    </row>
    <row r="806" spans="1:5" x14ac:dyDescent="0.25">
      <c r="A806" s="7" t="s">
        <v>31</v>
      </c>
      <c r="B806">
        <v>2016</v>
      </c>
      <c r="C806" s="7" t="s">
        <v>39</v>
      </c>
      <c r="D806" s="7" t="s">
        <v>48</v>
      </c>
      <c r="E806">
        <v>1763.6999999999998</v>
      </c>
    </row>
    <row r="807" spans="1:5" x14ac:dyDescent="0.25">
      <c r="A807" s="7" t="s">
        <v>31</v>
      </c>
      <c r="B807">
        <v>2016</v>
      </c>
      <c r="C807" s="7" t="s">
        <v>39</v>
      </c>
      <c r="D807" s="7" t="s">
        <v>49</v>
      </c>
      <c r="E807">
        <v>141</v>
      </c>
    </row>
    <row r="808" spans="1:5" x14ac:dyDescent="0.25">
      <c r="A808" s="7" t="s">
        <v>31</v>
      </c>
      <c r="B808">
        <v>2016</v>
      </c>
      <c r="C808" s="7" t="s">
        <v>39</v>
      </c>
      <c r="D808" s="7" t="s">
        <v>50</v>
      </c>
      <c r="E808">
        <v>397</v>
      </c>
    </row>
    <row r="809" spans="1:5" x14ac:dyDescent="0.25">
      <c r="A809" s="7" t="s">
        <v>31</v>
      </c>
      <c r="B809">
        <v>2016</v>
      </c>
      <c r="C809" s="7" t="s">
        <v>39</v>
      </c>
      <c r="D809" s="7" t="s">
        <v>19</v>
      </c>
      <c r="E809">
        <v>127.9</v>
      </c>
    </row>
    <row r="810" spans="1:5" x14ac:dyDescent="0.25">
      <c r="A810" s="7" t="s">
        <v>31</v>
      </c>
      <c r="B810">
        <v>2016</v>
      </c>
      <c r="C810" s="7" t="s">
        <v>39</v>
      </c>
      <c r="D810" s="7" t="s">
        <v>51</v>
      </c>
      <c r="E810">
        <v>124.1</v>
      </c>
    </row>
    <row r="811" spans="1:5" x14ac:dyDescent="0.25">
      <c r="A811" s="7" t="s">
        <v>31</v>
      </c>
      <c r="B811">
        <v>2016</v>
      </c>
      <c r="C811" s="7" t="s">
        <v>39</v>
      </c>
      <c r="D811" s="7" t="s">
        <v>26</v>
      </c>
      <c r="E811">
        <v>867.19999999999993</v>
      </c>
    </row>
    <row r="812" spans="1:5" x14ac:dyDescent="0.25">
      <c r="A812" s="7" t="s">
        <v>28</v>
      </c>
      <c r="B812">
        <v>2016</v>
      </c>
      <c r="C812" s="7" t="s">
        <v>40</v>
      </c>
      <c r="D812" s="7" t="s">
        <v>48</v>
      </c>
      <c r="E812">
        <v>1771.8000000000002</v>
      </c>
    </row>
    <row r="813" spans="1:5" x14ac:dyDescent="0.25">
      <c r="A813" s="7" t="s">
        <v>28</v>
      </c>
      <c r="B813">
        <v>2016</v>
      </c>
      <c r="C813" s="7" t="s">
        <v>40</v>
      </c>
      <c r="D813" s="7" t="s">
        <v>49</v>
      </c>
      <c r="E813">
        <v>140.9</v>
      </c>
    </row>
    <row r="814" spans="1:5" x14ac:dyDescent="0.25">
      <c r="A814" s="7" t="s">
        <v>28</v>
      </c>
      <c r="B814">
        <v>2016</v>
      </c>
      <c r="C814" s="7" t="s">
        <v>40</v>
      </c>
      <c r="D814" s="7" t="s">
        <v>50</v>
      </c>
      <c r="E814">
        <v>412.7</v>
      </c>
    </row>
    <row r="815" spans="1:5" x14ac:dyDescent="0.25">
      <c r="A815" s="7" t="s">
        <v>28</v>
      </c>
      <c r="B815">
        <v>2016</v>
      </c>
      <c r="C815" s="7" t="s">
        <v>40</v>
      </c>
      <c r="D815" s="7" t="s">
        <v>19</v>
      </c>
      <c r="E815">
        <v>128.9</v>
      </c>
    </row>
    <row r="816" spans="1:5" x14ac:dyDescent="0.25">
      <c r="A816" s="7" t="s">
        <v>28</v>
      </c>
      <c r="B816">
        <v>2016</v>
      </c>
      <c r="C816" s="7" t="s">
        <v>40</v>
      </c>
      <c r="D816" s="7" t="s">
        <v>51</v>
      </c>
      <c r="E816">
        <v>129.80000000000001</v>
      </c>
    </row>
    <row r="817" spans="1:5" x14ac:dyDescent="0.25">
      <c r="A817" s="7" t="s">
        <v>28</v>
      </c>
      <c r="B817">
        <v>2016</v>
      </c>
      <c r="C817" s="7" t="s">
        <v>40</v>
      </c>
      <c r="D817" s="7" t="s">
        <v>26</v>
      </c>
      <c r="E817">
        <v>886.5</v>
      </c>
    </row>
    <row r="818" spans="1:5" x14ac:dyDescent="0.25">
      <c r="A818" s="7" t="s">
        <v>30</v>
      </c>
      <c r="B818">
        <v>2016</v>
      </c>
      <c r="C818" s="7" t="s">
        <v>40</v>
      </c>
      <c r="D818" s="7" t="s">
        <v>48</v>
      </c>
      <c r="E818">
        <v>1762.8999999999999</v>
      </c>
    </row>
    <row r="819" spans="1:5" x14ac:dyDescent="0.25">
      <c r="A819" s="7" t="s">
        <v>30</v>
      </c>
      <c r="B819">
        <v>2016</v>
      </c>
      <c r="C819" s="7" t="s">
        <v>40</v>
      </c>
      <c r="D819" s="7" t="s">
        <v>49</v>
      </c>
      <c r="E819">
        <v>144.30000000000001</v>
      </c>
    </row>
    <row r="820" spans="1:5" x14ac:dyDescent="0.25">
      <c r="A820" s="7" t="s">
        <v>30</v>
      </c>
      <c r="B820">
        <v>2016</v>
      </c>
      <c r="C820" s="7" t="s">
        <v>40</v>
      </c>
      <c r="D820" s="7" t="s">
        <v>50</v>
      </c>
      <c r="E820">
        <v>379</v>
      </c>
    </row>
    <row r="821" spans="1:5" x14ac:dyDescent="0.25">
      <c r="A821" s="7" t="s">
        <v>30</v>
      </c>
      <c r="B821">
        <v>2016</v>
      </c>
      <c r="C821" s="7" t="s">
        <v>40</v>
      </c>
      <c r="D821" s="7" t="s">
        <v>19</v>
      </c>
      <c r="E821">
        <v>128.69999999999999</v>
      </c>
    </row>
    <row r="822" spans="1:5" x14ac:dyDescent="0.25">
      <c r="A822" s="7" t="s">
        <v>30</v>
      </c>
      <c r="B822">
        <v>2016</v>
      </c>
      <c r="C822" s="7" t="s">
        <v>40</v>
      </c>
      <c r="D822" s="7" t="s">
        <v>51</v>
      </c>
      <c r="E822">
        <v>115.2</v>
      </c>
    </row>
    <row r="823" spans="1:5" x14ac:dyDescent="0.25">
      <c r="A823" s="7" t="s">
        <v>30</v>
      </c>
      <c r="B823">
        <v>2016</v>
      </c>
      <c r="C823" s="7" t="s">
        <v>40</v>
      </c>
      <c r="D823" s="7" t="s">
        <v>26</v>
      </c>
      <c r="E823">
        <v>853.9</v>
      </c>
    </row>
    <row r="824" spans="1:5" x14ac:dyDescent="0.25">
      <c r="A824" s="7" t="s">
        <v>31</v>
      </c>
      <c r="B824">
        <v>2016</v>
      </c>
      <c r="C824" s="7" t="s">
        <v>40</v>
      </c>
      <c r="D824" s="7" t="s">
        <v>48</v>
      </c>
      <c r="E824">
        <v>1766.7999999999995</v>
      </c>
    </row>
    <row r="825" spans="1:5" x14ac:dyDescent="0.25">
      <c r="A825" s="7" t="s">
        <v>31</v>
      </c>
      <c r="B825">
        <v>2016</v>
      </c>
      <c r="C825" s="7" t="s">
        <v>40</v>
      </c>
      <c r="D825" s="7" t="s">
        <v>49</v>
      </c>
      <c r="E825">
        <v>141.80000000000001</v>
      </c>
    </row>
    <row r="826" spans="1:5" x14ac:dyDescent="0.25">
      <c r="A826" s="7" t="s">
        <v>31</v>
      </c>
      <c r="B826">
        <v>2016</v>
      </c>
      <c r="C826" s="7" t="s">
        <v>40</v>
      </c>
      <c r="D826" s="7" t="s">
        <v>50</v>
      </c>
      <c r="E826">
        <v>399.1</v>
      </c>
    </row>
    <row r="827" spans="1:5" x14ac:dyDescent="0.25">
      <c r="A827" s="7" t="s">
        <v>31</v>
      </c>
      <c r="B827">
        <v>2016</v>
      </c>
      <c r="C827" s="7" t="s">
        <v>40</v>
      </c>
      <c r="D827" s="7" t="s">
        <v>19</v>
      </c>
      <c r="E827">
        <v>128.69999999999999</v>
      </c>
    </row>
    <row r="828" spans="1:5" x14ac:dyDescent="0.25">
      <c r="A828" s="7" t="s">
        <v>31</v>
      </c>
      <c r="B828">
        <v>2016</v>
      </c>
      <c r="C828" s="7" t="s">
        <v>40</v>
      </c>
      <c r="D828" s="7" t="s">
        <v>51</v>
      </c>
      <c r="E828">
        <v>124.3</v>
      </c>
    </row>
    <row r="829" spans="1:5" x14ac:dyDescent="0.25">
      <c r="A829" s="7" t="s">
        <v>31</v>
      </c>
      <c r="B829">
        <v>2016</v>
      </c>
      <c r="C829" s="7" t="s">
        <v>40</v>
      </c>
      <c r="D829" s="7" t="s">
        <v>26</v>
      </c>
      <c r="E829">
        <v>871.1</v>
      </c>
    </row>
    <row r="830" spans="1:5" x14ac:dyDescent="0.25">
      <c r="A830" s="7" t="s">
        <v>28</v>
      </c>
      <c r="B830">
        <v>2016</v>
      </c>
      <c r="C830" s="7" t="s">
        <v>42</v>
      </c>
      <c r="D830" s="7" t="s">
        <v>48</v>
      </c>
      <c r="E830">
        <v>1764.6</v>
      </c>
    </row>
    <row r="831" spans="1:5" x14ac:dyDescent="0.25">
      <c r="A831" s="7" t="s">
        <v>28</v>
      </c>
      <c r="B831">
        <v>2016</v>
      </c>
      <c r="C831" s="7" t="s">
        <v>42</v>
      </c>
      <c r="D831" s="7" t="s">
        <v>49</v>
      </c>
      <c r="E831">
        <v>141.19999999999999</v>
      </c>
    </row>
    <row r="832" spans="1:5" x14ac:dyDescent="0.25">
      <c r="A832" s="7" t="s">
        <v>28</v>
      </c>
      <c r="B832">
        <v>2016</v>
      </c>
      <c r="C832" s="7" t="s">
        <v>42</v>
      </c>
      <c r="D832" s="7" t="s">
        <v>50</v>
      </c>
      <c r="E832">
        <v>413.59999999999997</v>
      </c>
    </row>
    <row r="833" spans="1:5" x14ac:dyDescent="0.25">
      <c r="A833" s="7" t="s">
        <v>28</v>
      </c>
      <c r="B833">
        <v>2016</v>
      </c>
      <c r="C833" s="7" t="s">
        <v>42</v>
      </c>
      <c r="D833" s="7" t="s">
        <v>19</v>
      </c>
      <c r="E833">
        <v>128.80000000000001</v>
      </c>
    </row>
    <row r="834" spans="1:5" x14ac:dyDescent="0.25">
      <c r="A834" s="7" t="s">
        <v>28</v>
      </c>
      <c r="B834">
        <v>2016</v>
      </c>
      <c r="C834" s="7" t="s">
        <v>42</v>
      </c>
      <c r="D834" s="7" t="s">
        <v>51</v>
      </c>
      <c r="E834">
        <v>130.30000000000001</v>
      </c>
    </row>
    <row r="835" spans="1:5" x14ac:dyDescent="0.25">
      <c r="A835" s="7" t="s">
        <v>28</v>
      </c>
      <c r="B835">
        <v>2016</v>
      </c>
      <c r="C835" s="7" t="s">
        <v>42</v>
      </c>
      <c r="D835" s="7" t="s">
        <v>26</v>
      </c>
      <c r="E835">
        <v>889.6</v>
      </c>
    </row>
    <row r="836" spans="1:5" x14ac:dyDescent="0.25">
      <c r="A836" s="7" t="s">
        <v>30</v>
      </c>
      <c r="B836">
        <v>2016</v>
      </c>
      <c r="C836" s="7" t="s">
        <v>42</v>
      </c>
      <c r="D836" s="7" t="s">
        <v>48</v>
      </c>
      <c r="E836">
        <v>1755.2</v>
      </c>
    </row>
    <row r="837" spans="1:5" x14ac:dyDescent="0.25">
      <c r="A837" s="7" t="s">
        <v>30</v>
      </c>
      <c r="B837">
        <v>2016</v>
      </c>
      <c r="C837" s="7" t="s">
        <v>42</v>
      </c>
      <c r="D837" s="7" t="s">
        <v>49</v>
      </c>
      <c r="E837">
        <v>144.30000000000001</v>
      </c>
    </row>
    <row r="838" spans="1:5" x14ac:dyDescent="0.25">
      <c r="A838" s="7" t="s">
        <v>30</v>
      </c>
      <c r="B838">
        <v>2016</v>
      </c>
      <c r="C838" s="7" t="s">
        <v>42</v>
      </c>
      <c r="D838" s="7" t="s">
        <v>50</v>
      </c>
      <c r="E838">
        <v>380.2</v>
      </c>
    </row>
    <row r="839" spans="1:5" x14ac:dyDescent="0.25">
      <c r="A839" s="7" t="s">
        <v>30</v>
      </c>
      <c r="B839">
        <v>2016</v>
      </c>
      <c r="C839" s="7" t="s">
        <v>42</v>
      </c>
      <c r="D839" s="7" t="s">
        <v>19</v>
      </c>
      <c r="E839">
        <v>129.1</v>
      </c>
    </row>
    <row r="840" spans="1:5" x14ac:dyDescent="0.25">
      <c r="A840" s="7" t="s">
        <v>30</v>
      </c>
      <c r="B840">
        <v>2016</v>
      </c>
      <c r="C840" s="7" t="s">
        <v>42</v>
      </c>
      <c r="D840" s="7" t="s">
        <v>51</v>
      </c>
      <c r="E840">
        <v>116.2</v>
      </c>
    </row>
    <row r="841" spans="1:5" x14ac:dyDescent="0.25">
      <c r="A841" s="7" t="s">
        <v>30</v>
      </c>
      <c r="B841">
        <v>2016</v>
      </c>
      <c r="C841" s="7" t="s">
        <v>42</v>
      </c>
      <c r="D841" s="7" t="s">
        <v>26</v>
      </c>
      <c r="E841">
        <v>856.59999999999991</v>
      </c>
    </row>
    <row r="842" spans="1:5" x14ac:dyDescent="0.25">
      <c r="A842" s="7" t="s">
        <v>31</v>
      </c>
      <c r="B842">
        <v>2016</v>
      </c>
      <c r="C842" s="7" t="s">
        <v>42</v>
      </c>
      <c r="D842" s="7" t="s">
        <v>48</v>
      </c>
      <c r="E842">
        <v>1759.8</v>
      </c>
    </row>
    <row r="843" spans="1:5" x14ac:dyDescent="0.25">
      <c r="A843" s="7" t="s">
        <v>31</v>
      </c>
      <c r="B843">
        <v>2016</v>
      </c>
      <c r="C843" s="7" t="s">
        <v>42</v>
      </c>
      <c r="D843" s="7" t="s">
        <v>49</v>
      </c>
      <c r="E843">
        <v>142</v>
      </c>
    </row>
    <row r="844" spans="1:5" x14ac:dyDescent="0.25">
      <c r="A844" s="7" t="s">
        <v>31</v>
      </c>
      <c r="B844">
        <v>2016</v>
      </c>
      <c r="C844" s="7" t="s">
        <v>42</v>
      </c>
      <c r="D844" s="7" t="s">
        <v>50</v>
      </c>
      <c r="E844">
        <v>400.1</v>
      </c>
    </row>
    <row r="845" spans="1:5" x14ac:dyDescent="0.25">
      <c r="A845" s="7" t="s">
        <v>31</v>
      </c>
      <c r="B845">
        <v>2016</v>
      </c>
      <c r="C845" s="7" t="s">
        <v>42</v>
      </c>
      <c r="D845" s="7" t="s">
        <v>19</v>
      </c>
      <c r="E845">
        <v>129.1</v>
      </c>
    </row>
    <row r="846" spans="1:5" x14ac:dyDescent="0.25">
      <c r="A846" s="7" t="s">
        <v>31</v>
      </c>
      <c r="B846">
        <v>2016</v>
      </c>
      <c r="C846" s="7" t="s">
        <v>42</v>
      </c>
      <c r="D846" s="7" t="s">
        <v>51</v>
      </c>
      <c r="E846">
        <v>125</v>
      </c>
    </row>
    <row r="847" spans="1:5" x14ac:dyDescent="0.25">
      <c r="A847" s="7" t="s">
        <v>31</v>
      </c>
      <c r="B847">
        <v>2016</v>
      </c>
      <c r="C847" s="7" t="s">
        <v>42</v>
      </c>
      <c r="D847" s="7" t="s">
        <v>26</v>
      </c>
      <c r="E847">
        <v>873.9</v>
      </c>
    </row>
    <row r="848" spans="1:5" x14ac:dyDescent="0.25">
      <c r="A848" s="7" t="s">
        <v>28</v>
      </c>
      <c r="B848">
        <v>2016</v>
      </c>
      <c r="C848" s="7" t="s">
        <v>43</v>
      </c>
      <c r="D848" s="7" t="s">
        <v>48</v>
      </c>
      <c r="E848">
        <v>1749.1</v>
      </c>
    </row>
    <row r="849" spans="1:5" x14ac:dyDescent="0.25">
      <c r="A849" s="7" t="s">
        <v>28</v>
      </c>
      <c r="B849">
        <v>2016</v>
      </c>
      <c r="C849" s="7" t="s">
        <v>43</v>
      </c>
      <c r="D849" s="7" t="s">
        <v>49</v>
      </c>
      <c r="E849">
        <v>142.4</v>
      </c>
    </row>
    <row r="850" spans="1:5" x14ac:dyDescent="0.25">
      <c r="A850" s="7" t="s">
        <v>28</v>
      </c>
      <c r="B850">
        <v>2016</v>
      </c>
      <c r="C850" s="7" t="s">
        <v>43</v>
      </c>
      <c r="D850" s="7" t="s">
        <v>50</v>
      </c>
      <c r="E850">
        <v>415.3</v>
      </c>
    </row>
    <row r="851" spans="1:5" x14ac:dyDescent="0.25">
      <c r="A851" s="7" t="s">
        <v>28</v>
      </c>
      <c r="B851">
        <v>2016</v>
      </c>
      <c r="C851" s="7" t="s">
        <v>43</v>
      </c>
      <c r="D851" s="7" t="s">
        <v>19</v>
      </c>
      <c r="E851">
        <v>129.1</v>
      </c>
    </row>
    <row r="852" spans="1:5" x14ac:dyDescent="0.25">
      <c r="A852" s="7" t="s">
        <v>28</v>
      </c>
      <c r="B852">
        <v>2016</v>
      </c>
      <c r="C852" s="7" t="s">
        <v>43</v>
      </c>
      <c r="D852" s="7" t="s">
        <v>51</v>
      </c>
      <c r="E852">
        <v>132</v>
      </c>
    </row>
    <row r="853" spans="1:5" x14ac:dyDescent="0.25">
      <c r="A853" s="7" t="s">
        <v>28</v>
      </c>
      <c r="B853">
        <v>2016</v>
      </c>
      <c r="C853" s="7" t="s">
        <v>43</v>
      </c>
      <c r="D853" s="7" t="s">
        <v>26</v>
      </c>
      <c r="E853">
        <v>890.9</v>
      </c>
    </row>
    <row r="854" spans="1:5" x14ac:dyDescent="0.25">
      <c r="A854" s="7" t="s">
        <v>30</v>
      </c>
      <c r="B854">
        <v>2016</v>
      </c>
      <c r="C854" s="7" t="s">
        <v>43</v>
      </c>
      <c r="D854" s="7" t="s">
        <v>48</v>
      </c>
      <c r="E854">
        <v>1729.8</v>
      </c>
    </row>
    <row r="855" spans="1:5" x14ac:dyDescent="0.25">
      <c r="A855" s="7" t="s">
        <v>30</v>
      </c>
      <c r="B855">
        <v>2016</v>
      </c>
      <c r="C855" s="7" t="s">
        <v>43</v>
      </c>
      <c r="D855" s="7" t="s">
        <v>49</v>
      </c>
      <c r="E855">
        <v>145</v>
      </c>
    </row>
    <row r="856" spans="1:5" x14ac:dyDescent="0.25">
      <c r="A856" s="7" t="s">
        <v>30</v>
      </c>
      <c r="B856">
        <v>2016</v>
      </c>
      <c r="C856" s="7" t="s">
        <v>43</v>
      </c>
      <c r="D856" s="7" t="s">
        <v>50</v>
      </c>
      <c r="E856">
        <v>381</v>
      </c>
    </row>
    <row r="857" spans="1:5" x14ac:dyDescent="0.25">
      <c r="A857" s="7" t="s">
        <v>30</v>
      </c>
      <c r="B857">
        <v>2016</v>
      </c>
      <c r="C857" s="7" t="s">
        <v>43</v>
      </c>
      <c r="D857" s="7" t="s">
        <v>19</v>
      </c>
      <c r="E857">
        <v>128.5</v>
      </c>
    </row>
    <row r="858" spans="1:5" x14ac:dyDescent="0.25">
      <c r="A858" s="7" t="s">
        <v>30</v>
      </c>
      <c r="B858">
        <v>2016</v>
      </c>
      <c r="C858" s="7" t="s">
        <v>43</v>
      </c>
      <c r="D858" s="7" t="s">
        <v>51</v>
      </c>
      <c r="E858">
        <v>117.8</v>
      </c>
    </row>
    <row r="859" spans="1:5" x14ac:dyDescent="0.25">
      <c r="A859" s="7" t="s">
        <v>30</v>
      </c>
      <c r="B859">
        <v>2016</v>
      </c>
      <c r="C859" s="7" t="s">
        <v>43</v>
      </c>
      <c r="D859" s="7" t="s">
        <v>26</v>
      </c>
      <c r="E859">
        <v>856.4</v>
      </c>
    </row>
    <row r="860" spans="1:5" x14ac:dyDescent="0.25">
      <c r="A860" s="7" t="s">
        <v>31</v>
      </c>
      <c r="B860">
        <v>2016</v>
      </c>
      <c r="C860" s="7" t="s">
        <v>43</v>
      </c>
      <c r="D860" s="7" t="s">
        <v>48</v>
      </c>
      <c r="E860">
        <v>1740.7</v>
      </c>
    </row>
    <row r="861" spans="1:5" x14ac:dyDescent="0.25">
      <c r="A861" s="7" t="s">
        <v>31</v>
      </c>
      <c r="B861">
        <v>2016</v>
      </c>
      <c r="C861" s="7" t="s">
        <v>43</v>
      </c>
      <c r="D861" s="7" t="s">
        <v>49</v>
      </c>
      <c r="E861">
        <v>143.1</v>
      </c>
    </row>
    <row r="862" spans="1:5" x14ac:dyDescent="0.25">
      <c r="A862" s="7" t="s">
        <v>31</v>
      </c>
      <c r="B862">
        <v>2016</v>
      </c>
      <c r="C862" s="7" t="s">
        <v>43</v>
      </c>
      <c r="D862" s="7" t="s">
        <v>50</v>
      </c>
      <c r="E862">
        <v>401.5</v>
      </c>
    </row>
    <row r="863" spans="1:5" x14ac:dyDescent="0.25">
      <c r="A863" s="7" t="s">
        <v>31</v>
      </c>
      <c r="B863">
        <v>2016</v>
      </c>
      <c r="C863" s="7" t="s">
        <v>43</v>
      </c>
      <c r="D863" s="7" t="s">
        <v>19</v>
      </c>
      <c r="E863">
        <v>128.5</v>
      </c>
    </row>
    <row r="864" spans="1:5" x14ac:dyDescent="0.25">
      <c r="A864" s="7" t="s">
        <v>31</v>
      </c>
      <c r="B864">
        <v>2016</v>
      </c>
      <c r="C864" s="7" t="s">
        <v>43</v>
      </c>
      <c r="D864" s="7" t="s">
        <v>51</v>
      </c>
      <c r="E864">
        <v>126.6</v>
      </c>
    </row>
    <row r="865" spans="1:5" x14ac:dyDescent="0.25">
      <c r="A865" s="7" t="s">
        <v>31</v>
      </c>
      <c r="B865">
        <v>2016</v>
      </c>
      <c r="C865" s="7" t="s">
        <v>43</v>
      </c>
      <c r="D865" s="7" t="s">
        <v>26</v>
      </c>
      <c r="E865">
        <v>874.4</v>
      </c>
    </row>
    <row r="866" spans="1:5" x14ac:dyDescent="0.25">
      <c r="A866" s="7" t="s">
        <v>28</v>
      </c>
      <c r="B866">
        <v>2017</v>
      </c>
      <c r="C866" s="7" t="s">
        <v>29</v>
      </c>
      <c r="D866" s="7" t="s">
        <v>48</v>
      </c>
      <c r="E866">
        <v>1737.3000000000002</v>
      </c>
    </row>
    <row r="867" spans="1:5" x14ac:dyDescent="0.25">
      <c r="A867" s="7" t="s">
        <v>28</v>
      </c>
      <c r="B867">
        <v>2017</v>
      </c>
      <c r="C867" s="7" t="s">
        <v>29</v>
      </c>
      <c r="D867" s="7" t="s">
        <v>49</v>
      </c>
      <c r="E867">
        <v>143.1</v>
      </c>
    </row>
    <row r="868" spans="1:5" x14ac:dyDescent="0.25">
      <c r="A868" s="7" t="s">
        <v>28</v>
      </c>
      <c r="B868">
        <v>2017</v>
      </c>
      <c r="C868" s="7" t="s">
        <v>29</v>
      </c>
      <c r="D868" s="7" t="s">
        <v>50</v>
      </c>
      <c r="E868">
        <v>416.5</v>
      </c>
    </row>
    <row r="869" spans="1:5" x14ac:dyDescent="0.25">
      <c r="A869" s="7" t="s">
        <v>28</v>
      </c>
      <c r="B869">
        <v>2017</v>
      </c>
      <c r="C869" s="7" t="s">
        <v>29</v>
      </c>
      <c r="D869" s="7" t="s">
        <v>19</v>
      </c>
      <c r="E869">
        <v>130.1</v>
      </c>
    </row>
    <row r="870" spans="1:5" x14ac:dyDescent="0.25">
      <c r="A870" s="7" t="s">
        <v>28</v>
      </c>
      <c r="B870">
        <v>2017</v>
      </c>
      <c r="C870" s="7" t="s">
        <v>29</v>
      </c>
      <c r="D870" s="7" t="s">
        <v>51</v>
      </c>
      <c r="E870">
        <v>132.1</v>
      </c>
    </row>
    <row r="871" spans="1:5" x14ac:dyDescent="0.25">
      <c r="A871" s="7" t="s">
        <v>28</v>
      </c>
      <c r="B871">
        <v>2017</v>
      </c>
      <c r="C871" s="7" t="s">
        <v>29</v>
      </c>
      <c r="D871" s="7" t="s">
        <v>26</v>
      </c>
      <c r="E871">
        <v>892.7</v>
      </c>
    </row>
    <row r="872" spans="1:5" x14ac:dyDescent="0.25">
      <c r="A872" s="7" t="s">
        <v>30</v>
      </c>
      <c r="B872">
        <v>2017</v>
      </c>
      <c r="C872" s="7" t="s">
        <v>29</v>
      </c>
      <c r="D872" s="7" t="s">
        <v>48</v>
      </c>
      <c r="E872">
        <v>1713.2</v>
      </c>
    </row>
    <row r="873" spans="1:5" x14ac:dyDescent="0.25">
      <c r="A873" s="7" t="s">
        <v>30</v>
      </c>
      <c r="B873">
        <v>2017</v>
      </c>
      <c r="C873" s="7" t="s">
        <v>29</v>
      </c>
      <c r="D873" s="7" t="s">
        <v>49</v>
      </c>
      <c r="E873">
        <v>145.6</v>
      </c>
    </row>
    <row r="874" spans="1:5" x14ac:dyDescent="0.25">
      <c r="A874" s="7" t="s">
        <v>30</v>
      </c>
      <c r="B874">
        <v>2017</v>
      </c>
      <c r="C874" s="7" t="s">
        <v>29</v>
      </c>
      <c r="D874" s="7" t="s">
        <v>50</v>
      </c>
      <c r="E874">
        <v>381.5</v>
      </c>
    </row>
    <row r="875" spans="1:5" x14ac:dyDescent="0.25">
      <c r="A875" s="7" t="s">
        <v>30</v>
      </c>
      <c r="B875">
        <v>2017</v>
      </c>
      <c r="C875" s="7" t="s">
        <v>29</v>
      </c>
      <c r="D875" s="7" t="s">
        <v>19</v>
      </c>
      <c r="E875">
        <v>129.6</v>
      </c>
    </row>
    <row r="876" spans="1:5" x14ac:dyDescent="0.25">
      <c r="A876" s="7" t="s">
        <v>30</v>
      </c>
      <c r="B876">
        <v>2017</v>
      </c>
      <c r="C876" s="7" t="s">
        <v>29</v>
      </c>
      <c r="D876" s="7" t="s">
        <v>51</v>
      </c>
      <c r="E876">
        <v>118</v>
      </c>
    </row>
    <row r="877" spans="1:5" x14ac:dyDescent="0.25">
      <c r="A877" s="7" t="s">
        <v>30</v>
      </c>
      <c r="B877">
        <v>2017</v>
      </c>
      <c r="C877" s="7" t="s">
        <v>29</v>
      </c>
      <c r="D877" s="7" t="s">
        <v>26</v>
      </c>
      <c r="E877">
        <v>860.3</v>
      </c>
    </row>
    <row r="878" spans="1:5" x14ac:dyDescent="0.25">
      <c r="A878" s="7" t="s">
        <v>31</v>
      </c>
      <c r="B878">
        <v>2017</v>
      </c>
      <c r="C878" s="7" t="s">
        <v>29</v>
      </c>
      <c r="D878" s="7" t="s">
        <v>48</v>
      </c>
      <c r="E878">
        <v>1727.2999999999995</v>
      </c>
    </row>
    <row r="879" spans="1:5" x14ac:dyDescent="0.25">
      <c r="A879" s="7" t="s">
        <v>31</v>
      </c>
      <c r="B879">
        <v>2017</v>
      </c>
      <c r="C879" s="7" t="s">
        <v>29</v>
      </c>
      <c r="D879" s="7" t="s">
        <v>49</v>
      </c>
      <c r="E879">
        <v>143.80000000000001</v>
      </c>
    </row>
    <row r="880" spans="1:5" x14ac:dyDescent="0.25">
      <c r="A880" s="7" t="s">
        <v>31</v>
      </c>
      <c r="B880">
        <v>2017</v>
      </c>
      <c r="C880" s="7" t="s">
        <v>29</v>
      </c>
      <c r="D880" s="7" t="s">
        <v>50</v>
      </c>
      <c r="E880">
        <v>402.4</v>
      </c>
    </row>
    <row r="881" spans="1:5" x14ac:dyDescent="0.25">
      <c r="A881" s="7" t="s">
        <v>31</v>
      </c>
      <c r="B881">
        <v>2017</v>
      </c>
      <c r="C881" s="7" t="s">
        <v>29</v>
      </c>
      <c r="D881" s="7" t="s">
        <v>19</v>
      </c>
      <c r="E881">
        <v>129.6</v>
      </c>
    </row>
    <row r="882" spans="1:5" x14ac:dyDescent="0.25">
      <c r="A882" s="7" t="s">
        <v>31</v>
      </c>
      <c r="B882">
        <v>2017</v>
      </c>
      <c r="C882" s="7" t="s">
        <v>29</v>
      </c>
      <c r="D882" s="7" t="s">
        <v>51</v>
      </c>
      <c r="E882">
        <v>126.8</v>
      </c>
    </row>
    <row r="883" spans="1:5" x14ac:dyDescent="0.25">
      <c r="A883" s="7" t="s">
        <v>31</v>
      </c>
      <c r="B883">
        <v>2017</v>
      </c>
      <c r="C883" s="7" t="s">
        <v>29</v>
      </c>
      <c r="D883" s="7" t="s">
        <v>26</v>
      </c>
      <c r="E883">
        <v>877.1</v>
      </c>
    </row>
    <row r="884" spans="1:5" x14ac:dyDescent="0.25">
      <c r="A884" s="7" t="s">
        <v>28</v>
      </c>
      <c r="B884">
        <v>2017</v>
      </c>
      <c r="C884" s="7" t="s">
        <v>32</v>
      </c>
      <c r="D884" s="7" t="s">
        <v>48</v>
      </c>
      <c r="E884">
        <v>1734.5000000000002</v>
      </c>
    </row>
    <row r="885" spans="1:5" x14ac:dyDescent="0.25">
      <c r="A885" s="7" t="s">
        <v>28</v>
      </c>
      <c r="B885">
        <v>2017</v>
      </c>
      <c r="C885" s="7" t="s">
        <v>32</v>
      </c>
      <c r="D885" s="7" t="s">
        <v>49</v>
      </c>
      <c r="E885">
        <v>143.69999999999999</v>
      </c>
    </row>
    <row r="886" spans="1:5" x14ac:dyDescent="0.25">
      <c r="A886" s="7" t="s">
        <v>28</v>
      </c>
      <c r="B886">
        <v>2017</v>
      </c>
      <c r="C886" s="7" t="s">
        <v>32</v>
      </c>
      <c r="D886" s="7" t="s">
        <v>50</v>
      </c>
      <c r="E886">
        <v>416.90000000000003</v>
      </c>
    </row>
    <row r="887" spans="1:5" x14ac:dyDescent="0.25">
      <c r="A887" s="7" t="s">
        <v>28</v>
      </c>
      <c r="B887">
        <v>2017</v>
      </c>
      <c r="C887" s="7" t="s">
        <v>32</v>
      </c>
      <c r="D887" s="7" t="s">
        <v>19</v>
      </c>
      <c r="E887">
        <v>130.80000000000001</v>
      </c>
    </row>
    <row r="888" spans="1:5" x14ac:dyDescent="0.25">
      <c r="A888" s="7" t="s">
        <v>28</v>
      </c>
      <c r="B888">
        <v>2017</v>
      </c>
      <c r="C888" s="7" t="s">
        <v>32</v>
      </c>
      <c r="D888" s="7" t="s">
        <v>51</v>
      </c>
      <c r="E888">
        <v>133.19999999999999</v>
      </c>
    </row>
    <row r="889" spans="1:5" x14ac:dyDescent="0.25">
      <c r="A889" s="7" t="s">
        <v>28</v>
      </c>
      <c r="B889">
        <v>2017</v>
      </c>
      <c r="C889" s="7" t="s">
        <v>32</v>
      </c>
      <c r="D889" s="7" t="s">
        <v>26</v>
      </c>
      <c r="E889">
        <v>896</v>
      </c>
    </row>
    <row r="890" spans="1:5" x14ac:dyDescent="0.25">
      <c r="A890" s="7" t="s">
        <v>30</v>
      </c>
      <c r="B890">
        <v>2017</v>
      </c>
      <c r="C890" s="7" t="s">
        <v>32</v>
      </c>
      <c r="D890" s="7" t="s">
        <v>48</v>
      </c>
      <c r="E890">
        <v>1705.3000000000002</v>
      </c>
    </row>
    <row r="891" spans="1:5" x14ac:dyDescent="0.25">
      <c r="A891" s="7" t="s">
        <v>30</v>
      </c>
      <c r="B891">
        <v>2017</v>
      </c>
      <c r="C891" s="7" t="s">
        <v>32</v>
      </c>
      <c r="D891" s="7" t="s">
        <v>49</v>
      </c>
      <c r="E891">
        <v>146.30000000000001</v>
      </c>
    </row>
    <row r="892" spans="1:5" x14ac:dyDescent="0.25">
      <c r="A892" s="7" t="s">
        <v>30</v>
      </c>
      <c r="B892">
        <v>2017</v>
      </c>
      <c r="C892" s="7" t="s">
        <v>32</v>
      </c>
      <c r="D892" s="7" t="s">
        <v>50</v>
      </c>
      <c r="E892">
        <v>382.3</v>
      </c>
    </row>
    <row r="893" spans="1:5" x14ac:dyDescent="0.25">
      <c r="A893" s="7" t="s">
        <v>30</v>
      </c>
      <c r="B893">
        <v>2017</v>
      </c>
      <c r="C893" s="7" t="s">
        <v>32</v>
      </c>
      <c r="D893" s="7" t="s">
        <v>19</v>
      </c>
      <c r="E893">
        <v>130.5</v>
      </c>
    </row>
    <row r="894" spans="1:5" x14ac:dyDescent="0.25">
      <c r="A894" s="7" t="s">
        <v>30</v>
      </c>
      <c r="B894">
        <v>2017</v>
      </c>
      <c r="C894" s="7" t="s">
        <v>32</v>
      </c>
      <c r="D894" s="7" t="s">
        <v>51</v>
      </c>
      <c r="E894">
        <v>119.2</v>
      </c>
    </row>
    <row r="895" spans="1:5" x14ac:dyDescent="0.25">
      <c r="A895" s="7" t="s">
        <v>30</v>
      </c>
      <c r="B895">
        <v>2017</v>
      </c>
      <c r="C895" s="7" t="s">
        <v>32</v>
      </c>
      <c r="D895" s="7" t="s">
        <v>26</v>
      </c>
      <c r="E895">
        <v>862.4</v>
      </c>
    </row>
    <row r="896" spans="1:5" x14ac:dyDescent="0.25">
      <c r="A896" s="7" t="s">
        <v>31</v>
      </c>
      <c r="B896">
        <v>2017</v>
      </c>
      <c r="C896" s="7" t="s">
        <v>32</v>
      </c>
      <c r="D896" s="7" t="s">
        <v>48</v>
      </c>
      <c r="E896">
        <v>1722.3000000000002</v>
      </c>
    </row>
    <row r="897" spans="1:5" x14ac:dyDescent="0.25">
      <c r="A897" s="7" t="s">
        <v>31</v>
      </c>
      <c r="B897">
        <v>2017</v>
      </c>
      <c r="C897" s="7" t="s">
        <v>32</v>
      </c>
      <c r="D897" s="7" t="s">
        <v>49</v>
      </c>
      <c r="E897">
        <v>144.4</v>
      </c>
    </row>
    <row r="898" spans="1:5" x14ac:dyDescent="0.25">
      <c r="A898" s="7" t="s">
        <v>31</v>
      </c>
      <c r="B898">
        <v>2017</v>
      </c>
      <c r="C898" s="7" t="s">
        <v>32</v>
      </c>
      <c r="D898" s="7" t="s">
        <v>50</v>
      </c>
      <c r="E898">
        <v>403</v>
      </c>
    </row>
    <row r="899" spans="1:5" x14ac:dyDescent="0.25">
      <c r="A899" s="7" t="s">
        <v>31</v>
      </c>
      <c r="B899">
        <v>2017</v>
      </c>
      <c r="C899" s="7" t="s">
        <v>32</v>
      </c>
      <c r="D899" s="7" t="s">
        <v>19</v>
      </c>
      <c r="E899">
        <v>130.5</v>
      </c>
    </row>
    <row r="900" spans="1:5" x14ac:dyDescent="0.25">
      <c r="A900" s="7" t="s">
        <v>31</v>
      </c>
      <c r="B900">
        <v>2017</v>
      </c>
      <c r="C900" s="7" t="s">
        <v>32</v>
      </c>
      <c r="D900" s="7" t="s">
        <v>51</v>
      </c>
      <c r="E900">
        <v>127.9</v>
      </c>
    </row>
    <row r="901" spans="1:5" x14ac:dyDescent="0.25">
      <c r="A901" s="7" t="s">
        <v>31</v>
      </c>
      <c r="B901">
        <v>2017</v>
      </c>
      <c r="C901" s="7" t="s">
        <v>32</v>
      </c>
      <c r="D901" s="7" t="s">
        <v>26</v>
      </c>
      <c r="E901">
        <v>879.9</v>
      </c>
    </row>
    <row r="902" spans="1:5" x14ac:dyDescent="0.25">
      <c r="A902" s="7" t="s">
        <v>28</v>
      </c>
      <c r="B902">
        <v>2017</v>
      </c>
      <c r="C902" s="7" t="s">
        <v>33</v>
      </c>
      <c r="D902" s="7" t="s">
        <v>48</v>
      </c>
      <c r="E902">
        <v>1728.5000000000002</v>
      </c>
    </row>
    <row r="903" spans="1:5" x14ac:dyDescent="0.25">
      <c r="A903" s="7" t="s">
        <v>28</v>
      </c>
      <c r="B903">
        <v>2017</v>
      </c>
      <c r="C903" s="7" t="s">
        <v>33</v>
      </c>
      <c r="D903" s="7" t="s">
        <v>49</v>
      </c>
      <c r="E903">
        <v>144.19999999999999</v>
      </c>
    </row>
    <row r="904" spans="1:5" x14ac:dyDescent="0.25">
      <c r="A904" s="7" t="s">
        <v>28</v>
      </c>
      <c r="B904">
        <v>2017</v>
      </c>
      <c r="C904" s="7" t="s">
        <v>33</v>
      </c>
      <c r="D904" s="7" t="s">
        <v>50</v>
      </c>
      <c r="E904">
        <v>418.59999999999997</v>
      </c>
    </row>
    <row r="905" spans="1:5" x14ac:dyDescent="0.25">
      <c r="A905" s="7" t="s">
        <v>28</v>
      </c>
      <c r="B905">
        <v>2017</v>
      </c>
      <c r="C905" s="7" t="s">
        <v>33</v>
      </c>
      <c r="D905" s="7" t="s">
        <v>19</v>
      </c>
      <c r="E905">
        <v>131.4</v>
      </c>
    </row>
    <row r="906" spans="1:5" x14ac:dyDescent="0.25">
      <c r="A906" s="7" t="s">
        <v>28</v>
      </c>
      <c r="B906">
        <v>2017</v>
      </c>
      <c r="C906" s="7" t="s">
        <v>33</v>
      </c>
      <c r="D906" s="7" t="s">
        <v>51</v>
      </c>
      <c r="E906">
        <v>134.19999999999999</v>
      </c>
    </row>
    <row r="907" spans="1:5" x14ac:dyDescent="0.25">
      <c r="A907" s="7" t="s">
        <v>28</v>
      </c>
      <c r="B907">
        <v>2017</v>
      </c>
      <c r="C907" s="7" t="s">
        <v>33</v>
      </c>
      <c r="D907" s="7" t="s">
        <v>26</v>
      </c>
      <c r="E907">
        <v>898.69999999999993</v>
      </c>
    </row>
    <row r="908" spans="1:5" x14ac:dyDescent="0.25">
      <c r="A908" s="7" t="s">
        <v>30</v>
      </c>
      <c r="B908">
        <v>2017</v>
      </c>
      <c r="C908" s="7" t="s">
        <v>33</v>
      </c>
      <c r="D908" s="7" t="s">
        <v>48</v>
      </c>
      <c r="E908">
        <v>1705.6999999999998</v>
      </c>
    </row>
    <row r="909" spans="1:5" x14ac:dyDescent="0.25">
      <c r="A909" s="7" t="s">
        <v>30</v>
      </c>
      <c r="B909">
        <v>2017</v>
      </c>
      <c r="C909" s="7" t="s">
        <v>33</v>
      </c>
      <c r="D909" s="7" t="s">
        <v>49</v>
      </c>
      <c r="E909">
        <v>147.5</v>
      </c>
    </row>
    <row r="910" spans="1:5" x14ac:dyDescent="0.25">
      <c r="A910" s="7" t="s">
        <v>30</v>
      </c>
      <c r="B910">
        <v>2017</v>
      </c>
      <c r="C910" s="7" t="s">
        <v>33</v>
      </c>
      <c r="D910" s="7" t="s">
        <v>50</v>
      </c>
      <c r="E910">
        <v>383.20000000000005</v>
      </c>
    </row>
    <row r="911" spans="1:5" x14ac:dyDescent="0.25">
      <c r="A911" s="7" t="s">
        <v>30</v>
      </c>
      <c r="B911">
        <v>2017</v>
      </c>
      <c r="C911" s="7" t="s">
        <v>33</v>
      </c>
      <c r="D911" s="7" t="s">
        <v>19</v>
      </c>
      <c r="E911">
        <v>131.1</v>
      </c>
    </row>
    <row r="912" spans="1:5" x14ac:dyDescent="0.25">
      <c r="A912" s="7" t="s">
        <v>30</v>
      </c>
      <c r="B912">
        <v>2017</v>
      </c>
      <c r="C912" s="7" t="s">
        <v>33</v>
      </c>
      <c r="D912" s="7" t="s">
        <v>51</v>
      </c>
      <c r="E912">
        <v>120.8</v>
      </c>
    </row>
    <row r="913" spans="1:5" x14ac:dyDescent="0.25">
      <c r="A913" s="7" t="s">
        <v>30</v>
      </c>
      <c r="B913">
        <v>2017</v>
      </c>
      <c r="C913" s="7" t="s">
        <v>33</v>
      </c>
      <c r="D913" s="7" t="s">
        <v>26</v>
      </c>
      <c r="E913">
        <v>863.80000000000007</v>
      </c>
    </row>
    <row r="914" spans="1:5" x14ac:dyDescent="0.25">
      <c r="A914" s="7" t="s">
        <v>31</v>
      </c>
      <c r="B914">
        <v>2017</v>
      </c>
      <c r="C914" s="7" t="s">
        <v>33</v>
      </c>
      <c r="D914" s="7" t="s">
        <v>48</v>
      </c>
      <c r="E914">
        <v>1718.9</v>
      </c>
    </row>
    <row r="915" spans="1:5" x14ac:dyDescent="0.25">
      <c r="A915" s="7" t="s">
        <v>31</v>
      </c>
      <c r="B915">
        <v>2017</v>
      </c>
      <c r="C915" s="7" t="s">
        <v>33</v>
      </c>
      <c r="D915" s="7" t="s">
        <v>49</v>
      </c>
      <c r="E915">
        <v>145.1</v>
      </c>
    </row>
    <row r="916" spans="1:5" x14ac:dyDescent="0.25">
      <c r="A916" s="7" t="s">
        <v>31</v>
      </c>
      <c r="B916">
        <v>2017</v>
      </c>
      <c r="C916" s="7" t="s">
        <v>33</v>
      </c>
      <c r="D916" s="7" t="s">
        <v>50</v>
      </c>
      <c r="E916">
        <v>404.29999999999995</v>
      </c>
    </row>
    <row r="917" spans="1:5" x14ac:dyDescent="0.25">
      <c r="A917" s="7" t="s">
        <v>31</v>
      </c>
      <c r="B917">
        <v>2017</v>
      </c>
      <c r="C917" s="7" t="s">
        <v>33</v>
      </c>
      <c r="D917" s="7" t="s">
        <v>19</v>
      </c>
      <c r="E917">
        <v>131.1</v>
      </c>
    </row>
    <row r="918" spans="1:5" x14ac:dyDescent="0.25">
      <c r="A918" s="7" t="s">
        <v>31</v>
      </c>
      <c r="B918">
        <v>2017</v>
      </c>
      <c r="C918" s="7" t="s">
        <v>33</v>
      </c>
      <c r="D918" s="7" t="s">
        <v>51</v>
      </c>
      <c r="E918">
        <v>129.1</v>
      </c>
    </row>
    <row r="919" spans="1:5" x14ac:dyDescent="0.25">
      <c r="A919" s="7" t="s">
        <v>31</v>
      </c>
      <c r="B919">
        <v>2017</v>
      </c>
      <c r="C919" s="7" t="s">
        <v>33</v>
      </c>
      <c r="D919" s="7" t="s">
        <v>26</v>
      </c>
      <c r="E919">
        <v>882</v>
      </c>
    </row>
    <row r="920" spans="1:5" x14ac:dyDescent="0.25">
      <c r="A920" s="7" t="s">
        <v>28</v>
      </c>
      <c r="B920">
        <v>2017</v>
      </c>
      <c r="C920" s="7" t="s">
        <v>34</v>
      </c>
      <c r="D920" s="7" t="s">
        <v>48</v>
      </c>
      <c r="E920">
        <v>1726.3</v>
      </c>
    </row>
    <row r="921" spans="1:5" x14ac:dyDescent="0.25">
      <c r="A921" s="7" t="s">
        <v>28</v>
      </c>
      <c r="B921">
        <v>2017</v>
      </c>
      <c r="C921" s="7" t="s">
        <v>34</v>
      </c>
      <c r="D921" s="7" t="s">
        <v>49</v>
      </c>
      <c r="E921">
        <v>144.4</v>
      </c>
    </row>
    <row r="922" spans="1:5" x14ac:dyDescent="0.25">
      <c r="A922" s="7" t="s">
        <v>28</v>
      </c>
      <c r="B922">
        <v>2017</v>
      </c>
      <c r="C922" s="7" t="s">
        <v>34</v>
      </c>
      <c r="D922" s="7" t="s">
        <v>50</v>
      </c>
      <c r="E922">
        <v>420.80000000000007</v>
      </c>
    </row>
    <row r="923" spans="1:5" x14ac:dyDescent="0.25">
      <c r="A923" s="7" t="s">
        <v>28</v>
      </c>
      <c r="B923">
        <v>2017</v>
      </c>
      <c r="C923" s="7" t="s">
        <v>34</v>
      </c>
      <c r="D923" s="7" t="s">
        <v>19</v>
      </c>
      <c r="E923">
        <v>131.9</v>
      </c>
    </row>
    <row r="924" spans="1:5" x14ac:dyDescent="0.25">
      <c r="A924" s="7" t="s">
        <v>28</v>
      </c>
      <c r="B924">
        <v>2017</v>
      </c>
      <c r="C924" s="7" t="s">
        <v>34</v>
      </c>
      <c r="D924" s="7" t="s">
        <v>51</v>
      </c>
      <c r="E924">
        <v>135</v>
      </c>
    </row>
    <row r="925" spans="1:5" x14ac:dyDescent="0.25">
      <c r="A925" s="7" t="s">
        <v>28</v>
      </c>
      <c r="B925">
        <v>2017</v>
      </c>
      <c r="C925" s="7" t="s">
        <v>34</v>
      </c>
      <c r="D925" s="7" t="s">
        <v>26</v>
      </c>
      <c r="E925">
        <v>899.7</v>
      </c>
    </row>
    <row r="926" spans="1:5" x14ac:dyDescent="0.25">
      <c r="A926" s="7" t="s">
        <v>30</v>
      </c>
      <c r="B926">
        <v>2017</v>
      </c>
      <c r="C926" s="7" t="s">
        <v>34</v>
      </c>
      <c r="D926" s="7" t="s">
        <v>48</v>
      </c>
      <c r="E926">
        <v>1708.1</v>
      </c>
    </row>
    <row r="927" spans="1:5" x14ac:dyDescent="0.25">
      <c r="A927" s="7" t="s">
        <v>30</v>
      </c>
      <c r="B927">
        <v>2017</v>
      </c>
      <c r="C927" s="7" t="s">
        <v>34</v>
      </c>
      <c r="D927" s="7" t="s">
        <v>49</v>
      </c>
      <c r="E927">
        <v>148</v>
      </c>
    </row>
    <row r="928" spans="1:5" x14ac:dyDescent="0.25">
      <c r="A928" s="7" t="s">
        <v>30</v>
      </c>
      <c r="B928">
        <v>2017</v>
      </c>
      <c r="C928" s="7" t="s">
        <v>34</v>
      </c>
      <c r="D928" s="7" t="s">
        <v>50</v>
      </c>
      <c r="E928">
        <v>384.2</v>
      </c>
    </row>
    <row r="929" spans="1:5" x14ac:dyDescent="0.25">
      <c r="A929" s="7" t="s">
        <v>30</v>
      </c>
      <c r="B929">
        <v>2017</v>
      </c>
      <c r="C929" s="7" t="s">
        <v>34</v>
      </c>
      <c r="D929" s="7" t="s">
        <v>19</v>
      </c>
      <c r="E929">
        <v>131.69999999999999</v>
      </c>
    </row>
    <row r="930" spans="1:5" x14ac:dyDescent="0.25">
      <c r="A930" s="7" t="s">
        <v>30</v>
      </c>
      <c r="B930">
        <v>2017</v>
      </c>
      <c r="C930" s="7" t="s">
        <v>34</v>
      </c>
      <c r="D930" s="7" t="s">
        <v>51</v>
      </c>
      <c r="E930">
        <v>121.4</v>
      </c>
    </row>
    <row r="931" spans="1:5" x14ac:dyDescent="0.25">
      <c r="A931" s="7" t="s">
        <v>30</v>
      </c>
      <c r="B931">
        <v>2017</v>
      </c>
      <c r="C931" s="7" t="s">
        <v>34</v>
      </c>
      <c r="D931" s="7" t="s">
        <v>26</v>
      </c>
      <c r="E931">
        <v>864.6</v>
      </c>
    </row>
    <row r="932" spans="1:5" x14ac:dyDescent="0.25">
      <c r="A932" s="7" t="s">
        <v>31</v>
      </c>
      <c r="B932">
        <v>2017</v>
      </c>
      <c r="C932" s="7" t="s">
        <v>34</v>
      </c>
      <c r="D932" s="7" t="s">
        <v>48</v>
      </c>
      <c r="E932">
        <v>1718.4</v>
      </c>
    </row>
    <row r="933" spans="1:5" x14ac:dyDescent="0.25">
      <c r="A933" s="7" t="s">
        <v>31</v>
      </c>
      <c r="B933">
        <v>2017</v>
      </c>
      <c r="C933" s="7" t="s">
        <v>34</v>
      </c>
      <c r="D933" s="7" t="s">
        <v>49</v>
      </c>
      <c r="E933">
        <v>145.4</v>
      </c>
    </row>
    <row r="934" spans="1:5" x14ac:dyDescent="0.25">
      <c r="A934" s="7" t="s">
        <v>31</v>
      </c>
      <c r="B934">
        <v>2017</v>
      </c>
      <c r="C934" s="7" t="s">
        <v>34</v>
      </c>
      <c r="D934" s="7" t="s">
        <v>50</v>
      </c>
      <c r="E934">
        <v>406.1</v>
      </c>
    </row>
    <row r="935" spans="1:5" x14ac:dyDescent="0.25">
      <c r="A935" s="7" t="s">
        <v>31</v>
      </c>
      <c r="B935">
        <v>2017</v>
      </c>
      <c r="C935" s="7" t="s">
        <v>34</v>
      </c>
      <c r="D935" s="7" t="s">
        <v>19</v>
      </c>
      <c r="E935">
        <v>131.69999999999999</v>
      </c>
    </row>
    <row r="936" spans="1:5" x14ac:dyDescent="0.25">
      <c r="A936" s="7" t="s">
        <v>31</v>
      </c>
      <c r="B936">
        <v>2017</v>
      </c>
      <c r="C936" s="7" t="s">
        <v>34</v>
      </c>
      <c r="D936" s="7" t="s">
        <v>51</v>
      </c>
      <c r="E936">
        <v>129.80000000000001</v>
      </c>
    </row>
    <row r="937" spans="1:5" x14ac:dyDescent="0.25">
      <c r="A937" s="7" t="s">
        <v>31</v>
      </c>
      <c r="B937">
        <v>2017</v>
      </c>
      <c r="C937" s="7" t="s">
        <v>34</v>
      </c>
      <c r="D937" s="7" t="s">
        <v>26</v>
      </c>
      <c r="E937">
        <v>882.90000000000009</v>
      </c>
    </row>
    <row r="938" spans="1:5" x14ac:dyDescent="0.25">
      <c r="A938" s="7" t="s">
        <v>28</v>
      </c>
      <c r="B938">
        <v>2017</v>
      </c>
      <c r="C938" s="7" t="s">
        <v>35</v>
      </c>
      <c r="D938" s="7" t="s">
        <v>48</v>
      </c>
      <c r="E938">
        <v>1727.4999999999995</v>
      </c>
    </row>
    <row r="939" spans="1:5" x14ac:dyDescent="0.25">
      <c r="A939" s="7" t="s">
        <v>28</v>
      </c>
      <c r="B939">
        <v>2017</v>
      </c>
      <c r="C939" s="7" t="s">
        <v>35</v>
      </c>
      <c r="D939" s="7" t="s">
        <v>49</v>
      </c>
      <c r="E939">
        <v>145.5</v>
      </c>
    </row>
    <row r="940" spans="1:5" x14ac:dyDescent="0.25">
      <c r="A940" s="7" t="s">
        <v>28</v>
      </c>
      <c r="B940">
        <v>2017</v>
      </c>
      <c r="C940" s="7" t="s">
        <v>35</v>
      </c>
      <c r="D940" s="7" t="s">
        <v>50</v>
      </c>
      <c r="E940">
        <v>421.6</v>
      </c>
    </row>
    <row r="941" spans="1:5" x14ac:dyDescent="0.25">
      <c r="A941" s="7" t="s">
        <v>28</v>
      </c>
      <c r="B941">
        <v>2017</v>
      </c>
      <c r="C941" s="7" t="s">
        <v>35</v>
      </c>
      <c r="D941" s="7" t="s">
        <v>19</v>
      </c>
      <c r="E941">
        <v>131.80000000000001</v>
      </c>
    </row>
    <row r="942" spans="1:5" x14ac:dyDescent="0.25">
      <c r="A942" s="7" t="s">
        <v>28</v>
      </c>
      <c r="B942">
        <v>2017</v>
      </c>
      <c r="C942" s="7" t="s">
        <v>35</v>
      </c>
      <c r="D942" s="7" t="s">
        <v>51</v>
      </c>
      <c r="E942">
        <v>135</v>
      </c>
    </row>
    <row r="943" spans="1:5" x14ac:dyDescent="0.25">
      <c r="A943" s="7" t="s">
        <v>28</v>
      </c>
      <c r="B943">
        <v>2017</v>
      </c>
      <c r="C943" s="7" t="s">
        <v>35</v>
      </c>
      <c r="D943" s="7" t="s">
        <v>26</v>
      </c>
      <c r="E943">
        <v>903.00000000000011</v>
      </c>
    </row>
    <row r="944" spans="1:5" x14ac:dyDescent="0.25">
      <c r="A944" s="7" t="s">
        <v>30</v>
      </c>
      <c r="B944">
        <v>2017</v>
      </c>
      <c r="C944" s="7" t="s">
        <v>35</v>
      </c>
      <c r="D944" s="7" t="s">
        <v>48</v>
      </c>
      <c r="E944">
        <v>1709.6</v>
      </c>
    </row>
    <row r="945" spans="1:5" x14ac:dyDescent="0.25">
      <c r="A945" s="7" t="s">
        <v>30</v>
      </c>
      <c r="B945">
        <v>2017</v>
      </c>
      <c r="C945" s="7" t="s">
        <v>35</v>
      </c>
      <c r="D945" s="7" t="s">
        <v>49</v>
      </c>
      <c r="E945">
        <v>148.30000000000001</v>
      </c>
    </row>
    <row r="946" spans="1:5" x14ac:dyDescent="0.25">
      <c r="A946" s="7" t="s">
        <v>30</v>
      </c>
      <c r="B946">
        <v>2017</v>
      </c>
      <c r="C946" s="7" t="s">
        <v>35</v>
      </c>
      <c r="D946" s="7" t="s">
        <v>50</v>
      </c>
      <c r="E946">
        <v>384.9</v>
      </c>
    </row>
    <row r="947" spans="1:5" x14ac:dyDescent="0.25">
      <c r="A947" s="7" t="s">
        <v>30</v>
      </c>
      <c r="B947">
        <v>2017</v>
      </c>
      <c r="C947" s="7" t="s">
        <v>35</v>
      </c>
      <c r="D947" s="7" t="s">
        <v>19</v>
      </c>
      <c r="E947">
        <v>132.1</v>
      </c>
    </row>
    <row r="948" spans="1:5" x14ac:dyDescent="0.25">
      <c r="A948" s="7" t="s">
        <v>30</v>
      </c>
      <c r="B948">
        <v>2017</v>
      </c>
      <c r="C948" s="7" t="s">
        <v>35</v>
      </c>
      <c r="D948" s="7" t="s">
        <v>51</v>
      </c>
      <c r="E948">
        <v>120.1</v>
      </c>
    </row>
    <row r="949" spans="1:5" x14ac:dyDescent="0.25">
      <c r="A949" s="7" t="s">
        <v>30</v>
      </c>
      <c r="B949">
        <v>2017</v>
      </c>
      <c r="C949" s="7" t="s">
        <v>35</v>
      </c>
      <c r="D949" s="7" t="s">
        <v>26</v>
      </c>
      <c r="E949">
        <v>865.6</v>
      </c>
    </row>
    <row r="950" spans="1:5" x14ac:dyDescent="0.25">
      <c r="A950" s="7" t="s">
        <v>31</v>
      </c>
      <c r="B950">
        <v>2017</v>
      </c>
      <c r="C950" s="7" t="s">
        <v>35</v>
      </c>
      <c r="D950" s="7" t="s">
        <v>48</v>
      </c>
      <c r="E950">
        <v>1719.6000000000001</v>
      </c>
    </row>
    <row r="951" spans="1:5" x14ac:dyDescent="0.25">
      <c r="A951" s="7" t="s">
        <v>31</v>
      </c>
      <c r="B951">
        <v>2017</v>
      </c>
      <c r="C951" s="7" t="s">
        <v>35</v>
      </c>
      <c r="D951" s="7" t="s">
        <v>49</v>
      </c>
      <c r="E951">
        <v>146.19999999999999</v>
      </c>
    </row>
    <row r="952" spans="1:5" x14ac:dyDescent="0.25">
      <c r="A952" s="7" t="s">
        <v>31</v>
      </c>
      <c r="B952">
        <v>2017</v>
      </c>
      <c r="C952" s="7" t="s">
        <v>35</v>
      </c>
      <c r="D952" s="7" t="s">
        <v>50</v>
      </c>
      <c r="E952">
        <v>406.8</v>
      </c>
    </row>
    <row r="953" spans="1:5" x14ac:dyDescent="0.25">
      <c r="A953" s="7" t="s">
        <v>31</v>
      </c>
      <c r="B953">
        <v>2017</v>
      </c>
      <c r="C953" s="7" t="s">
        <v>35</v>
      </c>
      <c r="D953" s="7" t="s">
        <v>19</v>
      </c>
      <c r="E953">
        <v>132.1</v>
      </c>
    </row>
    <row r="954" spans="1:5" x14ac:dyDescent="0.25">
      <c r="A954" s="7" t="s">
        <v>31</v>
      </c>
      <c r="B954">
        <v>2017</v>
      </c>
      <c r="C954" s="7" t="s">
        <v>35</v>
      </c>
      <c r="D954" s="7" t="s">
        <v>51</v>
      </c>
      <c r="E954">
        <v>129.4</v>
      </c>
    </row>
    <row r="955" spans="1:5" x14ac:dyDescent="0.25">
      <c r="A955" s="7" t="s">
        <v>31</v>
      </c>
      <c r="B955">
        <v>2017</v>
      </c>
      <c r="C955" s="7" t="s">
        <v>35</v>
      </c>
      <c r="D955" s="7" t="s">
        <v>26</v>
      </c>
      <c r="E955">
        <v>884.8</v>
      </c>
    </row>
    <row r="956" spans="1:5" x14ac:dyDescent="0.25">
      <c r="A956" s="7" t="s">
        <v>28</v>
      </c>
      <c r="B956">
        <v>2017</v>
      </c>
      <c r="C956" s="7" t="s">
        <v>36</v>
      </c>
      <c r="D956" s="7" t="s">
        <v>48</v>
      </c>
      <c r="E956">
        <v>1738.8000000000002</v>
      </c>
    </row>
    <row r="957" spans="1:5" x14ac:dyDescent="0.25">
      <c r="A957" s="7" t="s">
        <v>28</v>
      </c>
      <c r="B957">
        <v>2017</v>
      </c>
      <c r="C957" s="7" t="s">
        <v>36</v>
      </c>
      <c r="D957" s="7" t="s">
        <v>49</v>
      </c>
      <c r="E957">
        <v>145.80000000000001</v>
      </c>
    </row>
    <row r="958" spans="1:5" x14ac:dyDescent="0.25">
      <c r="A958" s="7" t="s">
        <v>28</v>
      </c>
      <c r="B958">
        <v>2017</v>
      </c>
      <c r="C958" s="7" t="s">
        <v>36</v>
      </c>
      <c r="D958" s="7" t="s">
        <v>50</v>
      </c>
      <c r="E958">
        <v>423.09999999999997</v>
      </c>
    </row>
    <row r="959" spans="1:5" x14ac:dyDescent="0.25">
      <c r="A959" s="7" t="s">
        <v>28</v>
      </c>
      <c r="B959">
        <v>2017</v>
      </c>
      <c r="C959" s="7" t="s">
        <v>36</v>
      </c>
      <c r="D959" s="7" t="s">
        <v>19</v>
      </c>
      <c r="E959">
        <v>132</v>
      </c>
    </row>
    <row r="960" spans="1:5" x14ac:dyDescent="0.25">
      <c r="A960" s="7" t="s">
        <v>28</v>
      </c>
      <c r="B960">
        <v>2017</v>
      </c>
      <c r="C960" s="7" t="s">
        <v>36</v>
      </c>
      <c r="D960" s="7" t="s">
        <v>51</v>
      </c>
      <c r="E960">
        <v>134.80000000000001</v>
      </c>
    </row>
    <row r="961" spans="1:5" x14ac:dyDescent="0.25">
      <c r="A961" s="7" t="s">
        <v>28</v>
      </c>
      <c r="B961">
        <v>2017</v>
      </c>
      <c r="C961" s="7" t="s">
        <v>36</v>
      </c>
      <c r="D961" s="7" t="s">
        <v>26</v>
      </c>
      <c r="E961">
        <v>904.80000000000007</v>
      </c>
    </row>
    <row r="962" spans="1:5" x14ac:dyDescent="0.25">
      <c r="A962" s="7" t="s">
        <v>30</v>
      </c>
      <c r="B962">
        <v>2017</v>
      </c>
      <c r="C962" s="7" t="s">
        <v>36</v>
      </c>
      <c r="D962" s="7" t="s">
        <v>48</v>
      </c>
      <c r="E962">
        <v>1731.0000000000002</v>
      </c>
    </row>
    <row r="963" spans="1:5" x14ac:dyDescent="0.25">
      <c r="A963" s="7" t="s">
        <v>30</v>
      </c>
      <c r="B963">
        <v>2017</v>
      </c>
      <c r="C963" s="7" t="s">
        <v>36</v>
      </c>
      <c r="D963" s="7" t="s">
        <v>49</v>
      </c>
      <c r="E963">
        <v>148.6</v>
      </c>
    </row>
    <row r="964" spans="1:5" x14ac:dyDescent="0.25">
      <c r="A964" s="7" t="s">
        <v>30</v>
      </c>
      <c r="B964">
        <v>2017</v>
      </c>
      <c r="C964" s="7" t="s">
        <v>36</v>
      </c>
      <c r="D964" s="7" t="s">
        <v>50</v>
      </c>
      <c r="E964">
        <v>384.9</v>
      </c>
    </row>
    <row r="965" spans="1:5" x14ac:dyDescent="0.25">
      <c r="A965" s="7" t="s">
        <v>30</v>
      </c>
      <c r="B965">
        <v>2017</v>
      </c>
      <c r="C965" s="7" t="s">
        <v>36</v>
      </c>
      <c r="D965" s="7" t="s">
        <v>19</v>
      </c>
      <c r="E965">
        <v>131.4</v>
      </c>
    </row>
    <row r="966" spans="1:5" x14ac:dyDescent="0.25">
      <c r="A966" s="7" t="s">
        <v>30</v>
      </c>
      <c r="B966">
        <v>2017</v>
      </c>
      <c r="C966" s="7" t="s">
        <v>36</v>
      </c>
      <c r="D966" s="7" t="s">
        <v>51</v>
      </c>
      <c r="E966">
        <v>119</v>
      </c>
    </row>
    <row r="967" spans="1:5" x14ac:dyDescent="0.25">
      <c r="A967" s="7" t="s">
        <v>30</v>
      </c>
      <c r="B967">
        <v>2017</v>
      </c>
      <c r="C967" s="7" t="s">
        <v>36</v>
      </c>
      <c r="D967" s="7" t="s">
        <v>26</v>
      </c>
      <c r="E967">
        <v>866.90000000000009</v>
      </c>
    </row>
    <row r="968" spans="1:5" x14ac:dyDescent="0.25">
      <c r="A968" s="7" t="s">
        <v>31</v>
      </c>
      <c r="B968">
        <v>2017</v>
      </c>
      <c r="C968" s="7" t="s">
        <v>36</v>
      </c>
      <c r="D968" s="7" t="s">
        <v>48</v>
      </c>
      <c r="E968">
        <v>1734.7</v>
      </c>
    </row>
    <row r="969" spans="1:5" x14ac:dyDescent="0.25">
      <c r="A969" s="7" t="s">
        <v>31</v>
      </c>
      <c r="B969">
        <v>2017</v>
      </c>
      <c r="C969" s="7" t="s">
        <v>36</v>
      </c>
      <c r="D969" s="7" t="s">
        <v>49</v>
      </c>
      <c r="E969">
        <v>146.5</v>
      </c>
    </row>
    <row r="970" spans="1:5" x14ac:dyDescent="0.25">
      <c r="A970" s="7" t="s">
        <v>31</v>
      </c>
      <c r="B970">
        <v>2017</v>
      </c>
      <c r="C970" s="7" t="s">
        <v>36</v>
      </c>
      <c r="D970" s="7" t="s">
        <v>50</v>
      </c>
      <c r="E970">
        <v>407.7</v>
      </c>
    </row>
    <row r="971" spans="1:5" x14ac:dyDescent="0.25">
      <c r="A971" s="7" t="s">
        <v>31</v>
      </c>
      <c r="B971">
        <v>2017</v>
      </c>
      <c r="C971" s="7" t="s">
        <v>36</v>
      </c>
      <c r="D971" s="7" t="s">
        <v>19</v>
      </c>
      <c r="E971">
        <v>131.4</v>
      </c>
    </row>
    <row r="972" spans="1:5" x14ac:dyDescent="0.25">
      <c r="A972" s="7" t="s">
        <v>31</v>
      </c>
      <c r="B972">
        <v>2017</v>
      </c>
      <c r="C972" s="7" t="s">
        <v>36</v>
      </c>
      <c r="D972" s="7" t="s">
        <v>51</v>
      </c>
      <c r="E972">
        <v>128.80000000000001</v>
      </c>
    </row>
    <row r="973" spans="1:5" x14ac:dyDescent="0.25">
      <c r="A973" s="7" t="s">
        <v>31</v>
      </c>
      <c r="B973">
        <v>2017</v>
      </c>
      <c r="C973" s="7" t="s">
        <v>36</v>
      </c>
      <c r="D973" s="7" t="s">
        <v>26</v>
      </c>
      <c r="E973">
        <v>886.4</v>
      </c>
    </row>
    <row r="974" spans="1:5" x14ac:dyDescent="0.25">
      <c r="A974" s="7" t="s">
        <v>28</v>
      </c>
      <c r="B974">
        <v>2017</v>
      </c>
      <c r="C974" s="7" t="s">
        <v>37</v>
      </c>
      <c r="D974" s="7" t="s">
        <v>48</v>
      </c>
      <c r="E974">
        <v>1772.9</v>
      </c>
    </row>
    <row r="975" spans="1:5" x14ac:dyDescent="0.25">
      <c r="A975" s="7" t="s">
        <v>28</v>
      </c>
      <c r="B975">
        <v>2017</v>
      </c>
      <c r="C975" s="7" t="s">
        <v>37</v>
      </c>
      <c r="D975" s="7" t="s">
        <v>49</v>
      </c>
      <c r="E975">
        <v>147.4</v>
      </c>
    </row>
    <row r="976" spans="1:5" x14ac:dyDescent="0.25">
      <c r="A976" s="7" t="s">
        <v>28</v>
      </c>
      <c r="B976">
        <v>2017</v>
      </c>
      <c r="C976" s="7" t="s">
        <v>37</v>
      </c>
      <c r="D976" s="7" t="s">
        <v>50</v>
      </c>
      <c r="E976">
        <v>425.9</v>
      </c>
    </row>
    <row r="977" spans="1:5" x14ac:dyDescent="0.25">
      <c r="A977" s="7" t="s">
        <v>28</v>
      </c>
      <c r="B977">
        <v>2017</v>
      </c>
      <c r="C977" s="7" t="s">
        <v>37</v>
      </c>
      <c r="D977" s="7" t="s">
        <v>19</v>
      </c>
      <c r="E977">
        <v>133.5</v>
      </c>
    </row>
    <row r="978" spans="1:5" x14ac:dyDescent="0.25">
      <c r="A978" s="7" t="s">
        <v>28</v>
      </c>
      <c r="B978">
        <v>2017</v>
      </c>
      <c r="C978" s="7" t="s">
        <v>37</v>
      </c>
      <c r="D978" s="7" t="s">
        <v>51</v>
      </c>
      <c r="E978">
        <v>135.30000000000001</v>
      </c>
    </row>
    <row r="979" spans="1:5" x14ac:dyDescent="0.25">
      <c r="A979" s="7" t="s">
        <v>28</v>
      </c>
      <c r="B979">
        <v>2017</v>
      </c>
      <c r="C979" s="7" t="s">
        <v>37</v>
      </c>
      <c r="D979" s="7" t="s">
        <v>26</v>
      </c>
      <c r="E979">
        <v>909.5</v>
      </c>
    </row>
    <row r="980" spans="1:5" x14ac:dyDescent="0.25">
      <c r="A980" s="7" t="s">
        <v>30</v>
      </c>
      <c r="B980">
        <v>2017</v>
      </c>
      <c r="C980" s="7" t="s">
        <v>37</v>
      </c>
      <c r="D980" s="7" t="s">
        <v>48</v>
      </c>
      <c r="E980">
        <v>1768.1</v>
      </c>
    </row>
    <row r="981" spans="1:5" x14ac:dyDescent="0.25">
      <c r="A981" s="7" t="s">
        <v>30</v>
      </c>
      <c r="B981">
        <v>2017</v>
      </c>
      <c r="C981" s="7" t="s">
        <v>37</v>
      </c>
      <c r="D981" s="7" t="s">
        <v>49</v>
      </c>
      <c r="E981">
        <v>150.5</v>
      </c>
    </row>
    <row r="982" spans="1:5" x14ac:dyDescent="0.25">
      <c r="A982" s="7" t="s">
        <v>30</v>
      </c>
      <c r="B982">
        <v>2017</v>
      </c>
      <c r="C982" s="7" t="s">
        <v>37</v>
      </c>
      <c r="D982" s="7" t="s">
        <v>50</v>
      </c>
      <c r="E982">
        <v>385.70000000000005</v>
      </c>
    </row>
    <row r="983" spans="1:5" x14ac:dyDescent="0.25">
      <c r="A983" s="7" t="s">
        <v>30</v>
      </c>
      <c r="B983">
        <v>2017</v>
      </c>
      <c r="C983" s="7" t="s">
        <v>37</v>
      </c>
      <c r="D983" s="7" t="s">
        <v>19</v>
      </c>
      <c r="E983">
        <v>132.6</v>
      </c>
    </row>
    <row r="984" spans="1:5" x14ac:dyDescent="0.25">
      <c r="A984" s="7" t="s">
        <v>30</v>
      </c>
      <c r="B984">
        <v>2017</v>
      </c>
      <c r="C984" s="7" t="s">
        <v>37</v>
      </c>
      <c r="D984" s="7" t="s">
        <v>51</v>
      </c>
      <c r="E984">
        <v>119.7</v>
      </c>
    </row>
    <row r="985" spans="1:5" x14ac:dyDescent="0.25">
      <c r="A985" s="7" t="s">
        <v>30</v>
      </c>
      <c r="B985">
        <v>2017</v>
      </c>
      <c r="C985" s="7" t="s">
        <v>37</v>
      </c>
      <c r="D985" s="7" t="s">
        <v>26</v>
      </c>
      <c r="E985">
        <v>869.8</v>
      </c>
    </row>
    <row r="986" spans="1:5" x14ac:dyDescent="0.25">
      <c r="A986" s="7" t="s">
        <v>31</v>
      </c>
      <c r="B986">
        <v>2017</v>
      </c>
      <c r="C986" s="7" t="s">
        <v>37</v>
      </c>
      <c r="D986" s="7" t="s">
        <v>48</v>
      </c>
      <c r="E986">
        <v>1769.3999999999999</v>
      </c>
    </row>
    <row r="987" spans="1:5" x14ac:dyDescent="0.25">
      <c r="A987" s="7" t="s">
        <v>31</v>
      </c>
      <c r="B987">
        <v>2017</v>
      </c>
      <c r="C987" s="7" t="s">
        <v>37</v>
      </c>
      <c r="D987" s="7" t="s">
        <v>49</v>
      </c>
      <c r="E987">
        <v>148.19999999999999</v>
      </c>
    </row>
    <row r="988" spans="1:5" x14ac:dyDescent="0.25">
      <c r="A988" s="7" t="s">
        <v>31</v>
      </c>
      <c r="B988">
        <v>2017</v>
      </c>
      <c r="C988" s="7" t="s">
        <v>37</v>
      </c>
      <c r="D988" s="7" t="s">
        <v>50</v>
      </c>
      <c r="E988">
        <v>409.7</v>
      </c>
    </row>
    <row r="989" spans="1:5" x14ac:dyDescent="0.25">
      <c r="A989" s="7" t="s">
        <v>31</v>
      </c>
      <c r="B989">
        <v>2017</v>
      </c>
      <c r="C989" s="7" t="s">
        <v>37</v>
      </c>
      <c r="D989" s="7" t="s">
        <v>19</v>
      </c>
      <c r="E989">
        <v>132.6</v>
      </c>
    </row>
    <row r="990" spans="1:5" x14ac:dyDescent="0.25">
      <c r="A990" s="7" t="s">
        <v>31</v>
      </c>
      <c r="B990">
        <v>2017</v>
      </c>
      <c r="C990" s="7" t="s">
        <v>37</v>
      </c>
      <c r="D990" s="7" t="s">
        <v>51</v>
      </c>
      <c r="E990">
        <v>129.4</v>
      </c>
    </row>
    <row r="991" spans="1:5" x14ac:dyDescent="0.25">
      <c r="A991" s="7" t="s">
        <v>31</v>
      </c>
      <c r="B991">
        <v>2017</v>
      </c>
      <c r="C991" s="7" t="s">
        <v>37</v>
      </c>
      <c r="D991" s="7" t="s">
        <v>26</v>
      </c>
      <c r="E991">
        <v>890.2</v>
      </c>
    </row>
    <row r="992" spans="1:5" x14ac:dyDescent="0.25">
      <c r="A992" s="7" t="s">
        <v>28</v>
      </c>
      <c r="B992">
        <v>2017</v>
      </c>
      <c r="C992" s="7" t="s">
        <v>38</v>
      </c>
      <c r="D992" s="7" t="s">
        <v>48</v>
      </c>
      <c r="E992">
        <v>1792.4999999999998</v>
      </c>
    </row>
    <row r="993" spans="1:5" x14ac:dyDescent="0.25">
      <c r="A993" s="7" t="s">
        <v>28</v>
      </c>
      <c r="B993">
        <v>2017</v>
      </c>
      <c r="C993" s="7" t="s">
        <v>38</v>
      </c>
      <c r="D993" s="7" t="s">
        <v>49</v>
      </c>
      <c r="E993">
        <v>149</v>
      </c>
    </row>
    <row r="994" spans="1:5" x14ac:dyDescent="0.25">
      <c r="A994" s="7" t="s">
        <v>28</v>
      </c>
      <c r="B994">
        <v>2017</v>
      </c>
      <c r="C994" s="7" t="s">
        <v>38</v>
      </c>
      <c r="D994" s="7" t="s">
        <v>50</v>
      </c>
      <c r="E994">
        <v>429</v>
      </c>
    </row>
    <row r="995" spans="1:5" x14ac:dyDescent="0.25">
      <c r="A995" s="7" t="s">
        <v>28</v>
      </c>
      <c r="B995">
        <v>2017</v>
      </c>
      <c r="C995" s="7" t="s">
        <v>38</v>
      </c>
      <c r="D995" s="7" t="s">
        <v>19</v>
      </c>
      <c r="E995">
        <v>135.1</v>
      </c>
    </row>
    <row r="996" spans="1:5" x14ac:dyDescent="0.25">
      <c r="A996" s="7" t="s">
        <v>28</v>
      </c>
      <c r="B996">
        <v>2017</v>
      </c>
      <c r="C996" s="7" t="s">
        <v>38</v>
      </c>
      <c r="D996" s="7" t="s">
        <v>51</v>
      </c>
      <c r="E996">
        <v>136.4</v>
      </c>
    </row>
    <row r="997" spans="1:5" x14ac:dyDescent="0.25">
      <c r="A997" s="7" t="s">
        <v>28</v>
      </c>
      <c r="B997">
        <v>2017</v>
      </c>
      <c r="C997" s="7" t="s">
        <v>38</v>
      </c>
      <c r="D997" s="7" t="s">
        <v>26</v>
      </c>
      <c r="E997">
        <v>917.39999999999986</v>
      </c>
    </row>
    <row r="998" spans="1:5" x14ac:dyDescent="0.25">
      <c r="A998" s="7" t="s">
        <v>30</v>
      </c>
      <c r="B998">
        <v>2017</v>
      </c>
      <c r="C998" s="7" t="s">
        <v>38</v>
      </c>
      <c r="D998" s="7" t="s">
        <v>48</v>
      </c>
      <c r="E998">
        <v>1772.9999999999998</v>
      </c>
    </row>
    <row r="999" spans="1:5" x14ac:dyDescent="0.25">
      <c r="A999" s="7" t="s">
        <v>30</v>
      </c>
      <c r="B999">
        <v>2017</v>
      </c>
      <c r="C999" s="7" t="s">
        <v>38</v>
      </c>
      <c r="D999" s="7" t="s">
        <v>49</v>
      </c>
      <c r="E999">
        <v>152.1</v>
      </c>
    </row>
    <row r="1000" spans="1:5" x14ac:dyDescent="0.25">
      <c r="A1000" s="7" t="s">
        <v>30</v>
      </c>
      <c r="B1000">
        <v>2017</v>
      </c>
      <c r="C1000" s="7" t="s">
        <v>38</v>
      </c>
      <c r="D1000" s="7" t="s">
        <v>50</v>
      </c>
      <c r="E1000">
        <v>388.4</v>
      </c>
    </row>
    <row r="1001" spans="1:5" x14ac:dyDescent="0.25">
      <c r="A1001" s="7" t="s">
        <v>30</v>
      </c>
      <c r="B1001">
        <v>2017</v>
      </c>
      <c r="C1001" s="7" t="s">
        <v>38</v>
      </c>
      <c r="D1001" s="7" t="s">
        <v>19</v>
      </c>
      <c r="E1001">
        <v>134.4</v>
      </c>
    </row>
    <row r="1002" spans="1:5" x14ac:dyDescent="0.25">
      <c r="A1002" s="7" t="s">
        <v>30</v>
      </c>
      <c r="B1002">
        <v>2017</v>
      </c>
      <c r="C1002" s="7" t="s">
        <v>38</v>
      </c>
      <c r="D1002" s="7" t="s">
        <v>51</v>
      </c>
      <c r="E1002">
        <v>118.9</v>
      </c>
    </row>
    <row r="1003" spans="1:5" x14ac:dyDescent="0.25">
      <c r="A1003" s="7" t="s">
        <v>30</v>
      </c>
      <c r="B1003">
        <v>2017</v>
      </c>
      <c r="C1003" s="7" t="s">
        <v>38</v>
      </c>
      <c r="D1003" s="7" t="s">
        <v>26</v>
      </c>
      <c r="E1003">
        <v>874.89999999999986</v>
      </c>
    </row>
    <row r="1004" spans="1:5" x14ac:dyDescent="0.25">
      <c r="A1004" s="7" t="s">
        <v>31</v>
      </c>
      <c r="B1004">
        <v>2017</v>
      </c>
      <c r="C1004" s="7" t="s">
        <v>38</v>
      </c>
      <c r="D1004" s="7" t="s">
        <v>48</v>
      </c>
      <c r="E1004">
        <v>1783.8</v>
      </c>
    </row>
    <row r="1005" spans="1:5" x14ac:dyDescent="0.25">
      <c r="A1005" s="7" t="s">
        <v>31</v>
      </c>
      <c r="B1005">
        <v>2017</v>
      </c>
      <c r="C1005" s="7" t="s">
        <v>38</v>
      </c>
      <c r="D1005" s="7" t="s">
        <v>49</v>
      </c>
      <c r="E1005">
        <v>149.80000000000001</v>
      </c>
    </row>
    <row r="1006" spans="1:5" x14ac:dyDescent="0.25">
      <c r="A1006" s="7" t="s">
        <v>31</v>
      </c>
      <c r="B1006">
        <v>2017</v>
      </c>
      <c r="C1006" s="7" t="s">
        <v>38</v>
      </c>
      <c r="D1006" s="7" t="s">
        <v>50</v>
      </c>
      <c r="E1006">
        <v>412.6</v>
      </c>
    </row>
    <row r="1007" spans="1:5" x14ac:dyDescent="0.25">
      <c r="A1007" s="7" t="s">
        <v>31</v>
      </c>
      <c r="B1007">
        <v>2017</v>
      </c>
      <c r="C1007" s="7" t="s">
        <v>38</v>
      </c>
      <c r="D1007" s="7" t="s">
        <v>19</v>
      </c>
      <c r="E1007">
        <v>134.4</v>
      </c>
    </row>
    <row r="1008" spans="1:5" x14ac:dyDescent="0.25">
      <c r="A1008" s="7" t="s">
        <v>31</v>
      </c>
      <c r="B1008">
        <v>2017</v>
      </c>
      <c r="C1008" s="7" t="s">
        <v>38</v>
      </c>
      <c r="D1008" s="7" t="s">
        <v>51</v>
      </c>
      <c r="E1008">
        <v>129.80000000000001</v>
      </c>
    </row>
    <row r="1009" spans="1:5" x14ac:dyDescent="0.25">
      <c r="A1009" s="7" t="s">
        <v>31</v>
      </c>
      <c r="B1009">
        <v>2017</v>
      </c>
      <c r="C1009" s="7" t="s">
        <v>38</v>
      </c>
      <c r="D1009" s="7" t="s">
        <v>26</v>
      </c>
      <c r="E1009">
        <v>896.5</v>
      </c>
    </row>
    <row r="1010" spans="1:5" x14ac:dyDescent="0.25">
      <c r="A1010" s="7" t="s">
        <v>28</v>
      </c>
      <c r="B1010">
        <v>2017</v>
      </c>
      <c r="C1010" s="7" t="s">
        <v>39</v>
      </c>
      <c r="D1010" s="7" t="s">
        <v>48</v>
      </c>
      <c r="E1010">
        <v>1784.3</v>
      </c>
    </row>
    <row r="1011" spans="1:5" x14ac:dyDescent="0.25">
      <c r="A1011" s="7" t="s">
        <v>28</v>
      </c>
      <c r="B1011">
        <v>2017</v>
      </c>
      <c r="C1011" s="7" t="s">
        <v>39</v>
      </c>
      <c r="D1011" s="7" t="s">
        <v>49</v>
      </c>
      <c r="E1011">
        <v>149.80000000000001</v>
      </c>
    </row>
    <row r="1012" spans="1:5" x14ac:dyDescent="0.25">
      <c r="A1012" s="7" t="s">
        <v>28</v>
      </c>
      <c r="B1012">
        <v>2017</v>
      </c>
      <c r="C1012" s="7" t="s">
        <v>39</v>
      </c>
      <c r="D1012" s="7" t="s">
        <v>50</v>
      </c>
      <c r="E1012">
        <v>430.99999999999994</v>
      </c>
    </row>
    <row r="1013" spans="1:5" x14ac:dyDescent="0.25">
      <c r="A1013" s="7" t="s">
        <v>28</v>
      </c>
      <c r="B1013">
        <v>2017</v>
      </c>
      <c r="C1013" s="7" t="s">
        <v>39</v>
      </c>
      <c r="D1013" s="7" t="s">
        <v>19</v>
      </c>
      <c r="E1013">
        <v>136.5</v>
      </c>
    </row>
    <row r="1014" spans="1:5" x14ac:dyDescent="0.25">
      <c r="A1014" s="7" t="s">
        <v>28</v>
      </c>
      <c r="B1014">
        <v>2017</v>
      </c>
      <c r="C1014" s="7" t="s">
        <v>39</v>
      </c>
      <c r="D1014" s="7" t="s">
        <v>51</v>
      </c>
      <c r="E1014">
        <v>137.4</v>
      </c>
    </row>
    <row r="1015" spans="1:5" x14ac:dyDescent="0.25">
      <c r="A1015" s="7" t="s">
        <v>28</v>
      </c>
      <c r="B1015">
        <v>2017</v>
      </c>
      <c r="C1015" s="7" t="s">
        <v>39</v>
      </c>
      <c r="D1015" s="7" t="s">
        <v>26</v>
      </c>
      <c r="E1015">
        <v>921.40000000000009</v>
      </c>
    </row>
    <row r="1016" spans="1:5" x14ac:dyDescent="0.25">
      <c r="A1016" s="7" t="s">
        <v>30</v>
      </c>
      <c r="B1016">
        <v>2017</v>
      </c>
      <c r="C1016" s="7" t="s">
        <v>39</v>
      </c>
      <c r="D1016" s="7" t="s">
        <v>48</v>
      </c>
      <c r="E1016">
        <v>1749.7</v>
      </c>
    </row>
    <row r="1017" spans="1:5" x14ac:dyDescent="0.25">
      <c r="A1017" s="7" t="s">
        <v>30</v>
      </c>
      <c r="B1017">
        <v>2017</v>
      </c>
      <c r="C1017" s="7" t="s">
        <v>39</v>
      </c>
      <c r="D1017" s="7" t="s">
        <v>49</v>
      </c>
      <c r="E1017">
        <v>153.6</v>
      </c>
    </row>
    <row r="1018" spans="1:5" x14ac:dyDescent="0.25">
      <c r="A1018" s="7" t="s">
        <v>30</v>
      </c>
      <c r="B1018">
        <v>2017</v>
      </c>
      <c r="C1018" s="7" t="s">
        <v>39</v>
      </c>
      <c r="D1018" s="7" t="s">
        <v>50</v>
      </c>
      <c r="E1018">
        <v>389.9</v>
      </c>
    </row>
    <row r="1019" spans="1:5" x14ac:dyDescent="0.25">
      <c r="A1019" s="7" t="s">
        <v>30</v>
      </c>
      <c r="B1019">
        <v>2017</v>
      </c>
      <c r="C1019" s="7" t="s">
        <v>39</v>
      </c>
      <c r="D1019" s="7" t="s">
        <v>19</v>
      </c>
      <c r="E1019">
        <v>135.69999999999999</v>
      </c>
    </row>
    <row r="1020" spans="1:5" x14ac:dyDescent="0.25">
      <c r="A1020" s="7" t="s">
        <v>30</v>
      </c>
      <c r="B1020">
        <v>2017</v>
      </c>
      <c r="C1020" s="7" t="s">
        <v>39</v>
      </c>
      <c r="D1020" s="7" t="s">
        <v>51</v>
      </c>
      <c r="E1020">
        <v>120.6</v>
      </c>
    </row>
    <row r="1021" spans="1:5" x14ac:dyDescent="0.25">
      <c r="A1021" s="7" t="s">
        <v>30</v>
      </c>
      <c r="B1021">
        <v>2017</v>
      </c>
      <c r="C1021" s="7" t="s">
        <v>39</v>
      </c>
      <c r="D1021" s="7" t="s">
        <v>26</v>
      </c>
      <c r="E1021">
        <v>879.19999999999993</v>
      </c>
    </row>
    <row r="1022" spans="1:5" x14ac:dyDescent="0.25">
      <c r="A1022" s="7" t="s">
        <v>31</v>
      </c>
      <c r="B1022">
        <v>2017</v>
      </c>
      <c r="C1022" s="7" t="s">
        <v>39</v>
      </c>
      <c r="D1022" s="7" t="s">
        <v>48</v>
      </c>
      <c r="E1022">
        <v>1769.9999999999998</v>
      </c>
    </row>
    <row r="1023" spans="1:5" x14ac:dyDescent="0.25">
      <c r="A1023" s="7" t="s">
        <v>31</v>
      </c>
      <c r="B1023">
        <v>2017</v>
      </c>
      <c r="C1023" s="7" t="s">
        <v>39</v>
      </c>
      <c r="D1023" s="7" t="s">
        <v>49</v>
      </c>
      <c r="E1023">
        <v>150.80000000000001</v>
      </c>
    </row>
    <row r="1024" spans="1:5" x14ac:dyDescent="0.25">
      <c r="A1024" s="7" t="s">
        <v>31</v>
      </c>
      <c r="B1024">
        <v>2017</v>
      </c>
      <c r="C1024" s="7" t="s">
        <v>39</v>
      </c>
      <c r="D1024" s="7" t="s">
        <v>50</v>
      </c>
      <c r="E1024">
        <v>414.5</v>
      </c>
    </row>
    <row r="1025" spans="1:5" x14ac:dyDescent="0.25">
      <c r="A1025" s="7" t="s">
        <v>31</v>
      </c>
      <c r="B1025">
        <v>2017</v>
      </c>
      <c r="C1025" s="7" t="s">
        <v>39</v>
      </c>
      <c r="D1025" s="7" t="s">
        <v>19</v>
      </c>
      <c r="E1025">
        <v>135.69999999999999</v>
      </c>
    </row>
    <row r="1026" spans="1:5" x14ac:dyDescent="0.25">
      <c r="A1026" s="7" t="s">
        <v>31</v>
      </c>
      <c r="B1026">
        <v>2017</v>
      </c>
      <c r="C1026" s="7" t="s">
        <v>39</v>
      </c>
      <c r="D1026" s="7" t="s">
        <v>51</v>
      </c>
      <c r="E1026">
        <v>131</v>
      </c>
    </row>
    <row r="1027" spans="1:5" x14ac:dyDescent="0.25">
      <c r="A1027" s="7" t="s">
        <v>31</v>
      </c>
      <c r="B1027">
        <v>2017</v>
      </c>
      <c r="C1027" s="7" t="s">
        <v>39</v>
      </c>
      <c r="D1027" s="7" t="s">
        <v>26</v>
      </c>
      <c r="E1027">
        <v>900.7</v>
      </c>
    </row>
    <row r="1028" spans="1:5" x14ac:dyDescent="0.25">
      <c r="A1028" s="7" t="s">
        <v>28</v>
      </c>
      <c r="B1028">
        <v>2017</v>
      </c>
      <c r="C1028" s="7" t="s">
        <v>40</v>
      </c>
      <c r="D1028" s="7" t="s">
        <v>48</v>
      </c>
      <c r="E1028">
        <v>1790.8999999999999</v>
      </c>
    </row>
    <row r="1029" spans="1:5" x14ac:dyDescent="0.25">
      <c r="A1029" s="7" t="s">
        <v>28</v>
      </c>
      <c r="B1029">
        <v>2017</v>
      </c>
      <c r="C1029" s="7" t="s">
        <v>40</v>
      </c>
      <c r="D1029" s="7" t="s">
        <v>49</v>
      </c>
      <c r="E1029">
        <v>150.5</v>
      </c>
    </row>
    <row r="1030" spans="1:5" x14ac:dyDescent="0.25">
      <c r="A1030" s="7" t="s">
        <v>28</v>
      </c>
      <c r="B1030">
        <v>2017</v>
      </c>
      <c r="C1030" s="7" t="s">
        <v>40</v>
      </c>
      <c r="D1030" s="7" t="s">
        <v>50</v>
      </c>
      <c r="E1030">
        <v>433.99999999999994</v>
      </c>
    </row>
    <row r="1031" spans="1:5" x14ac:dyDescent="0.25">
      <c r="A1031" s="7" t="s">
        <v>28</v>
      </c>
      <c r="B1031">
        <v>2017</v>
      </c>
      <c r="C1031" s="7" t="s">
        <v>40</v>
      </c>
      <c r="D1031" s="7" t="s">
        <v>19</v>
      </c>
      <c r="E1031">
        <v>138</v>
      </c>
    </row>
    <row r="1032" spans="1:5" x14ac:dyDescent="0.25">
      <c r="A1032" s="7" t="s">
        <v>28</v>
      </c>
      <c r="B1032">
        <v>2017</v>
      </c>
      <c r="C1032" s="7" t="s">
        <v>40</v>
      </c>
      <c r="D1032" s="7" t="s">
        <v>51</v>
      </c>
      <c r="E1032">
        <v>138.1</v>
      </c>
    </row>
    <row r="1033" spans="1:5" x14ac:dyDescent="0.25">
      <c r="A1033" s="7" t="s">
        <v>28</v>
      </c>
      <c r="B1033">
        <v>2017</v>
      </c>
      <c r="C1033" s="7" t="s">
        <v>40</v>
      </c>
      <c r="D1033" s="7" t="s">
        <v>26</v>
      </c>
      <c r="E1033">
        <v>924.8</v>
      </c>
    </row>
    <row r="1034" spans="1:5" x14ac:dyDescent="0.25">
      <c r="A1034" s="7" t="s">
        <v>30</v>
      </c>
      <c r="B1034">
        <v>2017</v>
      </c>
      <c r="C1034" s="7" t="s">
        <v>40</v>
      </c>
      <c r="D1034" s="7" t="s">
        <v>48</v>
      </c>
      <c r="E1034">
        <v>1765.6999999999998</v>
      </c>
    </row>
    <row r="1035" spans="1:5" x14ac:dyDescent="0.25">
      <c r="A1035" s="7" t="s">
        <v>30</v>
      </c>
      <c r="B1035">
        <v>2017</v>
      </c>
      <c r="C1035" s="7" t="s">
        <v>40</v>
      </c>
      <c r="D1035" s="7" t="s">
        <v>49</v>
      </c>
      <c r="E1035">
        <v>154.6</v>
      </c>
    </row>
    <row r="1036" spans="1:5" x14ac:dyDescent="0.25">
      <c r="A1036" s="7" t="s">
        <v>30</v>
      </c>
      <c r="B1036">
        <v>2017</v>
      </c>
      <c r="C1036" s="7" t="s">
        <v>40</v>
      </c>
      <c r="D1036" s="7" t="s">
        <v>50</v>
      </c>
      <c r="E1036">
        <v>391.5</v>
      </c>
    </row>
    <row r="1037" spans="1:5" x14ac:dyDescent="0.25">
      <c r="A1037" s="7" t="s">
        <v>30</v>
      </c>
      <c r="B1037">
        <v>2017</v>
      </c>
      <c r="C1037" s="7" t="s">
        <v>40</v>
      </c>
      <c r="D1037" s="7" t="s">
        <v>19</v>
      </c>
      <c r="E1037">
        <v>137.30000000000001</v>
      </c>
    </row>
    <row r="1038" spans="1:5" x14ac:dyDescent="0.25">
      <c r="A1038" s="7" t="s">
        <v>30</v>
      </c>
      <c r="B1038">
        <v>2017</v>
      </c>
      <c r="C1038" s="7" t="s">
        <v>40</v>
      </c>
      <c r="D1038" s="7" t="s">
        <v>51</v>
      </c>
      <c r="E1038">
        <v>122.6</v>
      </c>
    </row>
    <row r="1039" spans="1:5" x14ac:dyDescent="0.25">
      <c r="A1039" s="7" t="s">
        <v>30</v>
      </c>
      <c r="B1039">
        <v>2017</v>
      </c>
      <c r="C1039" s="7" t="s">
        <v>40</v>
      </c>
      <c r="D1039" s="7" t="s">
        <v>26</v>
      </c>
      <c r="E1039">
        <v>880.1</v>
      </c>
    </row>
    <row r="1040" spans="1:5" x14ac:dyDescent="0.25">
      <c r="A1040" s="7" t="s">
        <v>31</v>
      </c>
      <c r="B1040">
        <v>2017</v>
      </c>
      <c r="C1040" s="7" t="s">
        <v>40</v>
      </c>
      <c r="D1040" s="7" t="s">
        <v>48</v>
      </c>
      <c r="E1040">
        <v>1779.6999999999998</v>
      </c>
    </row>
    <row r="1041" spans="1:5" x14ac:dyDescent="0.25">
      <c r="A1041" s="7" t="s">
        <v>31</v>
      </c>
      <c r="B1041">
        <v>2017</v>
      </c>
      <c r="C1041" s="7" t="s">
        <v>40</v>
      </c>
      <c r="D1041" s="7" t="s">
        <v>49</v>
      </c>
      <c r="E1041">
        <v>151.6</v>
      </c>
    </row>
    <row r="1042" spans="1:5" x14ac:dyDescent="0.25">
      <c r="A1042" s="7" t="s">
        <v>31</v>
      </c>
      <c r="B1042">
        <v>2017</v>
      </c>
      <c r="C1042" s="7" t="s">
        <v>40</v>
      </c>
      <c r="D1042" s="7" t="s">
        <v>50</v>
      </c>
      <c r="E1042">
        <v>416.90000000000003</v>
      </c>
    </row>
    <row r="1043" spans="1:5" x14ac:dyDescent="0.25">
      <c r="A1043" s="7" t="s">
        <v>31</v>
      </c>
      <c r="B1043">
        <v>2017</v>
      </c>
      <c r="C1043" s="7" t="s">
        <v>40</v>
      </c>
      <c r="D1043" s="7" t="s">
        <v>19</v>
      </c>
      <c r="E1043">
        <v>137.30000000000001</v>
      </c>
    </row>
    <row r="1044" spans="1:5" x14ac:dyDescent="0.25">
      <c r="A1044" s="7" t="s">
        <v>31</v>
      </c>
      <c r="B1044">
        <v>2017</v>
      </c>
      <c r="C1044" s="7" t="s">
        <v>40</v>
      </c>
      <c r="D1044" s="7" t="s">
        <v>51</v>
      </c>
      <c r="E1044">
        <v>132.19999999999999</v>
      </c>
    </row>
    <row r="1045" spans="1:5" x14ac:dyDescent="0.25">
      <c r="A1045" s="7" t="s">
        <v>31</v>
      </c>
      <c r="B1045">
        <v>2017</v>
      </c>
      <c r="C1045" s="7" t="s">
        <v>40</v>
      </c>
      <c r="D1045" s="7" t="s">
        <v>26</v>
      </c>
      <c r="E1045">
        <v>902.90000000000009</v>
      </c>
    </row>
    <row r="1046" spans="1:5" x14ac:dyDescent="0.25">
      <c r="A1046" s="7" t="s">
        <v>28</v>
      </c>
      <c r="B1046">
        <v>2017</v>
      </c>
      <c r="C1046" s="7" t="s">
        <v>42</v>
      </c>
      <c r="D1046" s="7" t="s">
        <v>48</v>
      </c>
      <c r="E1046">
        <v>1817.7000000000003</v>
      </c>
    </row>
    <row r="1047" spans="1:5" x14ac:dyDescent="0.25">
      <c r="A1047" s="7" t="s">
        <v>28</v>
      </c>
      <c r="B1047">
        <v>2017</v>
      </c>
      <c r="C1047" s="7" t="s">
        <v>42</v>
      </c>
      <c r="D1047" s="7" t="s">
        <v>49</v>
      </c>
      <c r="E1047">
        <v>152.1</v>
      </c>
    </row>
    <row r="1048" spans="1:5" x14ac:dyDescent="0.25">
      <c r="A1048" s="7" t="s">
        <v>28</v>
      </c>
      <c r="B1048">
        <v>2017</v>
      </c>
      <c r="C1048" s="7" t="s">
        <v>42</v>
      </c>
      <c r="D1048" s="7" t="s">
        <v>50</v>
      </c>
      <c r="E1048">
        <v>437</v>
      </c>
    </row>
    <row r="1049" spans="1:5" x14ac:dyDescent="0.25">
      <c r="A1049" s="7" t="s">
        <v>28</v>
      </c>
      <c r="B1049">
        <v>2017</v>
      </c>
      <c r="C1049" s="7" t="s">
        <v>42</v>
      </c>
      <c r="D1049" s="7" t="s">
        <v>19</v>
      </c>
      <c r="E1049">
        <v>138.9</v>
      </c>
    </row>
    <row r="1050" spans="1:5" x14ac:dyDescent="0.25">
      <c r="A1050" s="7" t="s">
        <v>28</v>
      </c>
      <c r="B1050">
        <v>2017</v>
      </c>
      <c r="C1050" s="7" t="s">
        <v>42</v>
      </c>
      <c r="D1050" s="7" t="s">
        <v>51</v>
      </c>
      <c r="E1050">
        <v>141.1</v>
      </c>
    </row>
    <row r="1051" spans="1:5" x14ac:dyDescent="0.25">
      <c r="A1051" s="7" t="s">
        <v>28</v>
      </c>
      <c r="B1051">
        <v>2017</v>
      </c>
      <c r="C1051" s="7" t="s">
        <v>42</v>
      </c>
      <c r="D1051" s="7" t="s">
        <v>26</v>
      </c>
      <c r="E1051">
        <v>931.8</v>
      </c>
    </row>
    <row r="1052" spans="1:5" x14ac:dyDescent="0.25">
      <c r="A1052" s="7" t="s">
        <v>30</v>
      </c>
      <c r="B1052">
        <v>2017</v>
      </c>
      <c r="C1052" s="7" t="s">
        <v>42</v>
      </c>
      <c r="D1052" s="7" t="s">
        <v>48</v>
      </c>
      <c r="E1052">
        <v>1796.7</v>
      </c>
    </row>
    <row r="1053" spans="1:5" x14ac:dyDescent="0.25">
      <c r="A1053" s="7" t="s">
        <v>30</v>
      </c>
      <c r="B1053">
        <v>2017</v>
      </c>
      <c r="C1053" s="7" t="s">
        <v>42</v>
      </c>
      <c r="D1053" s="7" t="s">
        <v>49</v>
      </c>
      <c r="E1053">
        <v>156.19999999999999</v>
      </c>
    </row>
    <row r="1054" spans="1:5" x14ac:dyDescent="0.25">
      <c r="A1054" s="7" t="s">
        <v>30</v>
      </c>
      <c r="B1054">
        <v>2017</v>
      </c>
      <c r="C1054" s="7" t="s">
        <v>42</v>
      </c>
      <c r="D1054" s="7" t="s">
        <v>50</v>
      </c>
      <c r="E1054">
        <v>393.9</v>
      </c>
    </row>
    <row r="1055" spans="1:5" x14ac:dyDescent="0.25">
      <c r="A1055" s="7" t="s">
        <v>30</v>
      </c>
      <c r="B1055">
        <v>2017</v>
      </c>
      <c r="C1055" s="7" t="s">
        <v>42</v>
      </c>
      <c r="D1055" s="7" t="s">
        <v>19</v>
      </c>
      <c r="E1055">
        <v>138.6</v>
      </c>
    </row>
    <row r="1056" spans="1:5" x14ac:dyDescent="0.25">
      <c r="A1056" s="7" t="s">
        <v>30</v>
      </c>
      <c r="B1056">
        <v>2017</v>
      </c>
      <c r="C1056" s="7" t="s">
        <v>42</v>
      </c>
      <c r="D1056" s="7" t="s">
        <v>51</v>
      </c>
      <c r="E1056">
        <v>125.7</v>
      </c>
    </row>
    <row r="1057" spans="1:5" x14ac:dyDescent="0.25">
      <c r="A1057" s="7" t="s">
        <v>30</v>
      </c>
      <c r="B1057">
        <v>2017</v>
      </c>
      <c r="C1057" s="7" t="s">
        <v>42</v>
      </c>
      <c r="D1057" s="7" t="s">
        <v>26</v>
      </c>
      <c r="E1057">
        <v>883</v>
      </c>
    </row>
    <row r="1058" spans="1:5" x14ac:dyDescent="0.25">
      <c r="A1058" s="7" t="s">
        <v>31</v>
      </c>
      <c r="B1058">
        <v>2017</v>
      </c>
      <c r="C1058" s="7" t="s">
        <v>42</v>
      </c>
      <c r="D1058" s="7" t="s">
        <v>48</v>
      </c>
      <c r="E1058">
        <v>1808.2</v>
      </c>
    </row>
    <row r="1059" spans="1:5" x14ac:dyDescent="0.25">
      <c r="A1059" s="7" t="s">
        <v>31</v>
      </c>
      <c r="B1059">
        <v>2017</v>
      </c>
      <c r="C1059" s="7" t="s">
        <v>42</v>
      </c>
      <c r="D1059" s="7" t="s">
        <v>49</v>
      </c>
      <c r="E1059">
        <v>153.19999999999999</v>
      </c>
    </row>
    <row r="1060" spans="1:5" x14ac:dyDescent="0.25">
      <c r="A1060" s="7" t="s">
        <v>31</v>
      </c>
      <c r="B1060">
        <v>2017</v>
      </c>
      <c r="C1060" s="7" t="s">
        <v>42</v>
      </c>
      <c r="D1060" s="7" t="s">
        <v>50</v>
      </c>
      <c r="E1060">
        <v>419.6</v>
      </c>
    </row>
    <row r="1061" spans="1:5" x14ac:dyDescent="0.25">
      <c r="A1061" s="7" t="s">
        <v>31</v>
      </c>
      <c r="B1061">
        <v>2017</v>
      </c>
      <c r="C1061" s="7" t="s">
        <v>42</v>
      </c>
      <c r="D1061" s="7" t="s">
        <v>19</v>
      </c>
      <c r="E1061">
        <v>138.6</v>
      </c>
    </row>
    <row r="1062" spans="1:5" x14ac:dyDescent="0.25">
      <c r="A1062" s="7" t="s">
        <v>31</v>
      </c>
      <c r="B1062">
        <v>2017</v>
      </c>
      <c r="C1062" s="7" t="s">
        <v>42</v>
      </c>
      <c r="D1062" s="7" t="s">
        <v>51</v>
      </c>
      <c r="E1062">
        <v>135.30000000000001</v>
      </c>
    </row>
    <row r="1063" spans="1:5" x14ac:dyDescent="0.25">
      <c r="A1063" s="7" t="s">
        <v>31</v>
      </c>
      <c r="B1063">
        <v>2017</v>
      </c>
      <c r="C1063" s="7" t="s">
        <v>42</v>
      </c>
      <c r="D1063" s="7" t="s">
        <v>26</v>
      </c>
      <c r="E1063">
        <v>908</v>
      </c>
    </row>
    <row r="1064" spans="1:5" x14ac:dyDescent="0.25">
      <c r="A1064" s="7" t="s">
        <v>28</v>
      </c>
      <c r="B1064">
        <v>2017</v>
      </c>
      <c r="C1064" s="7" t="s">
        <v>43</v>
      </c>
      <c r="D1064" s="7" t="s">
        <v>48</v>
      </c>
      <c r="E1064">
        <v>1813.6000000000001</v>
      </c>
    </row>
    <row r="1065" spans="1:5" x14ac:dyDescent="0.25">
      <c r="A1065" s="7" t="s">
        <v>28</v>
      </c>
      <c r="B1065">
        <v>2017</v>
      </c>
      <c r="C1065" s="7" t="s">
        <v>43</v>
      </c>
      <c r="D1065" s="7" t="s">
        <v>49</v>
      </c>
      <c r="E1065">
        <v>153.19999999999999</v>
      </c>
    </row>
    <row r="1066" spans="1:5" x14ac:dyDescent="0.25">
      <c r="A1066" s="7" t="s">
        <v>28</v>
      </c>
      <c r="B1066">
        <v>2017</v>
      </c>
      <c r="C1066" s="7" t="s">
        <v>43</v>
      </c>
      <c r="D1066" s="7" t="s">
        <v>50</v>
      </c>
      <c r="E1066">
        <v>437.09999999999997</v>
      </c>
    </row>
    <row r="1067" spans="1:5" x14ac:dyDescent="0.25">
      <c r="A1067" s="7" t="s">
        <v>28</v>
      </c>
      <c r="B1067">
        <v>2017</v>
      </c>
      <c r="C1067" s="7" t="s">
        <v>43</v>
      </c>
      <c r="D1067" s="7" t="s">
        <v>19</v>
      </c>
      <c r="E1067">
        <v>139.80000000000001</v>
      </c>
    </row>
    <row r="1068" spans="1:5" x14ac:dyDescent="0.25">
      <c r="A1068" s="7" t="s">
        <v>28</v>
      </c>
      <c r="B1068">
        <v>2017</v>
      </c>
      <c r="C1068" s="7" t="s">
        <v>43</v>
      </c>
      <c r="D1068" s="7" t="s">
        <v>51</v>
      </c>
      <c r="E1068">
        <v>142.6</v>
      </c>
    </row>
    <row r="1069" spans="1:5" x14ac:dyDescent="0.25">
      <c r="A1069" s="7" t="s">
        <v>28</v>
      </c>
      <c r="B1069">
        <v>2017</v>
      </c>
      <c r="C1069" s="7" t="s">
        <v>43</v>
      </c>
      <c r="D1069" s="7" t="s">
        <v>26</v>
      </c>
      <c r="E1069">
        <v>931.8</v>
      </c>
    </row>
    <row r="1070" spans="1:5" x14ac:dyDescent="0.25">
      <c r="A1070" s="7" t="s">
        <v>30</v>
      </c>
      <c r="B1070">
        <v>2017</v>
      </c>
      <c r="C1070" s="7" t="s">
        <v>43</v>
      </c>
      <c r="D1070" s="7" t="s">
        <v>48</v>
      </c>
      <c r="E1070">
        <v>1767.5</v>
      </c>
    </row>
    <row r="1071" spans="1:5" x14ac:dyDescent="0.25">
      <c r="A1071" s="7" t="s">
        <v>30</v>
      </c>
      <c r="B1071">
        <v>2017</v>
      </c>
      <c r="C1071" s="7" t="s">
        <v>43</v>
      </c>
      <c r="D1071" s="7" t="s">
        <v>49</v>
      </c>
      <c r="E1071">
        <v>157</v>
      </c>
    </row>
    <row r="1072" spans="1:5" x14ac:dyDescent="0.25">
      <c r="A1072" s="7" t="s">
        <v>30</v>
      </c>
      <c r="B1072">
        <v>2017</v>
      </c>
      <c r="C1072" s="7" t="s">
        <v>43</v>
      </c>
      <c r="D1072" s="7" t="s">
        <v>50</v>
      </c>
      <c r="E1072">
        <v>395.2</v>
      </c>
    </row>
    <row r="1073" spans="1:5" x14ac:dyDescent="0.25">
      <c r="A1073" s="7" t="s">
        <v>30</v>
      </c>
      <c r="B1073">
        <v>2017</v>
      </c>
      <c r="C1073" s="7" t="s">
        <v>43</v>
      </c>
      <c r="D1073" s="7" t="s">
        <v>19</v>
      </c>
      <c r="E1073">
        <v>139.1</v>
      </c>
    </row>
    <row r="1074" spans="1:5" x14ac:dyDescent="0.25">
      <c r="A1074" s="7" t="s">
        <v>30</v>
      </c>
      <c r="B1074">
        <v>2017</v>
      </c>
      <c r="C1074" s="7" t="s">
        <v>43</v>
      </c>
      <c r="D1074" s="7" t="s">
        <v>51</v>
      </c>
      <c r="E1074">
        <v>126.8</v>
      </c>
    </row>
    <row r="1075" spans="1:5" x14ac:dyDescent="0.25">
      <c r="A1075" s="7" t="s">
        <v>30</v>
      </c>
      <c r="B1075">
        <v>2017</v>
      </c>
      <c r="C1075" s="7" t="s">
        <v>43</v>
      </c>
      <c r="D1075" s="7" t="s">
        <v>26</v>
      </c>
      <c r="E1075">
        <v>884.8</v>
      </c>
    </row>
    <row r="1076" spans="1:5" x14ac:dyDescent="0.25">
      <c r="A1076" s="7" t="s">
        <v>31</v>
      </c>
      <c r="B1076">
        <v>2017</v>
      </c>
      <c r="C1076" s="7" t="s">
        <v>43</v>
      </c>
      <c r="D1076" s="7" t="s">
        <v>48</v>
      </c>
      <c r="E1076">
        <v>1794.9999999999998</v>
      </c>
    </row>
    <row r="1077" spans="1:5" x14ac:dyDescent="0.25">
      <c r="A1077" s="7" t="s">
        <v>31</v>
      </c>
      <c r="B1077">
        <v>2017</v>
      </c>
      <c r="C1077" s="7" t="s">
        <v>43</v>
      </c>
      <c r="D1077" s="7" t="s">
        <v>49</v>
      </c>
      <c r="E1077">
        <v>154.19999999999999</v>
      </c>
    </row>
    <row r="1078" spans="1:5" x14ac:dyDescent="0.25">
      <c r="A1078" s="7" t="s">
        <v>31</v>
      </c>
      <c r="B1078">
        <v>2017</v>
      </c>
      <c r="C1078" s="7" t="s">
        <v>43</v>
      </c>
      <c r="D1078" s="7" t="s">
        <v>50</v>
      </c>
      <c r="E1078">
        <v>420.2</v>
      </c>
    </row>
    <row r="1079" spans="1:5" x14ac:dyDescent="0.25">
      <c r="A1079" s="7" t="s">
        <v>31</v>
      </c>
      <c r="B1079">
        <v>2017</v>
      </c>
      <c r="C1079" s="7" t="s">
        <v>43</v>
      </c>
      <c r="D1079" s="7" t="s">
        <v>19</v>
      </c>
      <c r="E1079">
        <v>139.1</v>
      </c>
    </row>
    <row r="1080" spans="1:5" x14ac:dyDescent="0.25">
      <c r="A1080" s="7" t="s">
        <v>31</v>
      </c>
      <c r="B1080">
        <v>2017</v>
      </c>
      <c r="C1080" s="7" t="s">
        <v>43</v>
      </c>
      <c r="D1080" s="7" t="s">
        <v>51</v>
      </c>
      <c r="E1080">
        <v>136.6</v>
      </c>
    </row>
    <row r="1081" spans="1:5" x14ac:dyDescent="0.25">
      <c r="A1081" s="7" t="s">
        <v>31</v>
      </c>
      <c r="B1081">
        <v>2017</v>
      </c>
      <c r="C1081" s="7" t="s">
        <v>43</v>
      </c>
      <c r="D1081" s="7" t="s">
        <v>26</v>
      </c>
      <c r="E1081">
        <v>908.9</v>
      </c>
    </row>
    <row r="1082" spans="1:5" x14ac:dyDescent="0.25">
      <c r="A1082" s="7" t="s">
        <v>28</v>
      </c>
      <c r="B1082">
        <v>2018</v>
      </c>
      <c r="C1082" s="7" t="s">
        <v>29</v>
      </c>
      <c r="D1082" s="7" t="s">
        <v>48</v>
      </c>
      <c r="E1082">
        <v>1800.7</v>
      </c>
    </row>
    <row r="1083" spans="1:5" x14ac:dyDescent="0.25">
      <c r="A1083" s="7" t="s">
        <v>28</v>
      </c>
      <c r="B1083">
        <v>2018</v>
      </c>
      <c r="C1083" s="7" t="s">
        <v>29</v>
      </c>
      <c r="D1083" s="7" t="s">
        <v>49</v>
      </c>
      <c r="E1083">
        <v>153.6</v>
      </c>
    </row>
    <row r="1084" spans="1:5" x14ac:dyDescent="0.25">
      <c r="A1084" s="7" t="s">
        <v>28</v>
      </c>
      <c r="B1084">
        <v>2018</v>
      </c>
      <c r="C1084" s="7" t="s">
        <v>29</v>
      </c>
      <c r="D1084" s="7" t="s">
        <v>50</v>
      </c>
      <c r="E1084">
        <v>438.1</v>
      </c>
    </row>
    <row r="1085" spans="1:5" x14ac:dyDescent="0.25">
      <c r="A1085" s="7" t="s">
        <v>28</v>
      </c>
      <c r="B1085">
        <v>2018</v>
      </c>
      <c r="C1085" s="7" t="s">
        <v>29</v>
      </c>
      <c r="D1085" s="7" t="s">
        <v>19</v>
      </c>
      <c r="E1085">
        <v>140.9</v>
      </c>
    </row>
    <row r="1086" spans="1:5" x14ac:dyDescent="0.25">
      <c r="A1086" s="7" t="s">
        <v>28</v>
      </c>
      <c r="B1086">
        <v>2018</v>
      </c>
      <c r="C1086" s="7" t="s">
        <v>29</v>
      </c>
      <c r="D1086" s="7" t="s">
        <v>51</v>
      </c>
      <c r="E1086">
        <v>142.30000000000001</v>
      </c>
    </row>
    <row r="1087" spans="1:5" x14ac:dyDescent="0.25">
      <c r="A1087" s="7" t="s">
        <v>28</v>
      </c>
      <c r="B1087">
        <v>2018</v>
      </c>
      <c r="C1087" s="7" t="s">
        <v>29</v>
      </c>
      <c r="D1087" s="7" t="s">
        <v>26</v>
      </c>
      <c r="E1087">
        <v>935.3</v>
      </c>
    </row>
    <row r="1088" spans="1:5" x14ac:dyDescent="0.25">
      <c r="A1088" s="7" t="s">
        <v>30</v>
      </c>
      <c r="B1088">
        <v>2018</v>
      </c>
      <c r="C1088" s="7" t="s">
        <v>29</v>
      </c>
      <c r="D1088" s="7" t="s">
        <v>48</v>
      </c>
      <c r="E1088">
        <v>1748.3000000000002</v>
      </c>
    </row>
    <row r="1089" spans="1:5" x14ac:dyDescent="0.25">
      <c r="A1089" s="7" t="s">
        <v>30</v>
      </c>
      <c r="B1089">
        <v>2018</v>
      </c>
      <c r="C1089" s="7" t="s">
        <v>29</v>
      </c>
      <c r="D1089" s="7" t="s">
        <v>49</v>
      </c>
      <c r="E1089">
        <v>157.69999999999999</v>
      </c>
    </row>
    <row r="1090" spans="1:5" x14ac:dyDescent="0.25">
      <c r="A1090" s="7" t="s">
        <v>30</v>
      </c>
      <c r="B1090">
        <v>2018</v>
      </c>
      <c r="C1090" s="7" t="s">
        <v>29</v>
      </c>
      <c r="D1090" s="7" t="s">
        <v>50</v>
      </c>
      <c r="E1090">
        <v>396.29999999999995</v>
      </c>
    </row>
    <row r="1091" spans="1:5" x14ac:dyDescent="0.25">
      <c r="A1091" s="7" t="s">
        <v>30</v>
      </c>
      <c r="B1091">
        <v>2018</v>
      </c>
      <c r="C1091" s="7" t="s">
        <v>29</v>
      </c>
      <c r="D1091" s="7" t="s">
        <v>19</v>
      </c>
      <c r="E1091">
        <v>140.4</v>
      </c>
    </row>
    <row r="1092" spans="1:5" x14ac:dyDescent="0.25">
      <c r="A1092" s="7" t="s">
        <v>30</v>
      </c>
      <c r="B1092">
        <v>2018</v>
      </c>
      <c r="C1092" s="7" t="s">
        <v>29</v>
      </c>
      <c r="D1092" s="7" t="s">
        <v>51</v>
      </c>
      <c r="E1092">
        <v>127.3</v>
      </c>
    </row>
    <row r="1093" spans="1:5" x14ac:dyDescent="0.25">
      <c r="A1093" s="7" t="s">
        <v>30</v>
      </c>
      <c r="B1093">
        <v>2018</v>
      </c>
      <c r="C1093" s="7" t="s">
        <v>29</v>
      </c>
      <c r="D1093" s="7" t="s">
        <v>26</v>
      </c>
      <c r="E1093">
        <v>889.4</v>
      </c>
    </row>
    <row r="1094" spans="1:5" x14ac:dyDescent="0.25">
      <c r="A1094" s="7" t="s">
        <v>31</v>
      </c>
      <c r="B1094">
        <v>2018</v>
      </c>
      <c r="C1094" s="7" t="s">
        <v>29</v>
      </c>
      <c r="D1094" s="7" t="s">
        <v>48</v>
      </c>
      <c r="E1094">
        <v>1779.9</v>
      </c>
    </row>
    <row r="1095" spans="1:5" x14ac:dyDescent="0.25">
      <c r="A1095" s="7" t="s">
        <v>31</v>
      </c>
      <c r="B1095">
        <v>2018</v>
      </c>
      <c r="C1095" s="7" t="s">
        <v>29</v>
      </c>
      <c r="D1095" s="7" t="s">
        <v>49</v>
      </c>
      <c r="E1095">
        <v>154.69999999999999</v>
      </c>
    </row>
    <row r="1096" spans="1:5" x14ac:dyDescent="0.25">
      <c r="A1096" s="7" t="s">
        <v>31</v>
      </c>
      <c r="B1096">
        <v>2018</v>
      </c>
      <c r="C1096" s="7" t="s">
        <v>29</v>
      </c>
      <c r="D1096" s="7" t="s">
        <v>50</v>
      </c>
      <c r="E1096">
        <v>421.3</v>
      </c>
    </row>
    <row r="1097" spans="1:5" x14ac:dyDescent="0.25">
      <c r="A1097" s="7" t="s">
        <v>31</v>
      </c>
      <c r="B1097">
        <v>2018</v>
      </c>
      <c r="C1097" s="7" t="s">
        <v>29</v>
      </c>
      <c r="D1097" s="7" t="s">
        <v>19</v>
      </c>
      <c r="E1097">
        <v>140.4</v>
      </c>
    </row>
    <row r="1098" spans="1:5" x14ac:dyDescent="0.25">
      <c r="A1098" s="7" t="s">
        <v>31</v>
      </c>
      <c r="B1098">
        <v>2018</v>
      </c>
      <c r="C1098" s="7" t="s">
        <v>29</v>
      </c>
      <c r="D1098" s="7" t="s">
        <v>51</v>
      </c>
      <c r="E1098">
        <v>136.6</v>
      </c>
    </row>
    <row r="1099" spans="1:5" x14ac:dyDescent="0.25">
      <c r="A1099" s="7" t="s">
        <v>31</v>
      </c>
      <c r="B1099">
        <v>2018</v>
      </c>
      <c r="C1099" s="7" t="s">
        <v>29</v>
      </c>
      <c r="D1099" s="7" t="s">
        <v>26</v>
      </c>
      <c r="E1099">
        <v>912.6</v>
      </c>
    </row>
    <row r="1100" spans="1:5" x14ac:dyDescent="0.25">
      <c r="A1100" s="7" t="s">
        <v>28</v>
      </c>
      <c r="B1100">
        <v>2018</v>
      </c>
      <c r="C1100" s="7" t="s">
        <v>32</v>
      </c>
      <c r="D1100" s="7" t="s">
        <v>48</v>
      </c>
      <c r="E1100">
        <v>1781.5</v>
      </c>
    </row>
    <row r="1101" spans="1:5" x14ac:dyDescent="0.25">
      <c r="A1101" s="7" t="s">
        <v>28</v>
      </c>
      <c r="B1101">
        <v>2018</v>
      </c>
      <c r="C1101" s="7" t="s">
        <v>32</v>
      </c>
      <c r="D1101" s="7" t="s">
        <v>49</v>
      </c>
      <c r="E1101">
        <v>153.30000000000001</v>
      </c>
    </row>
    <row r="1102" spans="1:5" x14ac:dyDescent="0.25">
      <c r="A1102" s="7" t="s">
        <v>28</v>
      </c>
      <c r="B1102">
        <v>2018</v>
      </c>
      <c r="C1102" s="7" t="s">
        <v>32</v>
      </c>
      <c r="D1102" s="7" t="s">
        <v>50</v>
      </c>
      <c r="E1102">
        <v>438.90000000000003</v>
      </c>
    </row>
    <row r="1103" spans="1:5" x14ac:dyDescent="0.25">
      <c r="A1103" s="7" t="s">
        <v>28</v>
      </c>
      <c r="B1103">
        <v>2018</v>
      </c>
      <c r="C1103" s="7" t="s">
        <v>32</v>
      </c>
      <c r="D1103" s="7" t="s">
        <v>19</v>
      </c>
      <c r="E1103">
        <v>141.69999999999999</v>
      </c>
    </row>
    <row r="1104" spans="1:5" x14ac:dyDescent="0.25">
      <c r="A1104" s="7" t="s">
        <v>28</v>
      </c>
      <c r="B1104">
        <v>2018</v>
      </c>
      <c r="C1104" s="7" t="s">
        <v>32</v>
      </c>
      <c r="D1104" s="7" t="s">
        <v>51</v>
      </c>
      <c r="E1104">
        <v>142.4</v>
      </c>
    </row>
    <row r="1105" spans="1:5" x14ac:dyDescent="0.25">
      <c r="A1105" s="7" t="s">
        <v>28</v>
      </c>
      <c r="B1105">
        <v>2018</v>
      </c>
      <c r="C1105" s="7" t="s">
        <v>32</v>
      </c>
      <c r="D1105" s="7" t="s">
        <v>26</v>
      </c>
      <c r="E1105">
        <v>936.5</v>
      </c>
    </row>
    <row r="1106" spans="1:5" x14ac:dyDescent="0.25">
      <c r="A1106" s="7" t="s">
        <v>30</v>
      </c>
      <c r="B1106">
        <v>2018</v>
      </c>
      <c r="C1106" s="7" t="s">
        <v>32</v>
      </c>
      <c r="D1106" s="7" t="s">
        <v>48</v>
      </c>
      <c r="E1106">
        <v>1727.9</v>
      </c>
    </row>
    <row r="1107" spans="1:5" x14ac:dyDescent="0.25">
      <c r="A1107" s="7" t="s">
        <v>30</v>
      </c>
      <c r="B1107">
        <v>2018</v>
      </c>
      <c r="C1107" s="7" t="s">
        <v>32</v>
      </c>
      <c r="D1107" s="7" t="s">
        <v>49</v>
      </c>
      <c r="E1107">
        <v>159.30000000000001</v>
      </c>
    </row>
    <row r="1108" spans="1:5" x14ac:dyDescent="0.25">
      <c r="A1108" s="7" t="s">
        <v>30</v>
      </c>
      <c r="B1108">
        <v>2018</v>
      </c>
      <c r="C1108" s="7" t="s">
        <v>32</v>
      </c>
      <c r="D1108" s="7" t="s">
        <v>50</v>
      </c>
      <c r="E1108">
        <v>397.09999999999997</v>
      </c>
    </row>
    <row r="1109" spans="1:5" x14ac:dyDescent="0.25">
      <c r="A1109" s="7" t="s">
        <v>30</v>
      </c>
      <c r="B1109">
        <v>2018</v>
      </c>
      <c r="C1109" s="7" t="s">
        <v>32</v>
      </c>
      <c r="D1109" s="7" t="s">
        <v>19</v>
      </c>
      <c r="E1109">
        <v>141.30000000000001</v>
      </c>
    </row>
    <row r="1110" spans="1:5" x14ac:dyDescent="0.25">
      <c r="A1110" s="7" t="s">
        <v>30</v>
      </c>
      <c r="B1110">
        <v>2018</v>
      </c>
      <c r="C1110" s="7" t="s">
        <v>32</v>
      </c>
      <c r="D1110" s="7" t="s">
        <v>51</v>
      </c>
      <c r="E1110">
        <v>127.3</v>
      </c>
    </row>
    <row r="1111" spans="1:5" x14ac:dyDescent="0.25">
      <c r="A1111" s="7" t="s">
        <v>30</v>
      </c>
      <c r="B1111">
        <v>2018</v>
      </c>
      <c r="C1111" s="7" t="s">
        <v>32</v>
      </c>
      <c r="D1111" s="7" t="s">
        <v>26</v>
      </c>
      <c r="E1111">
        <v>893.5</v>
      </c>
    </row>
    <row r="1112" spans="1:5" x14ac:dyDescent="0.25">
      <c r="A1112" s="7" t="s">
        <v>31</v>
      </c>
      <c r="B1112">
        <v>2018</v>
      </c>
      <c r="C1112" s="7" t="s">
        <v>32</v>
      </c>
      <c r="D1112" s="7" t="s">
        <v>48</v>
      </c>
      <c r="E1112">
        <v>1760.3999999999996</v>
      </c>
    </row>
    <row r="1113" spans="1:5" x14ac:dyDescent="0.25">
      <c r="A1113" s="7" t="s">
        <v>31</v>
      </c>
      <c r="B1113">
        <v>2018</v>
      </c>
      <c r="C1113" s="7" t="s">
        <v>32</v>
      </c>
      <c r="D1113" s="7" t="s">
        <v>49</v>
      </c>
      <c r="E1113">
        <v>154.9</v>
      </c>
    </row>
    <row r="1114" spans="1:5" x14ac:dyDescent="0.25">
      <c r="A1114" s="7" t="s">
        <v>31</v>
      </c>
      <c r="B1114">
        <v>2018</v>
      </c>
      <c r="C1114" s="7" t="s">
        <v>32</v>
      </c>
      <c r="D1114" s="7" t="s">
        <v>50</v>
      </c>
      <c r="E1114">
        <v>422</v>
      </c>
    </row>
    <row r="1115" spans="1:5" x14ac:dyDescent="0.25">
      <c r="A1115" s="7" t="s">
        <v>31</v>
      </c>
      <c r="B1115">
        <v>2018</v>
      </c>
      <c r="C1115" s="7" t="s">
        <v>32</v>
      </c>
      <c r="D1115" s="7" t="s">
        <v>19</v>
      </c>
      <c r="E1115">
        <v>141.30000000000001</v>
      </c>
    </row>
    <row r="1116" spans="1:5" x14ac:dyDescent="0.25">
      <c r="A1116" s="7" t="s">
        <v>31</v>
      </c>
      <c r="B1116">
        <v>2018</v>
      </c>
      <c r="C1116" s="7" t="s">
        <v>32</v>
      </c>
      <c r="D1116" s="7" t="s">
        <v>51</v>
      </c>
      <c r="E1116">
        <v>136.69999999999999</v>
      </c>
    </row>
    <row r="1117" spans="1:5" x14ac:dyDescent="0.25">
      <c r="A1117" s="7" t="s">
        <v>31</v>
      </c>
      <c r="B1117">
        <v>2018</v>
      </c>
      <c r="C1117" s="7" t="s">
        <v>32</v>
      </c>
      <c r="D1117" s="7" t="s">
        <v>26</v>
      </c>
      <c r="E1117">
        <v>915.40000000000009</v>
      </c>
    </row>
    <row r="1118" spans="1:5" x14ac:dyDescent="0.25">
      <c r="A1118" s="7" t="s">
        <v>28</v>
      </c>
      <c r="B1118">
        <v>2018</v>
      </c>
      <c r="C1118" s="7" t="s">
        <v>33</v>
      </c>
      <c r="D1118" s="7" t="s">
        <v>48</v>
      </c>
      <c r="E1118">
        <v>1781.9999999999998</v>
      </c>
    </row>
    <row r="1119" spans="1:5" x14ac:dyDescent="0.25">
      <c r="A1119" s="7" t="s">
        <v>28</v>
      </c>
      <c r="B1119">
        <v>2018</v>
      </c>
      <c r="C1119" s="7" t="s">
        <v>33</v>
      </c>
      <c r="D1119" s="7" t="s">
        <v>49</v>
      </c>
      <c r="E1119">
        <v>155.1</v>
      </c>
    </row>
    <row r="1120" spans="1:5" x14ac:dyDescent="0.25">
      <c r="A1120" s="7" t="s">
        <v>28</v>
      </c>
      <c r="B1120">
        <v>2018</v>
      </c>
      <c r="C1120" s="7" t="s">
        <v>33</v>
      </c>
      <c r="D1120" s="7" t="s">
        <v>50</v>
      </c>
      <c r="E1120">
        <v>440.5</v>
      </c>
    </row>
    <row r="1121" spans="1:5" x14ac:dyDescent="0.25">
      <c r="A1121" s="7" t="s">
        <v>28</v>
      </c>
      <c r="B1121">
        <v>2018</v>
      </c>
      <c r="C1121" s="7" t="s">
        <v>33</v>
      </c>
      <c r="D1121" s="7" t="s">
        <v>19</v>
      </c>
      <c r="E1121">
        <v>142.5</v>
      </c>
    </row>
    <row r="1122" spans="1:5" x14ac:dyDescent="0.25">
      <c r="A1122" s="7" t="s">
        <v>28</v>
      </c>
      <c r="B1122">
        <v>2018</v>
      </c>
      <c r="C1122" s="7" t="s">
        <v>33</v>
      </c>
      <c r="D1122" s="7" t="s">
        <v>51</v>
      </c>
      <c r="E1122">
        <v>142.6</v>
      </c>
    </row>
    <row r="1123" spans="1:5" x14ac:dyDescent="0.25">
      <c r="A1123" s="7" t="s">
        <v>28</v>
      </c>
      <c r="B1123">
        <v>2018</v>
      </c>
      <c r="C1123" s="7" t="s">
        <v>33</v>
      </c>
      <c r="D1123" s="7" t="s">
        <v>26</v>
      </c>
      <c r="E1123">
        <v>941.59999999999991</v>
      </c>
    </row>
    <row r="1124" spans="1:5" x14ac:dyDescent="0.25">
      <c r="A1124" s="7" t="s">
        <v>30</v>
      </c>
      <c r="B1124">
        <v>2018</v>
      </c>
      <c r="C1124" s="7" t="s">
        <v>33</v>
      </c>
      <c r="D1124" s="7" t="s">
        <v>48</v>
      </c>
      <c r="E1124">
        <v>1715.5</v>
      </c>
    </row>
    <row r="1125" spans="1:5" x14ac:dyDescent="0.25">
      <c r="A1125" s="7" t="s">
        <v>30</v>
      </c>
      <c r="B1125">
        <v>2018</v>
      </c>
      <c r="C1125" s="7" t="s">
        <v>33</v>
      </c>
      <c r="D1125" s="7" t="s">
        <v>49</v>
      </c>
      <c r="E1125">
        <v>159.69999999999999</v>
      </c>
    </row>
    <row r="1126" spans="1:5" x14ac:dyDescent="0.25">
      <c r="A1126" s="7" t="s">
        <v>30</v>
      </c>
      <c r="B1126">
        <v>2018</v>
      </c>
      <c r="C1126" s="7" t="s">
        <v>33</v>
      </c>
      <c r="D1126" s="7" t="s">
        <v>50</v>
      </c>
      <c r="E1126">
        <v>398.59999999999997</v>
      </c>
    </row>
    <row r="1127" spans="1:5" x14ac:dyDescent="0.25">
      <c r="A1127" s="7" t="s">
        <v>30</v>
      </c>
      <c r="B1127">
        <v>2018</v>
      </c>
      <c r="C1127" s="7" t="s">
        <v>33</v>
      </c>
      <c r="D1127" s="7" t="s">
        <v>19</v>
      </c>
      <c r="E1127">
        <v>142</v>
      </c>
    </row>
    <row r="1128" spans="1:5" x14ac:dyDescent="0.25">
      <c r="A1128" s="7" t="s">
        <v>30</v>
      </c>
      <c r="B1128">
        <v>2018</v>
      </c>
      <c r="C1128" s="7" t="s">
        <v>33</v>
      </c>
      <c r="D1128" s="7" t="s">
        <v>51</v>
      </c>
      <c r="E1128">
        <v>126.4</v>
      </c>
    </row>
    <row r="1129" spans="1:5" x14ac:dyDescent="0.25">
      <c r="A1129" s="7" t="s">
        <v>30</v>
      </c>
      <c r="B1129">
        <v>2018</v>
      </c>
      <c r="C1129" s="7" t="s">
        <v>33</v>
      </c>
      <c r="D1129" s="7" t="s">
        <v>26</v>
      </c>
      <c r="E1129">
        <v>897.50000000000011</v>
      </c>
    </row>
    <row r="1130" spans="1:5" x14ac:dyDescent="0.25">
      <c r="A1130" s="7" t="s">
        <v>31</v>
      </c>
      <c r="B1130">
        <v>2018</v>
      </c>
      <c r="C1130" s="7" t="s">
        <v>33</v>
      </c>
      <c r="D1130" s="7" t="s">
        <v>48</v>
      </c>
      <c r="E1130">
        <v>1756</v>
      </c>
    </row>
    <row r="1131" spans="1:5" x14ac:dyDescent="0.25">
      <c r="A1131" s="7" t="s">
        <v>31</v>
      </c>
      <c r="B1131">
        <v>2018</v>
      </c>
      <c r="C1131" s="7" t="s">
        <v>33</v>
      </c>
      <c r="D1131" s="7" t="s">
        <v>49</v>
      </c>
      <c r="E1131">
        <v>156.30000000000001</v>
      </c>
    </row>
    <row r="1132" spans="1:5" x14ac:dyDescent="0.25">
      <c r="A1132" s="7" t="s">
        <v>31</v>
      </c>
      <c r="B1132">
        <v>2018</v>
      </c>
      <c r="C1132" s="7" t="s">
        <v>33</v>
      </c>
      <c r="D1132" s="7" t="s">
        <v>50</v>
      </c>
      <c r="E1132">
        <v>423.6</v>
      </c>
    </row>
    <row r="1133" spans="1:5" x14ac:dyDescent="0.25">
      <c r="A1133" s="7" t="s">
        <v>31</v>
      </c>
      <c r="B1133">
        <v>2018</v>
      </c>
      <c r="C1133" s="7" t="s">
        <v>33</v>
      </c>
      <c r="D1133" s="7" t="s">
        <v>19</v>
      </c>
      <c r="E1133">
        <v>142</v>
      </c>
    </row>
    <row r="1134" spans="1:5" x14ac:dyDescent="0.25">
      <c r="A1134" s="7" t="s">
        <v>31</v>
      </c>
      <c r="B1134">
        <v>2018</v>
      </c>
      <c r="C1134" s="7" t="s">
        <v>33</v>
      </c>
      <c r="D1134" s="7" t="s">
        <v>51</v>
      </c>
      <c r="E1134">
        <v>136.5</v>
      </c>
    </row>
    <row r="1135" spans="1:5" x14ac:dyDescent="0.25">
      <c r="A1135" s="7" t="s">
        <v>31</v>
      </c>
      <c r="B1135">
        <v>2018</v>
      </c>
      <c r="C1135" s="7" t="s">
        <v>33</v>
      </c>
      <c r="D1135" s="7" t="s">
        <v>26</v>
      </c>
      <c r="E1135">
        <v>919.59999999999991</v>
      </c>
    </row>
    <row r="1136" spans="1:5" x14ac:dyDescent="0.25">
      <c r="A1136" s="7" t="s">
        <v>28</v>
      </c>
      <c r="B1136">
        <v>2018</v>
      </c>
      <c r="C1136" s="7" t="s">
        <v>34</v>
      </c>
      <c r="D1136" s="7" t="s">
        <v>48</v>
      </c>
      <c r="E1136">
        <v>1780</v>
      </c>
    </row>
    <row r="1137" spans="1:5" x14ac:dyDescent="0.25">
      <c r="A1137" s="7" t="s">
        <v>28</v>
      </c>
      <c r="B1137">
        <v>2018</v>
      </c>
      <c r="C1137" s="7" t="s">
        <v>34</v>
      </c>
      <c r="D1137" s="7" t="s">
        <v>49</v>
      </c>
      <c r="E1137">
        <v>156.1</v>
      </c>
    </row>
    <row r="1138" spans="1:5" x14ac:dyDescent="0.25">
      <c r="A1138" s="7" t="s">
        <v>28</v>
      </c>
      <c r="B1138">
        <v>2018</v>
      </c>
      <c r="C1138" s="7" t="s">
        <v>34</v>
      </c>
      <c r="D1138" s="7" t="s">
        <v>50</v>
      </c>
      <c r="E1138">
        <v>442.5</v>
      </c>
    </row>
    <row r="1139" spans="1:5" x14ac:dyDescent="0.25">
      <c r="A1139" s="7" t="s">
        <v>28</v>
      </c>
      <c r="B1139">
        <v>2018</v>
      </c>
      <c r="C1139" s="7" t="s">
        <v>34</v>
      </c>
      <c r="D1139" s="7" t="s">
        <v>19</v>
      </c>
      <c r="E1139">
        <v>143.1</v>
      </c>
    </row>
    <row r="1140" spans="1:5" x14ac:dyDescent="0.25">
      <c r="A1140" s="7" t="s">
        <v>28</v>
      </c>
      <c r="B1140">
        <v>2018</v>
      </c>
      <c r="C1140" s="7" t="s">
        <v>34</v>
      </c>
      <c r="D1140" s="7" t="s">
        <v>51</v>
      </c>
      <c r="E1140">
        <v>143.80000000000001</v>
      </c>
    </row>
    <row r="1141" spans="1:5" x14ac:dyDescent="0.25">
      <c r="A1141" s="7" t="s">
        <v>28</v>
      </c>
      <c r="B1141">
        <v>2018</v>
      </c>
      <c r="C1141" s="7" t="s">
        <v>34</v>
      </c>
      <c r="D1141" s="7" t="s">
        <v>26</v>
      </c>
      <c r="E1141">
        <v>948.09999999999991</v>
      </c>
    </row>
    <row r="1142" spans="1:5" x14ac:dyDescent="0.25">
      <c r="A1142" s="7" t="s">
        <v>30</v>
      </c>
      <c r="B1142">
        <v>2018</v>
      </c>
      <c r="C1142" s="7" t="s">
        <v>34</v>
      </c>
      <c r="D1142" s="7" t="s">
        <v>48</v>
      </c>
      <c r="E1142">
        <v>1720.0000000000002</v>
      </c>
    </row>
    <row r="1143" spans="1:5" x14ac:dyDescent="0.25">
      <c r="A1143" s="7" t="s">
        <v>30</v>
      </c>
      <c r="B1143">
        <v>2018</v>
      </c>
      <c r="C1143" s="7" t="s">
        <v>34</v>
      </c>
      <c r="D1143" s="7" t="s">
        <v>49</v>
      </c>
      <c r="E1143">
        <v>159.19999999999999</v>
      </c>
    </row>
    <row r="1144" spans="1:5" x14ac:dyDescent="0.25">
      <c r="A1144" s="7" t="s">
        <v>30</v>
      </c>
      <c r="B1144">
        <v>2018</v>
      </c>
      <c r="C1144" s="7" t="s">
        <v>34</v>
      </c>
      <c r="D1144" s="7" t="s">
        <v>50</v>
      </c>
      <c r="E1144">
        <v>401.40000000000003</v>
      </c>
    </row>
    <row r="1145" spans="1:5" x14ac:dyDescent="0.25">
      <c r="A1145" s="7" t="s">
        <v>30</v>
      </c>
      <c r="B1145">
        <v>2018</v>
      </c>
      <c r="C1145" s="7" t="s">
        <v>34</v>
      </c>
      <c r="D1145" s="7" t="s">
        <v>19</v>
      </c>
      <c r="E1145">
        <v>142.9</v>
      </c>
    </row>
    <row r="1146" spans="1:5" x14ac:dyDescent="0.25">
      <c r="A1146" s="7" t="s">
        <v>30</v>
      </c>
      <c r="B1146">
        <v>2018</v>
      </c>
      <c r="C1146" s="7" t="s">
        <v>34</v>
      </c>
      <c r="D1146" s="7" t="s">
        <v>51</v>
      </c>
      <c r="E1146">
        <v>124.6</v>
      </c>
    </row>
    <row r="1147" spans="1:5" x14ac:dyDescent="0.25">
      <c r="A1147" s="7" t="s">
        <v>30</v>
      </c>
      <c r="B1147">
        <v>2018</v>
      </c>
      <c r="C1147" s="7" t="s">
        <v>34</v>
      </c>
      <c r="D1147" s="7" t="s">
        <v>26</v>
      </c>
      <c r="E1147">
        <v>905.09999999999991</v>
      </c>
    </row>
    <row r="1148" spans="1:5" x14ac:dyDescent="0.25">
      <c r="A1148" s="7" t="s">
        <v>31</v>
      </c>
      <c r="B1148">
        <v>2018</v>
      </c>
      <c r="C1148" s="7" t="s">
        <v>34</v>
      </c>
      <c r="D1148" s="7" t="s">
        <v>48</v>
      </c>
      <c r="E1148">
        <v>1757.1000000000001</v>
      </c>
    </row>
    <row r="1149" spans="1:5" x14ac:dyDescent="0.25">
      <c r="A1149" s="7" t="s">
        <v>31</v>
      </c>
      <c r="B1149">
        <v>2018</v>
      </c>
      <c r="C1149" s="7" t="s">
        <v>34</v>
      </c>
      <c r="D1149" s="7" t="s">
        <v>49</v>
      </c>
      <c r="E1149">
        <v>156.9</v>
      </c>
    </row>
    <row r="1150" spans="1:5" x14ac:dyDescent="0.25">
      <c r="A1150" s="7" t="s">
        <v>31</v>
      </c>
      <c r="B1150">
        <v>2018</v>
      </c>
      <c r="C1150" s="7" t="s">
        <v>34</v>
      </c>
      <c r="D1150" s="7" t="s">
        <v>50</v>
      </c>
      <c r="E1150">
        <v>426</v>
      </c>
    </row>
    <row r="1151" spans="1:5" x14ac:dyDescent="0.25">
      <c r="A1151" s="7" t="s">
        <v>31</v>
      </c>
      <c r="B1151">
        <v>2018</v>
      </c>
      <c r="C1151" s="7" t="s">
        <v>34</v>
      </c>
      <c r="D1151" s="7" t="s">
        <v>19</v>
      </c>
      <c r="E1151">
        <v>142.9</v>
      </c>
    </row>
    <row r="1152" spans="1:5" x14ac:dyDescent="0.25">
      <c r="A1152" s="7" t="s">
        <v>31</v>
      </c>
      <c r="B1152">
        <v>2018</v>
      </c>
      <c r="C1152" s="7" t="s">
        <v>34</v>
      </c>
      <c r="D1152" s="7" t="s">
        <v>51</v>
      </c>
      <c r="E1152">
        <v>136.5</v>
      </c>
    </row>
    <row r="1153" spans="1:5" x14ac:dyDescent="0.25">
      <c r="A1153" s="7" t="s">
        <v>31</v>
      </c>
      <c r="B1153">
        <v>2018</v>
      </c>
      <c r="C1153" s="7" t="s">
        <v>34</v>
      </c>
      <c r="D1153" s="7" t="s">
        <v>26</v>
      </c>
      <c r="E1153">
        <v>926.89999999999986</v>
      </c>
    </row>
    <row r="1154" spans="1:5" x14ac:dyDescent="0.25">
      <c r="A1154" s="7" t="s">
        <v>28</v>
      </c>
      <c r="B1154">
        <v>2018</v>
      </c>
      <c r="C1154" s="7" t="s">
        <v>35</v>
      </c>
      <c r="D1154" s="7" t="s">
        <v>48</v>
      </c>
      <c r="E1154">
        <v>1782.4</v>
      </c>
    </row>
    <row r="1155" spans="1:5" x14ac:dyDescent="0.25">
      <c r="A1155" s="7" t="s">
        <v>28</v>
      </c>
      <c r="B1155">
        <v>2018</v>
      </c>
      <c r="C1155" s="7" t="s">
        <v>35</v>
      </c>
      <c r="D1155" s="7" t="s">
        <v>49</v>
      </c>
      <c r="E1155">
        <v>157</v>
      </c>
    </row>
    <row r="1156" spans="1:5" x14ac:dyDescent="0.25">
      <c r="A1156" s="7" t="s">
        <v>28</v>
      </c>
      <c r="B1156">
        <v>2018</v>
      </c>
      <c r="C1156" s="7" t="s">
        <v>35</v>
      </c>
      <c r="D1156" s="7" t="s">
        <v>50</v>
      </c>
      <c r="E1156">
        <v>444.7</v>
      </c>
    </row>
    <row r="1157" spans="1:5" x14ac:dyDescent="0.25">
      <c r="A1157" s="7" t="s">
        <v>28</v>
      </c>
      <c r="B1157">
        <v>2018</v>
      </c>
      <c r="C1157" s="7" t="s">
        <v>35</v>
      </c>
      <c r="D1157" s="7" t="s">
        <v>19</v>
      </c>
      <c r="E1157">
        <v>142.9</v>
      </c>
    </row>
    <row r="1158" spans="1:5" x14ac:dyDescent="0.25">
      <c r="A1158" s="7" t="s">
        <v>28</v>
      </c>
      <c r="B1158">
        <v>2018</v>
      </c>
      <c r="C1158" s="7" t="s">
        <v>35</v>
      </c>
      <c r="D1158" s="7" t="s">
        <v>51</v>
      </c>
      <c r="E1158">
        <v>144.30000000000001</v>
      </c>
    </row>
    <row r="1159" spans="1:5" x14ac:dyDescent="0.25">
      <c r="A1159" s="7" t="s">
        <v>28</v>
      </c>
      <c r="B1159">
        <v>2018</v>
      </c>
      <c r="C1159" s="7" t="s">
        <v>35</v>
      </c>
      <c r="D1159" s="7" t="s">
        <v>26</v>
      </c>
      <c r="E1159">
        <v>954.1</v>
      </c>
    </row>
    <row r="1160" spans="1:5" x14ac:dyDescent="0.25">
      <c r="A1160" s="7" t="s">
        <v>30</v>
      </c>
      <c r="B1160">
        <v>2018</v>
      </c>
      <c r="C1160" s="7" t="s">
        <v>35</v>
      </c>
      <c r="D1160" s="7" t="s">
        <v>48</v>
      </c>
      <c r="E1160">
        <v>1722.8999999999999</v>
      </c>
    </row>
    <row r="1161" spans="1:5" x14ac:dyDescent="0.25">
      <c r="A1161" s="7" t="s">
        <v>30</v>
      </c>
      <c r="B1161">
        <v>2018</v>
      </c>
      <c r="C1161" s="7" t="s">
        <v>35</v>
      </c>
      <c r="D1161" s="7" t="s">
        <v>49</v>
      </c>
      <c r="E1161">
        <v>160.30000000000001</v>
      </c>
    </row>
    <row r="1162" spans="1:5" x14ac:dyDescent="0.25">
      <c r="A1162" s="7" t="s">
        <v>30</v>
      </c>
      <c r="B1162">
        <v>2018</v>
      </c>
      <c r="C1162" s="7" t="s">
        <v>35</v>
      </c>
      <c r="D1162" s="7" t="s">
        <v>50</v>
      </c>
      <c r="E1162">
        <v>403.5</v>
      </c>
    </row>
    <row r="1163" spans="1:5" x14ac:dyDescent="0.25">
      <c r="A1163" s="7" t="s">
        <v>30</v>
      </c>
      <c r="B1163">
        <v>2018</v>
      </c>
      <c r="C1163" s="7" t="s">
        <v>35</v>
      </c>
      <c r="D1163" s="7" t="s">
        <v>19</v>
      </c>
      <c r="E1163">
        <v>143.19999999999999</v>
      </c>
    </row>
    <row r="1164" spans="1:5" x14ac:dyDescent="0.25">
      <c r="A1164" s="7" t="s">
        <v>30</v>
      </c>
      <c r="B1164">
        <v>2018</v>
      </c>
      <c r="C1164" s="7" t="s">
        <v>35</v>
      </c>
      <c r="D1164" s="7" t="s">
        <v>51</v>
      </c>
      <c r="E1164">
        <v>124.7</v>
      </c>
    </row>
    <row r="1165" spans="1:5" x14ac:dyDescent="0.25">
      <c r="A1165" s="7" t="s">
        <v>30</v>
      </c>
      <c r="B1165">
        <v>2018</v>
      </c>
      <c r="C1165" s="7" t="s">
        <v>35</v>
      </c>
      <c r="D1165" s="7" t="s">
        <v>26</v>
      </c>
      <c r="E1165">
        <v>909.69999999999993</v>
      </c>
    </row>
    <row r="1166" spans="1:5" x14ac:dyDescent="0.25">
      <c r="A1166" s="7" t="s">
        <v>31</v>
      </c>
      <c r="B1166">
        <v>2018</v>
      </c>
      <c r="C1166" s="7" t="s">
        <v>35</v>
      </c>
      <c r="D1166" s="7" t="s">
        <v>48</v>
      </c>
      <c r="E1166">
        <v>1759.8</v>
      </c>
    </row>
    <row r="1167" spans="1:5" x14ac:dyDescent="0.25">
      <c r="A1167" s="7" t="s">
        <v>31</v>
      </c>
      <c r="B1167">
        <v>2018</v>
      </c>
      <c r="C1167" s="7" t="s">
        <v>35</v>
      </c>
      <c r="D1167" s="7" t="s">
        <v>49</v>
      </c>
      <c r="E1167">
        <v>157.9</v>
      </c>
    </row>
    <row r="1168" spans="1:5" x14ac:dyDescent="0.25">
      <c r="A1168" s="7" t="s">
        <v>31</v>
      </c>
      <c r="B1168">
        <v>2018</v>
      </c>
      <c r="C1168" s="7" t="s">
        <v>35</v>
      </c>
      <c r="D1168" s="7" t="s">
        <v>50</v>
      </c>
      <c r="E1168">
        <v>428.09999999999997</v>
      </c>
    </row>
    <row r="1169" spans="1:5" x14ac:dyDescent="0.25">
      <c r="A1169" s="7" t="s">
        <v>31</v>
      </c>
      <c r="B1169">
        <v>2018</v>
      </c>
      <c r="C1169" s="7" t="s">
        <v>35</v>
      </c>
      <c r="D1169" s="7" t="s">
        <v>19</v>
      </c>
      <c r="E1169">
        <v>143.19999999999999</v>
      </c>
    </row>
    <row r="1170" spans="1:5" x14ac:dyDescent="0.25">
      <c r="A1170" s="7" t="s">
        <v>31</v>
      </c>
      <c r="B1170">
        <v>2018</v>
      </c>
      <c r="C1170" s="7" t="s">
        <v>35</v>
      </c>
      <c r="D1170" s="7" t="s">
        <v>51</v>
      </c>
      <c r="E1170">
        <v>136.9</v>
      </c>
    </row>
    <row r="1171" spans="1:5" x14ac:dyDescent="0.25">
      <c r="A1171" s="7" t="s">
        <v>31</v>
      </c>
      <c r="B1171">
        <v>2018</v>
      </c>
      <c r="C1171" s="7" t="s">
        <v>35</v>
      </c>
      <c r="D1171" s="7" t="s">
        <v>26</v>
      </c>
      <c r="E1171">
        <v>932.19999999999993</v>
      </c>
    </row>
    <row r="1172" spans="1:5" x14ac:dyDescent="0.25">
      <c r="A1172" s="7" t="s">
        <v>28</v>
      </c>
      <c r="B1172">
        <v>2018</v>
      </c>
      <c r="C1172" s="7" t="s">
        <v>36</v>
      </c>
      <c r="D1172" s="7" t="s">
        <v>48</v>
      </c>
      <c r="E1172">
        <v>1790.2999999999997</v>
      </c>
    </row>
    <row r="1173" spans="1:5" x14ac:dyDescent="0.25">
      <c r="A1173" s="7" t="s">
        <v>28</v>
      </c>
      <c r="B1173">
        <v>2018</v>
      </c>
      <c r="C1173" s="7" t="s">
        <v>36</v>
      </c>
      <c r="D1173" s="7" t="s">
        <v>49</v>
      </c>
      <c r="E1173">
        <v>157.30000000000001</v>
      </c>
    </row>
    <row r="1174" spans="1:5" x14ac:dyDescent="0.25">
      <c r="A1174" s="7" t="s">
        <v>28</v>
      </c>
      <c r="B1174">
        <v>2018</v>
      </c>
      <c r="C1174" s="7" t="s">
        <v>36</v>
      </c>
      <c r="D1174" s="7" t="s">
        <v>50</v>
      </c>
      <c r="E1174">
        <v>446.3</v>
      </c>
    </row>
    <row r="1175" spans="1:5" x14ac:dyDescent="0.25">
      <c r="A1175" s="7" t="s">
        <v>28</v>
      </c>
      <c r="B1175">
        <v>2018</v>
      </c>
      <c r="C1175" s="7" t="s">
        <v>36</v>
      </c>
      <c r="D1175" s="7" t="s">
        <v>19</v>
      </c>
      <c r="E1175">
        <v>143.1</v>
      </c>
    </row>
    <row r="1176" spans="1:5" x14ac:dyDescent="0.25">
      <c r="A1176" s="7" t="s">
        <v>28</v>
      </c>
      <c r="B1176">
        <v>2018</v>
      </c>
      <c r="C1176" s="7" t="s">
        <v>36</v>
      </c>
      <c r="D1176" s="7" t="s">
        <v>51</v>
      </c>
      <c r="E1176">
        <v>145.1</v>
      </c>
    </row>
    <row r="1177" spans="1:5" x14ac:dyDescent="0.25">
      <c r="A1177" s="7" t="s">
        <v>28</v>
      </c>
      <c r="B1177">
        <v>2018</v>
      </c>
      <c r="C1177" s="7" t="s">
        <v>36</v>
      </c>
      <c r="D1177" s="7" t="s">
        <v>26</v>
      </c>
      <c r="E1177">
        <v>957.9</v>
      </c>
    </row>
    <row r="1178" spans="1:5" x14ac:dyDescent="0.25">
      <c r="A1178" s="7" t="s">
        <v>30</v>
      </c>
      <c r="B1178">
        <v>2018</v>
      </c>
      <c r="C1178" s="7" t="s">
        <v>36</v>
      </c>
      <c r="D1178" s="7" t="s">
        <v>48</v>
      </c>
      <c r="E1178">
        <v>1747.3000000000002</v>
      </c>
    </row>
    <row r="1179" spans="1:5" x14ac:dyDescent="0.25">
      <c r="A1179" s="7" t="s">
        <v>30</v>
      </c>
      <c r="B1179">
        <v>2018</v>
      </c>
      <c r="C1179" s="7" t="s">
        <v>36</v>
      </c>
      <c r="D1179" s="7" t="s">
        <v>49</v>
      </c>
      <c r="E1179">
        <v>161</v>
      </c>
    </row>
    <row r="1180" spans="1:5" x14ac:dyDescent="0.25">
      <c r="A1180" s="7" t="s">
        <v>30</v>
      </c>
      <c r="B1180">
        <v>2018</v>
      </c>
      <c r="C1180" s="7" t="s">
        <v>36</v>
      </c>
      <c r="D1180" s="7" t="s">
        <v>50</v>
      </c>
      <c r="E1180">
        <v>405</v>
      </c>
    </row>
    <row r="1181" spans="1:5" x14ac:dyDescent="0.25">
      <c r="A1181" s="7" t="s">
        <v>30</v>
      </c>
      <c r="B1181">
        <v>2018</v>
      </c>
      <c r="C1181" s="7" t="s">
        <v>36</v>
      </c>
      <c r="D1181" s="7" t="s">
        <v>19</v>
      </c>
      <c r="E1181">
        <v>142.5</v>
      </c>
    </row>
    <row r="1182" spans="1:5" x14ac:dyDescent="0.25">
      <c r="A1182" s="7" t="s">
        <v>30</v>
      </c>
      <c r="B1182">
        <v>2018</v>
      </c>
      <c r="C1182" s="7" t="s">
        <v>36</v>
      </c>
      <c r="D1182" s="7" t="s">
        <v>51</v>
      </c>
      <c r="E1182">
        <v>126.5</v>
      </c>
    </row>
    <row r="1183" spans="1:5" x14ac:dyDescent="0.25">
      <c r="A1183" s="7" t="s">
        <v>30</v>
      </c>
      <c r="B1183">
        <v>2018</v>
      </c>
      <c r="C1183" s="7" t="s">
        <v>36</v>
      </c>
      <c r="D1183" s="7" t="s">
        <v>26</v>
      </c>
      <c r="E1183">
        <v>913.5</v>
      </c>
    </row>
    <row r="1184" spans="1:5" x14ac:dyDescent="0.25">
      <c r="A1184" s="7" t="s">
        <v>31</v>
      </c>
      <c r="B1184">
        <v>2018</v>
      </c>
      <c r="C1184" s="7" t="s">
        <v>36</v>
      </c>
      <c r="D1184" s="7" t="s">
        <v>48</v>
      </c>
      <c r="E1184">
        <v>1774.1000000000001</v>
      </c>
    </row>
    <row r="1185" spans="1:5" x14ac:dyDescent="0.25">
      <c r="A1185" s="7" t="s">
        <v>31</v>
      </c>
      <c r="B1185">
        <v>2018</v>
      </c>
      <c r="C1185" s="7" t="s">
        <v>36</v>
      </c>
      <c r="D1185" s="7" t="s">
        <v>49</v>
      </c>
      <c r="E1185">
        <v>158.30000000000001</v>
      </c>
    </row>
    <row r="1186" spans="1:5" x14ac:dyDescent="0.25">
      <c r="A1186" s="7" t="s">
        <v>31</v>
      </c>
      <c r="B1186">
        <v>2018</v>
      </c>
      <c r="C1186" s="7" t="s">
        <v>36</v>
      </c>
      <c r="D1186" s="7" t="s">
        <v>50</v>
      </c>
      <c r="E1186">
        <v>429.7</v>
      </c>
    </row>
    <row r="1187" spans="1:5" x14ac:dyDescent="0.25">
      <c r="A1187" s="7" t="s">
        <v>31</v>
      </c>
      <c r="B1187">
        <v>2018</v>
      </c>
      <c r="C1187" s="7" t="s">
        <v>36</v>
      </c>
      <c r="D1187" s="7" t="s">
        <v>19</v>
      </c>
      <c r="E1187">
        <v>142.5</v>
      </c>
    </row>
    <row r="1188" spans="1:5" x14ac:dyDescent="0.25">
      <c r="A1188" s="7" t="s">
        <v>31</v>
      </c>
      <c r="B1188">
        <v>2018</v>
      </c>
      <c r="C1188" s="7" t="s">
        <v>36</v>
      </c>
      <c r="D1188" s="7" t="s">
        <v>51</v>
      </c>
      <c r="E1188">
        <v>138.1</v>
      </c>
    </row>
    <row r="1189" spans="1:5" x14ac:dyDescent="0.25">
      <c r="A1189" s="7" t="s">
        <v>31</v>
      </c>
      <c r="B1189">
        <v>2018</v>
      </c>
      <c r="C1189" s="7" t="s">
        <v>36</v>
      </c>
      <c r="D1189" s="7" t="s">
        <v>26</v>
      </c>
      <c r="E1189">
        <v>935.90000000000009</v>
      </c>
    </row>
    <row r="1190" spans="1:5" x14ac:dyDescent="0.25">
      <c r="A1190" s="7" t="s">
        <v>28</v>
      </c>
      <c r="B1190">
        <v>2018</v>
      </c>
      <c r="C1190" s="7" t="s">
        <v>37</v>
      </c>
      <c r="D1190" s="7" t="s">
        <v>48</v>
      </c>
      <c r="E1190">
        <v>1810.5000000000002</v>
      </c>
    </row>
    <row r="1191" spans="1:5" x14ac:dyDescent="0.25">
      <c r="A1191" s="7" t="s">
        <v>28</v>
      </c>
      <c r="B1191">
        <v>2018</v>
      </c>
      <c r="C1191" s="7" t="s">
        <v>37</v>
      </c>
      <c r="D1191" s="7" t="s">
        <v>49</v>
      </c>
      <c r="E1191">
        <v>156.1</v>
      </c>
    </row>
    <row r="1192" spans="1:5" x14ac:dyDescent="0.25">
      <c r="A1192" s="7" t="s">
        <v>28</v>
      </c>
      <c r="B1192">
        <v>2018</v>
      </c>
      <c r="C1192" s="7" t="s">
        <v>37</v>
      </c>
      <c r="D1192" s="7" t="s">
        <v>50</v>
      </c>
      <c r="E1192">
        <v>447.20000000000005</v>
      </c>
    </row>
    <row r="1193" spans="1:5" x14ac:dyDescent="0.25">
      <c r="A1193" s="7" t="s">
        <v>28</v>
      </c>
      <c r="B1193">
        <v>2018</v>
      </c>
      <c r="C1193" s="7" t="s">
        <v>37</v>
      </c>
      <c r="D1193" s="7" t="s">
        <v>19</v>
      </c>
      <c r="E1193">
        <v>144.1</v>
      </c>
    </row>
    <row r="1194" spans="1:5" x14ac:dyDescent="0.25">
      <c r="A1194" s="7" t="s">
        <v>28</v>
      </c>
      <c r="B1194">
        <v>2018</v>
      </c>
      <c r="C1194" s="7" t="s">
        <v>37</v>
      </c>
      <c r="D1194" s="7" t="s">
        <v>51</v>
      </c>
      <c r="E1194">
        <v>146.80000000000001</v>
      </c>
    </row>
    <row r="1195" spans="1:5" x14ac:dyDescent="0.25">
      <c r="A1195" s="7" t="s">
        <v>28</v>
      </c>
      <c r="B1195">
        <v>2018</v>
      </c>
      <c r="C1195" s="7" t="s">
        <v>37</v>
      </c>
      <c r="D1195" s="7" t="s">
        <v>26</v>
      </c>
      <c r="E1195">
        <v>961.19999999999993</v>
      </c>
    </row>
    <row r="1196" spans="1:5" x14ac:dyDescent="0.25">
      <c r="A1196" s="7" t="s">
        <v>30</v>
      </c>
      <c r="B1196">
        <v>2018</v>
      </c>
      <c r="C1196" s="7" t="s">
        <v>37</v>
      </c>
      <c r="D1196" s="7" t="s">
        <v>48</v>
      </c>
      <c r="E1196">
        <v>1771.1</v>
      </c>
    </row>
    <row r="1197" spans="1:5" x14ac:dyDescent="0.25">
      <c r="A1197" s="7" t="s">
        <v>30</v>
      </c>
      <c r="B1197">
        <v>2018</v>
      </c>
      <c r="C1197" s="7" t="s">
        <v>37</v>
      </c>
      <c r="D1197" s="7" t="s">
        <v>49</v>
      </c>
      <c r="E1197">
        <v>161.4</v>
      </c>
    </row>
    <row r="1198" spans="1:5" x14ac:dyDescent="0.25">
      <c r="A1198" s="7" t="s">
        <v>30</v>
      </c>
      <c r="B1198">
        <v>2018</v>
      </c>
      <c r="C1198" s="7" t="s">
        <v>37</v>
      </c>
      <c r="D1198" s="7" t="s">
        <v>50</v>
      </c>
      <c r="E1198">
        <v>406.4</v>
      </c>
    </row>
    <row r="1199" spans="1:5" x14ac:dyDescent="0.25">
      <c r="A1199" s="7" t="s">
        <v>30</v>
      </c>
      <c r="B1199">
        <v>2018</v>
      </c>
      <c r="C1199" s="7" t="s">
        <v>37</v>
      </c>
      <c r="D1199" s="7" t="s">
        <v>19</v>
      </c>
      <c r="E1199">
        <v>143.6</v>
      </c>
    </row>
    <row r="1200" spans="1:5" x14ac:dyDescent="0.25">
      <c r="A1200" s="7" t="s">
        <v>30</v>
      </c>
      <c r="B1200">
        <v>2018</v>
      </c>
      <c r="C1200" s="7" t="s">
        <v>37</v>
      </c>
      <c r="D1200" s="7" t="s">
        <v>51</v>
      </c>
      <c r="E1200">
        <v>128.1</v>
      </c>
    </row>
    <row r="1201" spans="1:5" x14ac:dyDescent="0.25">
      <c r="A1201" s="7" t="s">
        <v>30</v>
      </c>
      <c r="B1201">
        <v>2018</v>
      </c>
      <c r="C1201" s="7" t="s">
        <v>37</v>
      </c>
      <c r="D1201" s="7" t="s">
        <v>26</v>
      </c>
      <c r="E1201">
        <v>918.7</v>
      </c>
    </row>
    <row r="1202" spans="1:5" x14ac:dyDescent="0.25">
      <c r="A1202" s="7" t="s">
        <v>31</v>
      </c>
      <c r="B1202">
        <v>2018</v>
      </c>
      <c r="C1202" s="7" t="s">
        <v>37</v>
      </c>
      <c r="D1202" s="7" t="s">
        <v>48</v>
      </c>
      <c r="E1202">
        <v>1795.3</v>
      </c>
    </row>
    <row r="1203" spans="1:5" x14ac:dyDescent="0.25">
      <c r="A1203" s="7" t="s">
        <v>31</v>
      </c>
      <c r="B1203">
        <v>2018</v>
      </c>
      <c r="C1203" s="7" t="s">
        <v>37</v>
      </c>
      <c r="D1203" s="7" t="s">
        <v>49</v>
      </c>
      <c r="E1203">
        <v>157.5</v>
      </c>
    </row>
    <row r="1204" spans="1:5" x14ac:dyDescent="0.25">
      <c r="A1204" s="7" t="s">
        <v>31</v>
      </c>
      <c r="B1204">
        <v>2018</v>
      </c>
      <c r="C1204" s="7" t="s">
        <v>37</v>
      </c>
      <c r="D1204" s="7" t="s">
        <v>50</v>
      </c>
      <c r="E1204">
        <v>430.80000000000007</v>
      </c>
    </row>
    <row r="1205" spans="1:5" x14ac:dyDescent="0.25">
      <c r="A1205" s="7" t="s">
        <v>31</v>
      </c>
      <c r="B1205">
        <v>2018</v>
      </c>
      <c r="C1205" s="7" t="s">
        <v>37</v>
      </c>
      <c r="D1205" s="7" t="s">
        <v>19</v>
      </c>
      <c r="E1205">
        <v>143.6</v>
      </c>
    </row>
    <row r="1206" spans="1:5" x14ac:dyDescent="0.25">
      <c r="A1206" s="7" t="s">
        <v>31</v>
      </c>
      <c r="B1206">
        <v>2018</v>
      </c>
      <c r="C1206" s="7" t="s">
        <v>37</v>
      </c>
      <c r="D1206" s="7" t="s">
        <v>51</v>
      </c>
      <c r="E1206">
        <v>139.69999999999999</v>
      </c>
    </row>
    <row r="1207" spans="1:5" x14ac:dyDescent="0.25">
      <c r="A1207" s="7" t="s">
        <v>31</v>
      </c>
      <c r="B1207">
        <v>2018</v>
      </c>
      <c r="C1207" s="7" t="s">
        <v>37</v>
      </c>
      <c r="D1207" s="7" t="s">
        <v>26</v>
      </c>
      <c r="E1207">
        <v>940.3</v>
      </c>
    </row>
    <row r="1208" spans="1:5" x14ac:dyDescent="0.25">
      <c r="A1208" s="7" t="s">
        <v>28</v>
      </c>
      <c r="B1208">
        <v>2018</v>
      </c>
      <c r="C1208" s="7" t="s">
        <v>38</v>
      </c>
      <c r="D1208" s="7" t="s">
        <v>48</v>
      </c>
      <c r="E1208">
        <v>1818.8</v>
      </c>
    </row>
    <row r="1209" spans="1:5" x14ac:dyDescent="0.25">
      <c r="A1209" s="7" t="s">
        <v>28</v>
      </c>
      <c r="B1209">
        <v>2018</v>
      </c>
      <c r="C1209" s="7" t="s">
        <v>38</v>
      </c>
      <c r="D1209" s="7" t="s">
        <v>49</v>
      </c>
      <c r="E1209">
        <v>156.4</v>
      </c>
    </row>
    <row r="1210" spans="1:5" x14ac:dyDescent="0.25">
      <c r="A1210" s="7" t="s">
        <v>28</v>
      </c>
      <c r="B1210">
        <v>2018</v>
      </c>
      <c r="C1210" s="7" t="s">
        <v>38</v>
      </c>
      <c r="D1210" s="7" t="s">
        <v>50</v>
      </c>
      <c r="E1210">
        <v>449.2</v>
      </c>
    </row>
    <row r="1211" spans="1:5" x14ac:dyDescent="0.25">
      <c r="A1211" s="7" t="s">
        <v>28</v>
      </c>
      <c r="B1211">
        <v>2018</v>
      </c>
      <c r="C1211" s="7" t="s">
        <v>38</v>
      </c>
      <c r="D1211" s="7" t="s">
        <v>19</v>
      </c>
      <c r="E1211">
        <v>145</v>
      </c>
    </row>
    <row r="1212" spans="1:5" x14ac:dyDescent="0.25">
      <c r="A1212" s="7" t="s">
        <v>28</v>
      </c>
      <c r="B1212">
        <v>2018</v>
      </c>
      <c r="C1212" s="7" t="s">
        <v>38</v>
      </c>
      <c r="D1212" s="7" t="s">
        <v>51</v>
      </c>
      <c r="E1212">
        <v>147.69999999999999</v>
      </c>
    </row>
    <row r="1213" spans="1:5" x14ac:dyDescent="0.25">
      <c r="A1213" s="7" t="s">
        <v>28</v>
      </c>
      <c r="B1213">
        <v>2018</v>
      </c>
      <c r="C1213" s="7" t="s">
        <v>38</v>
      </c>
      <c r="D1213" s="7" t="s">
        <v>26</v>
      </c>
      <c r="E1213">
        <v>964.9</v>
      </c>
    </row>
    <row r="1214" spans="1:5" x14ac:dyDescent="0.25">
      <c r="A1214" s="7" t="s">
        <v>30</v>
      </c>
      <c r="B1214">
        <v>2018</v>
      </c>
      <c r="C1214" s="7" t="s">
        <v>38</v>
      </c>
      <c r="D1214" s="7" t="s">
        <v>48</v>
      </c>
      <c r="E1214">
        <v>1767.6</v>
      </c>
    </row>
    <row r="1215" spans="1:5" x14ac:dyDescent="0.25">
      <c r="A1215" s="7" t="s">
        <v>30</v>
      </c>
      <c r="B1215">
        <v>2018</v>
      </c>
      <c r="C1215" s="7" t="s">
        <v>38</v>
      </c>
      <c r="D1215" s="7" t="s">
        <v>49</v>
      </c>
      <c r="E1215">
        <v>162.1</v>
      </c>
    </row>
    <row r="1216" spans="1:5" x14ac:dyDescent="0.25">
      <c r="A1216" s="7" t="s">
        <v>30</v>
      </c>
      <c r="B1216">
        <v>2018</v>
      </c>
      <c r="C1216" s="7" t="s">
        <v>38</v>
      </c>
      <c r="D1216" s="7" t="s">
        <v>50</v>
      </c>
      <c r="E1216">
        <v>407.3</v>
      </c>
    </row>
    <row r="1217" spans="1:5" x14ac:dyDescent="0.25">
      <c r="A1217" s="7" t="s">
        <v>30</v>
      </c>
      <c r="B1217">
        <v>2018</v>
      </c>
      <c r="C1217" s="7" t="s">
        <v>38</v>
      </c>
      <c r="D1217" s="7" t="s">
        <v>19</v>
      </c>
      <c r="E1217">
        <v>144.6</v>
      </c>
    </row>
    <row r="1218" spans="1:5" x14ac:dyDescent="0.25">
      <c r="A1218" s="7" t="s">
        <v>30</v>
      </c>
      <c r="B1218">
        <v>2018</v>
      </c>
      <c r="C1218" s="7" t="s">
        <v>38</v>
      </c>
      <c r="D1218" s="7" t="s">
        <v>51</v>
      </c>
      <c r="E1218">
        <v>129.80000000000001</v>
      </c>
    </row>
    <row r="1219" spans="1:5" x14ac:dyDescent="0.25">
      <c r="A1219" s="7" t="s">
        <v>30</v>
      </c>
      <c r="B1219">
        <v>2018</v>
      </c>
      <c r="C1219" s="7" t="s">
        <v>38</v>
      </c>
      <c r="D1219" s="7" t="s">
        <v>26</v>
      </c>
      <c r="E1219">
        <v>924.39999999999986</v>
      </c>
    </row>
    <row r="1220" spans="1:5" x14ac:dyDescent="0.25">
      <c r="A1220" s="7" t="s">
        <v>31</v>
      </c>
      <c r="B1220">
        <v>2018</v>
      </c>
      <c r="C1220" s="7" t="s">
        <v>38</v>
      </c>
      <c r="D1220" s="7" t="s">
        <v>48</v>
      </c>
      <c r="E1220">
        <v>1798.7000000000003</v>
      </c>
    </row>
    <row r="1221" spans="1:5" x14ac:dyDescent="0.25">
      <c r="A1221" s="7" t="s">
        <v>31</v>
      </c>
      <c r="B1221">
        <v>2018</v>
      </c>
      <c r="C1221" s="7" t="s">
        <v>38</v>
      </c>
      <c r="D1221" s="7" t="s">
        <v>49</v>
      </c>
      <c r="E1221">
        <v>157.9</v>
      </c>
    </row>
    <row r="1222" spans="1:5" x14ac:dyDescent="0.25">
      <c r="A1222" s="7" t="s">
        <v>31</v>
      </c>
      <c r="B1222">
        <v>2018</v>
      </c>
      <c r="C1222" s="7" t="s">
        <v>38</v>
      </c>
      <c r="D1222" s="7" t="s">
        <v>50</v>
      </c>
      <c r="E1222">
        <v>432.20000000000005</v>
      </c>
    </row>
    <row r="1223" spans="1:5" x14ac:dyDescent="0.25">
      <c r="A1223" s="7" t="s">
        <v>31</v>
      </c>
      <c r="B1223">
        <v>2018</v>
      </c>
      <c r="C1223" s="7" t="s">
        <v>38</v>
      </c>
      <c r="D1223" s="7" t="s">
        <v>19</v>
      </c>
      <c r="E1223">
        <v>144.6</v>
      </c>
    </row>
    <row r="1224" spans="1:5" x14ac:dyDescent="0.25">
      <c r="A1224" s="7" t="s">
        <v>31</v>
      </c>
      <c r="B1224">
        <v>2018</v>
      </c>
      <c r="C1224" s="7" t="s">
        <v>38</v>
      </c>
      <c r="D1224" s="7" t="s">
        <v>51</v>
      </c>
      <c r="E1224">
        <v>140.9</v>
      </c>
    </row>
    <row r="1225" spans="1:5" x14ac:dyDescent="0.25">
      <c r="A1225" s="7" t="s">
        <v>31</v>
      </c>
      <c r="B1225">
        <v>2018</v>
      </c>
      <c r="C1225" s="7" t="s">
        <v>38</v>
      </c>
      <c r="D1225" s="7" t="s">
        <v>26</v>
      </c>
      <c r="E1225">
        <v>945</v>
      </c>
    </row>
    <row r="1226" spans="1:5" x14ac:dyDescent="0.25">
      <c r="A1226" s="7" t="s">
        <v>28</v>
      </c>
      <c r="B1226">
        <v>2018</v>
      </c>
      <c r="C1226" s="7" t="s">
        <v>39</v>
      </c>
      <c r="D1226" s="7" t="s">
        <v>48</v>
      </c>
      <c r="E1226">
        <v>1799.8000000000002</v>
      </c>
    </row>
    <row r="1227" spans="1:5" x14ac:dyDescent="0.25">
      <c r="A1227" s="7" t="s">
        <v>28</v>
      </c>
      <c r="B1227">
        <v>2018</v>
      </c>
      <c r="C1227" s="7" t="s">
        <v>39</v>
      </c>
      <c r="D1227" s="7" t="s">
        <v>49</v>
      </c>
      <c r="E1227">
        <v>157.69999999999999</v>
      </c>
    </row>
    <row r="1228" spans="1:5" x14ac:dyDescent="0.25">
      <c r="A1228" s="7" t="s">
        <v>28</v>
      </c>
      <c r="B1228">
        <v>2018</v>
      </c>
      <c r="C1228" s="7" t="s">
        <v>39</v>
      </c>
      <c r="D1228" s="7" t="s">
        <v>50</v>
      </c>
      <c r="E1228">
        <v>449.5</v>
      </c>
    </row>
    <row r="1229" spans="1:5" x14ac:dyDescent="0.25">
      <c r="A1229" s="7" t="s">
        <v>28</v>
      </c>
      <c r="B1229">
        <v>2018</v>
      </c>
      <c r="C1229" s="7" t="s">
        <v>39</v>
      </c>
      <c r="D1229" s="7" t="s">
        <v>19</v>
      </c>
      <c r="E1229">
        <v>146</v>
      </c>
    </row>
    <row r="1230" spans="1:5" x14ac:dyDescent="0.25">
      <c r="A1230" s="7" t="s">
        <v>28</v>
      </c>
      <c r="B1230">
        <v>2018</v>
      </c>
      <c r="C1230" s="7" t="s">
        <v>39</v>
      </c>
      <c r="D1230" s="7" t="s">
        <v>51</v>
      </c>
      <c r="E1230">
        <v>149</v>
      </c>
    </row>
    <row r="1231" spans="1:5" x14ac:dyDescent="0.25">
      <c r="A1231" s="7" t="s">
        <v>28</v>
      </c>
      <c r="B1231">
        <v>2018</v>
      </c>
      <c r="C1231" s="7" t="s">
        <v>39</v>
      </c>
      <c r="D1231" s="7" t="s">
        <v>26</v>
      </c>
      <c r="E1231">
        <v>970.9</v>
      </c>
    </row>
    <row r="1232" spans="1:5" x14ac:dyDescent="0.25">
      <c r="A1232" s="7" t="s">
        <v>30</v>
      </c>
      <c r="B1232">
        <v>2018</v>
      </c>
      <c r="C1232" s="7" t="s">
        <v>39</v>
      </c>
      <c r="D1232" s="7" t="s">
        <v>48</v>
      </c>
      <c r="E1232">
        <v>1748.4</v>
      </c>
    </row>
    <row r="1233" spans="1:5" x14ac:dyDescent="0.25">
      <c r="A1233" s="7" t="s">
        <v>30</v>
      </c>
      <c r="B1233">
        <v>2018</v>
      </c>
      <c r="C1233" s="7" t="s">
        <v>39</v>
      </c>
      <c r="D1233" s="7" t="s">
        <v>49</v>
      </c>
      <c r="E1233">
        <v>163.30000000000001</v>
      </c>
    </row>
    <row r="1234" spans="1:5" x14ac:dyDescent="0.25">
      <c r="A1234" s="7" t="s">
        <v>30</v>
      </c>
      <c r="B1234">
        <v>2018</v>
      </c>
      <c r="C1234" s="7" t="s">
        <v>39</v>
      </c>
      <c r="D1234" s="7" t="s">
        <v>50</v>
      </c>
      <c r="E1234">
        <v>409.20000000000005</v>
      </c>
    </row>
    <row r="1235" spans="1:5" x14ac:dyDescent="0.25">
      <c r="A1235" s="7" t="s">
        <v>30</v>
      </c>
      <c r="B1235">
        <v>2018</v>
      </c>
      <c r="C1235" s="7" t="s">
        <v>39</v>
      </c>
      <c r="D1235" s="7" t="s">
        <v>19</v>
      </c>
      <c r="E1235">
        <v>145.30000000000001</v>
      </c>
    </row>
    <row r="1236" spans="1:5" x14ac:dyDescent="0.25">
      <c r="A1236" s="7" t="s">
        <v>30</v>
      </c>
      <c r="B1236">
        <v>2018</v>
      </c>
      <c r="C1236" s="7" t="s">
        <v>39</v>
      </c>
      <c r="D1236" s="7" t="s">
        <v>51</v>
      </c>
      <c r="E1236">
        <v>131.19999999999999</v>
      </c>
    </row>
    <row r="1237" spans="1:5" x14ac:dyDescent="0.25">
      <c r="A1237" s="7" t="s">
        <v>30</v>
      </c>
      <c r="B1237">
        <v>2018</v>
      </c>
      <c r="C1237" s="7" t="s">
        <v>39</v>
      </c>
      <c r="D1237" s="7" t="s">
        <v>26</v>
      </c>
      <c r="E1237">
        <v>929.69999999999993</v>
      </c>
    </row>
    <row r="1238" spans="1:5" x14ac:dyDescent="0.25">
      <c r="A1238" s="7" t="s">
        <v>31</v>
      </c>
      <c r="B1238">
        <v>2018</v>
      </c>
      <c r="C1238" s="7" t="s">
        <v>39</v>
      </c>
      <c r="D1238" s="7" t="s">
        <v>48</v>
      </c>
      <c r="E1238">
        <v>1779.5</v>
      </c>
    </row>
    <row r="1239" spans="1:5" x14ac:dyDescent="0.25">
      <c r="A1239" s="7" t="s">
        <v>31</v>
      </c>
      <c r="B1239">
        <v>2018</v>
      </c>
      <c r="C1239" s="7" t="s">
        <v>39</v>
      </c>
      <c r="D1239" s="7" t="s">
        <v>49</v>
      </c>
      <c r="E1239">
        <v>159.19999999999999</v>
      </c>
    </row>
    <row r="1240" spans="1:5" x14ac:dyDescent="0.25">
      <c r="A1240" s="7" t="s">
        <v>31</v>
      </c>
      <c r="B1240">
        <v>2018</v>
      </c>
      <c r="C1240" s="7" t="s">
        <v>39</v>
      </c>
      <c r="D1240" s="7" t="s">
        <v>50</v>
      </c>
      <c r="E1240">
        <v>433.29999999999995</v>
      </c>
    </row>
    <row r="1241" spans="1:5" x14ac:dyDescent="0.25">
      <c r="A1241" s="7" t="s">
        <v>31</v>
      </c>
      <c r="B1241">
        <v>2018</v>
      </c>
      <c r="C1241" s="7" t="s">
        <v>39</v>
      </c>
      <c r="D1241" s="7" t="s">
        <v>19</v>
      </c>
      <c r="E1241">
        <v>145.30000000000001</v>
      </c>
    </row>
    <row r="1242" spans="1:5" x14ac:dyDescent="0.25">
      <c r="A1242" s="7" t="s">
        <v>31</v>
      </c>
      <c r="B1242">
        <v>2018</v>
      </c>
      <c r="C1242" s="7" t="s">
        <v>39</v>
      </c>
      <c r="D1242" s="7" t="s">
        <v>51</v>
      </c>
      <c r="E1242">
        <v>142.30000000000001</v>
      </c>
    </row>
    <row r="1243" spans="1:5" x14ac:dyDescent="0.25">
      <c r="A1243" s="7" t="s">
        <v>31</v>
      </c>
      <c r="B1243">
        <v>2018</v>
      </c>
      <c r="C1243" s="7" t="s">
        <v>39</v>
      </c>
      <c r="D1243" s="7" t="s">
        <v>26</v>
      </c>
      <c r="E1243">
        <v>950.39999999999986</v>
      </c>
    </row>
    <row r="1244" spans="1:5" x14ac:dyDescent="0.25">
      <c r="A1244" s="7" t="s">
        <v>28</v>
      </c>
      <c r="B1244">
        <v>2018</v>
      </c>
      <c r="C1244" s="7" t="s">
        <v>40</v>
      </c>
      <c r="D1244" s="7" t="s">
        <v>48</v>
      </c>
      <c r="E1244">
        <v>1782.2</v>
      </c>
    </row>
    <row r="1245" spans="1:5" x14ac:dyDescent="0.25">
      <c r="A1245" s="7" t="s">
        <v>28</v>
      </c>
      <c r="B1245">
        <v>2018</v>
      </c>
      <c r="C1245" s="7" t="s">
        <v>40</v>
      </c>
      <c r="D1245" s="7" t="s">
        <v>49</v>
      </c>
      <c r="E1245">
        <v>159.6</v>
      </c>
    </row>
    <row r="1246" spans="1:5" x14ac:dyDescent="0.25">
      <c r="A1246" s="7" t="s">
        <v>28</v>
      </c>
      <c r="B1246">
        <v>2018</v>
      </c>
      <c r="C1246" s="7" t="s">
        <v>40</v>
      </c>
      <c r="D1246" s="7" t="s">
        <v>50</v>
      </c>
      <c r="E1246">
        <v>445</v>
      </c>
    </row>
    <row r="1247" spans="1:5" x14ac:dyDescent="0.25">
      <c r="A1247" s="7" t="s">
        <v>28</v>
      </c>
      <c r="B1247">
        <v>2018</v>
      </c>
      <c r="C1247" s="7" t="s">
        <v>40</v>
      </c>
      <c r="D1247" s="7" t="s">
        <v>19</v>
      </c>
      <c r="E1247">
        <v>146.80000000000001</v>
      </c>
    </row>
    <row r="1248" spans="1:5" x14ac:dyDescent="0.25">
      <c r="A1248" s="7" t="s">
        <v>28</v>
      </c>
      <c r="B1248">
        <v>2018</v>
      </c>
      <c r="C1248" s="7" t="s">
        <v>40</v>
      </c>
      <c r="D1248" s="7" t="s">
        <v>51</v>
      </c>
      <c r="E1248">
        <v>149.69999999999999</v>
      </c>
    </row>
    <row r="1249" spans="1:5" x14ac:dyDescent="0.25">
      <c r="A1249" s="7" t="s">
        <v>28</v>
      </c>
      <c r="B1249">
        <v>2018</v>
      </c>
      <c r="C1249" s="7" t="s">
        <v>40</v>
      </c>
      <c r="D1249" s="7" t="s">
        <v>26</v>
      </c>
      <c r="E1249">
        <v>985.40000000000009</v>
      </c>
    </row>
    <row r="1250" spans="1:5" x14ac:dyDescent="0.25">
      <c r="A1250" s="7" t="s">
        <v>30</v>
      </c>
      <c r="B1250">
        <v>2018</v>
      </c>
      <c r="C1250" s="7" t="s">
        <v>40</v>
      </c>
      <c r="D1250" s="7" t="s">
        <v>48</v>
      </c>
      <c r="E1250">
        <v>1754.1</v>
      </c>
    </row>
    <row r="1251" spans="1:5" x14ac:dyDescent="0.25">
      <c r="A1251" s="7" t="s">
        <v>30</v>
      </c>
      <c r="B1251">
        <v>2018</v>
      </c>
      <c r="C1251" s="7" t="s">
        <v>40</v>
      </c>
      <c r="D1251" s="7" t="s">
        <v>49</v>
      </c>
      <c r="E1251">
        <v>164</v>
      </c>
    </row>
    <row r="1252" spans="1:5" x14ac:dyDescent="0.25">
      <c r="A1252" s="7" t="s">
        <v>30</v>
      </c>
      <c r="B1252">
        <v>2018</v>
      </c>
      <c r="C1252" s="7" t="s">
        <v>40</v>
      </c>
      <c r="D1252" s="7" t="s">
        <v>50</v>
      </c>
      <c r="E1252">
        <v>411</v>
      </c>
    </row>
    <row r="1253" spans="1:5" x14ac:dyDescent="0.25">
      <c r="A1253" s="7" t="s">
        <v>30</v>
      </c>
      <c r="B1253">
        <v>2018</v>
      </c>
      <c r="C1253" s="7" t="s">
        <v>40</v>
      </c>
      <c r="D1253" s="7" t="s">
        <v>19</v>
      </c>
      <c r="E1253">
        <v>146.30000000000001</v>
      </c>
    </row>
    <row r="1254" spans="1:5" x14ac:dyDescent="0.25">
      <c r="A1254" s="7" t="s">
        <v>30</v>
      </c>
      <c r="B1254">
        <v>2018</v>
      </c>
      <c r="C1254" s="7" t="s">
        <v>40</v>
      </c>
      <c r="D1254" s="7" t="s">
        <v>51</v>
      </c>
      <c r="E1254">
        <v>133.4</v>
      </c>
    </row>
    <row r="1255" spans="1:5" x14ac:dyDescent="0.25">
      <c r="A1255" s="7" t="s">
        <v>30</v>
      </c>
      <c r="B1255">
        <v>2018</v>
      </c>
      <c r="C1255" s="7" t="s">
        <v>40</v>
      </c>
      <c r="D1255" s="7" t="s">
        <v>26</v>
      </c>
      <c r="E1255">
        <v>933.69999999999993</v>
      </c>
    </row>
    <row r="1256" spans="1:5" x14ac:dyDescent="0.25">
      <c r="A1256" s="7" t="s">
        <v>31</v>
      </c>
      <c r="B1256">
        <v>2018</v>
      </c>
      <c r="C1256" s="7" t="s">
        <v>40</v>
      </c>
      <c r="D1256" s="7" t="s">
        <v>48</v>
      </c>
      <c r="E1256">
        <v>1776.2</v>
      </c>
    </row>
    <row r="1257" spans="1:5" x14ac:dyDescent="0.25">
      <c r="A1257" s="7" t="s">
        <v>31</v>
      </c>
      <c r="B1257">
        <v>2018</v>
      </c>
      <c r="C1257" s="7" t="s">
        <v>40</v>
      </c>
      <c r="D1257" s="7" t="s">
        <v>49</v>
      </c>
      <c r="E1257">
        <v>162.6</v>
      </c>
    </row>
    <row r="1258" spans="1:5" x14ac:dyDescent="0.25">
      <c r="A1258" s="7" t="s">
        <v>31</v>
      </c>
      <c r="B1258">
        <v>2018</v>
      </c>
      <c r="C1258" s="7" t="s">
        <v>40</v>
      </c>
      <c r="D1258" s="7" t="s">
        <v>50</v>
      </c>
      <c r="E1258">
        <v>434</v>
      </c>
    </row>
    <row r="1259" spans="1:5" x14ac:dyDescent="0.25">
      <c r="A1259" s="7" t="s">
        <v>31</v>
      </c>
      <c r="B1259">
        <v>2018</v>
      </c>
      <c r="C1259" s="7" t="s">
        <v>40</v>
      </c>
      <c r="D1259" s="7" t="s">
        <v>19</v>
      </c>
      <c r="E1259">
        <v>146.9</v>
      </c>
    </row>
    <row r="1260" spans="1:5" x14ac:dyDescent="0.25">
      <c r="A1260" s="7" t="s">
        <v>31</v>
      </c>
      <c r="B1260">
        <v>2018</v>
      </c>
      <c r="C1260" s="7" t="s">
        <v>40</v>
      </c>
      <c r="D1260" s="7" t="s">
        <v>51</v>
      </c>
      <c r="E1260">
        <v>145.30000000000001</v>
      </c>
    </row>
    <row r="1261" spans="1:5" x14ac:dyDescent="0.25">
      <c r="A1261" s="7" t="s">
        <v>31</v>
      </c>
      <c r="B1261">
        <v>2018</v>
      </c>
      <c r="C1261" s="7" t="s">
        <v>40</v>
      </c>
      <c r="D1261" s="7" t="s">
        <v>26</v>
      </c>
      <c r="E1261">
        <v>962.39999999999986</v>
      </c>
    </row>
    <row r="1262" spans="1:5" x14ac:dyDescent="0.25">
      <c r="A1262" s="7" t="s">
        <v>28</v>
      </c>
      <c r="B1262">
        <v>2018</v>
      </c>
      <c r="C1262" s="7" t="s">
        <v>42</v>
      </c>
      <c r="D1262" s="7" t="s">
        <v>48</v>
      </c>
      <c r="E1262">
        <v>1787.4999999999995</v>
      </c>
    </row>
    <row r="1263" spans="1:5" x14ac:dyDescent="0.25">
      <c r="A1263" s="7" t="s">
        <v>28</v>
      </c>
      <c r="B1263">
        <v>2018</v>
      </c>
      <c r="C1263" s="7" t="s">
        <v>42</v>
      </c>
      <c r="D1263" s="7" t="s">
        <v>49</v>
      </c>
      <c r="E1263">
        <v>161.9</v>
      </c>
    </row>
    <row r="1264" spans="1:5" x14ac:dyDescent="0.25">
      <c r="A1264" s="7" t="s">
        <v>28</v>
      </c>
      <c r="B1264">
        <v>2018</v>
      </c>
      <c r="C1264" s="7" t="s">
        <v>42</v>
      </c>
      <c r="D1264" s="7" t="s">
        <v>50</v>
      </c>
      <c r="E1264">
        <v>448</v>
      </c>
    </row>
    <row r="1265" spans="1:5" x14ac:dyDescent="0.25">
      <c r="A1265" s="7" t="s">
        <v>28</v>
      </c>
      <c r="B1265">
        <v>2018</v>
      </c>
      <c r="C1265" s="7" t="s">
        <v>42</v>
      </c>
      <c r="D1265" s="7" t="s">
        <v>19</v>
      </c>
      <c r="E1265">
        <v>146.69999999999999</v>
      </c>
    </row>
    <row r="1266" spans="1:5" x14ac:dyDescent="0.25">
      <c r="A1266" s="7" t="s">
        <v>28</v>
      </c>
      <c r="B1266">
        <v>2018</v>
      </c>
      <c r="C1266" s="7" t="s">
        <v>42</v>
      </c>
      <c r="D1266" s="7" t="s">
        <v>51</v>
      </c>
      <c r="E1266">
        <v>150.30000000000001</v>
      </c>
    </row>
    <row r="1267" spans="1:5" x14ac:dyDescent="0.25">
      <c r="A1267" s="7" t="s">
        <v>28</v>
      </c>
      <c r="B1267">
        <v>2018</v>
      </c>
      <c r="C1267" s="7" t="s">
        <v>42</v>
      </c>
      <c r="D1267" s="7" t="s">
        <v>26</v>
      </c>
      <c r="E1267">
        <v>990.2</v>
      </c>
    </row>
    <row r="1268" spans="1:5" x14ac:dyDescent="0.25">
      <c r="A1268" s="7" t="s">
        <v>30</v>
      </c>
      <c r="B1268">
        <v>2018</v>
      </c>
      <c r="C1268" s="7" t="s">
        <v>42</v>
      </c>
      <c r="D1268" s="7" t="s">
        <v>48</v>
      </c>
      <c r="E1268">
        <v>1757.4999999999998</v>
      </c>
    </row>
    <row r="1269" spans="1:5" x14ac:dyDescent="0.25">
      <c r="A1269" s="7" t="s">
        <v>30</v>
      </c>
      <c r="B1269">
        <v>2018</v>
      </c>
      <c r="C1269" s="7" t="s">
        <v>42</v>
      </c>
      <c r="D1269" s="7" t="s">
        <v>49</v>
      </c>
      <c r="E1269">
        <v>164.4</v>
      </c>
    </row>
    <row r="1270" spans="1:5" x14ac:dyDescent="0.25">
      <c r="A1270" s="7" t="s">
        <v>30</v>
      </c>
      <c r="B1270">
        <v>2018</v>
      </c>
      <c r="C1270" s="7" t="s">
        <v>42</v>
      </c>
      <c r="D1270" s="7" t="s">
        <v>50</v>
      </c>
      <c r="E1270">
        <v>413.1</v>
      </c>
    </row>
    <row r="1271" spans="1:5" x14ac:dyDescent="0.25">
      <c r="A1271" s="7" t="s">
        <v>30</v>
      </c>
      <c r="B1271">
        <v>2018</v>
      </c>
      <c r="C1271" s="7" t="s">
        <v>42</v>
      </c>
      <c r="D1271" s="7" t="s">
        <v>19</v>
      </c>
      <c r="E1271">
        <v>146.9</v>
      </c>
    </row>
    <row r="1272" spans="1:5" x14ac:dyDescent="0.25">
      <c r="A1272" s="7" t="s">
        <v>30</v>
      </c>
      <c r="B1272">
        <v>2018</v>
      </c>
      <c r="C1272" s="7" t="s">
        <v>42</v>
      </c>
      <c r="D1272" s="7" t="s">
        <v>51</v>
      </c>
      <c r="E1272">
        <v>136.69999999999999</v>
      </c>
    </row>
    <row r="1273" spans="1:5" x14ac:dyDescent="0.25">
      <c r="A1273" s="7" t="s">
        <v>30</v>
      </c>
      <c r="B1273">
        <v>2018</v>
      </c>
      <c r="C1273" s="7" t="s">
        <v>42</v>
      </c>
      <c r="D1273" s="7" t="s">
        <v>26</v>
      </c>
      <c r="E1273">
        <v>933.90000000000009</v>
      </c>
    </row>
    <row r="1274" spans="1:5" x14ac:dyDescent="0.25">
      <c r="A1274" s="7" t="s">
        <v>31</v>
      </c>
      <c r="B1274">
        <v>2018</v>
      </c>
      <c r="C1274" s="7" t="s">
        <v>42</v>
      </c>
      <c r="D1274" s="7" t="s">
        <v>48</v>
      </c>
      <c r="E1274">
        <v>1775.7000000000003</v>
      </c>
    </row>
    <row r="1275" spans="1:5" x14ac:dyDescent="0.25">
      <c r="A1275" s="7" t="s">
        <v>31</v>
      </c>
      <c r="B1275">
        <v>2018</v>
      </c>
      <c r="C1275" s="7" t="s">
        <v>42</v>
      </c>
      <c r="D1275" s="7" t="s">
        <v>49</v>
      </c>
      <c r="E1275">
        <v>162.6</v>
      </c>
    </row>
    <row r="1276" spans="1:5" x14ac:dyDescent="0.25">
      <c r="A1276" s="7" t="s">
        <v>31</v>
      </c>
      <c r="B1276">
        <v>2018</v>
      </c>
      <c r="C1276" s="7" t="s">
        <v>42</v>
      </c>
      <c r="D1276" s="7" t="s">
        <v>50</v>
      </c>
      <c r="E1276">
        <v>433.8</v>
      </c>
    </row>
    <row r="1277" spans="1:5" x14ac:dyDescent="0.25">
      <c r="A1277" s="7" t="s">
        <v>31</v>
      </c>
      <c r="B1277">
        <v>2018</v>
      </c>
      <c r="C1277" s="7" t="s">
        <v>42</v>
      </c>
      <c r="D1277" s="7" t="s">
        <v>19</v>
      </c>
      <c r="E1277">
        <v>146.9</v>
      </c>
    </row>
    <row r="1278" spans="1:5" x14ac:dyDescent="0.25">
      <c r="A1278" s="7" t="s">
        <v>31</v>
      </c>
      <c r="B1278">
        <v>2018</v>
      </c>
      <c r="C1278" s="7" t="s">
        <v>42</v>
      </c>
      <c r="D1278" s="7" t="s">
        <v>51</v>
      </c>
      <c r="E1278">
        <v>145.1</v>
      </c>
    </row>
    <row r="1279" spans="1:5" x14ac:dyDescent="0.25">
      <c r="A1279" s="7" t="s">
        <v>31</v>
      </c>
      <c r="B1279">
        <v>2018</v>
      </c>
      <c r="C1279" s="7" t="s">
        <v>42</v>
      </c>
      <c r="D1279" s="7" t="s">
        <v>26</v>
      </c>
      <c r="E1279">
        <v>962.39999999999986</v>
      </c>
    </row>
    <row r="1280" spans="1:5" x14ac:dyDescent="0.25">
      <c r="A1280" s="7" t="s">
        <v>28</v>
      </c>
      <c r="B1280">
        <v>2018</v>
      </c>
      <c r="C1280" s="7" t="s">
        <v>43</v>
      </c>
      <c r="D1280" s="7" t="s">
        <v>48</v>
      </c>
      <c r="E1280">
        <v>1773.1000000000001</v>
      </c>
    </row>
    <row r="1281" spans="1:5" x14ac:dyDescent="0.25">
      <c r="A1281" s="7" t="s">
        <v>28</v>
      </c>
      <c r="B1281">
        <v>2018</v>
      </c>
      <c r="C1281" s="7" t="s">
        <v>43</v>
      </c>
      <c r="D1281" s="7" t="s">
        <v>49</v>
      </c>
      <c r="E1281">
        <v>162.4</v>
      </c>
    </row>
    <row r="1282" spans="1:5" x14ac:dyDescent="0.25">
      <c r="A1282" s="7" t="s">
        <v>28</v>
      </c>
      <c r="B1282">
        <v>2018</v>
      </c>
      <c r="C1282" s="7" t="s">
        <v>43</v>
      </c>
      <c r="D1282" s="7" t="s">
        <v>50</v>
      </c>
      <c r="E1282">
        <v>448.3</v>
      </c>
    </row>
    <row r="1283" spans="1:5" x14ac:dyDescent="0.25">
      <c r="A1283" s="7" t="s">
        <v>28</v>
      </c>
      <c r="B1283">
        <v>2018</v>
      </c>
      <c r="C1283" s="7" t="s">
        <v>43</v>
      </c>
      <c r="D1283" s="7" t="s">
        <v>19</v>
      </c>
      <c r="E1283">
        <v>147.1</v>
      </c>
    </row>
    <row r="1284" spans="1:5" x14ac:dyDescent="0.25">
      <c r="A1284" s="7" t="s">
        <v>28</v>
      </c>
      <c r="B1284">
        <v>2018</v>
      </c>
      <c r="C1284" s="7" t="s">
        <v>43</v>
      </c>
      <c r="D1284" s="7" t="s">
        <v>51</v>
      </c>
      <c r="E1284">
        <v>149</v>
      </c>
    </row>
    <row r="1285" spans="1:5" x14ac:dyDescent="0.25">
      <c r="A1285" s="7" t="s">
        <v>28</v>
      </c>
      <c r="B1285">
        <v>2018</v>
      </c>
      <c r="C1285" s="7" t="s">
        <v>43</v>
      </c>
      <c r="D1285" s="7" t="s">
        <v>26</v>
      </c>
      <c r="E1285">
        <v>1001.1999999999999</v>
      </c>
    </row>
    <row r="1286" spans="1:5" x14ac:dyDescent="0.25">
      <c r="A1286" s="7" t="s">
        <v>30</v>
      </c>
      <c r="B1286">
        <v>2018</v>
      </c>
      <c r="C1286" s="7" t="s">
        <v>43</v>
      </c>
      <c r="D1286" s="7" t="s">
        <v>48</v>
      </c>
      <c r="E1286">
        <v>1746.6</v>
      </c>
    </row>
    <row r="1287" spans="1:5" x14ac:dyDescent="0.25">
      <c r="A1287" s="7" t="s">
        <v>30</v>
      </c>
      <c r="B1287">
        <v>2018</v>
      </c>
      <c r="C1287" s="7" t="s">
        <v>43</v>
      </c>
      <c r="D1287" s="7" t="s">
        <v>49</v>
      </c>
      <c r="E1287">
        <v>164.6</v>
      </c>
    </row>
    <row r="1288" spans="1:5" x14ac:dyDescent="0.25">
      <c r="A1288" s="7" t="s">
        <v>30</v>
      </c>
      <c r="B1288">
        <v>2018</v>
      </c>
      <c r="C1288" s="7" t="s">
        <v>43</v>
      </c>
      <c r="D1288" s="7" t="s">
        <v>50</v>
      </c>
      <c r="E1288">
        <v>413.8</v>
      </c>
    </row>
    <row r="1289" spans="1:5" x14ac:dyDescent="0.25">
      <c r="A1289" s="7" t="s">
        <v>30</v>
      </c>
      <c r="B1289">
        <v>2018</v>
      </c>
      <c r="C1289" s="7" t="s">
        <v>43</v>
      </c>
      <c r="D1289" s="7" t="s">
        <v>19</v>
      </c>
      <c r="E1289">
        <v>146.5</v>
      </c>
    </row>
    <row r="1290" spans="1:5" x14ac:dyDescent="0.25">
      <c r="A1290" s="7" t="s">
        <v>30</v>
      </c>
      <c r="B1290">
        <v>2018</v>
      </c>
      <c r="C1290" s="7" t="s">
        <v>43</v>
      </c>
      <c r="D1290" s="7" t="s">
        <v>51</v>
      </c>
      <c r="E1290">
        <v>132.4</v>
      </c>
    </row>
    <row r="1291" spans="1:5" x14ac:dyDescent="0.25">
      <c r="A1291" s="7" t="s">
        <v>30</v>
      </c>
      <c r="B1291">
        <v>2018</v>
      </c>
      <c r="C1291" s="7" t="s">
        <v>43</v>
      </c>
      <c r="D1291" s="7" t="s">
        <v>26</v>
      </c>
      <c r="E1291">
        <v>933</v>
      </c>
    </row>
    <row r="1292" spans="1:5" x14ac:dyDescent="0.25">
      <c r="A1292" s="7" t="s">
        <v>31</v>
      </c>
      <c r="B1292">
        <v>2018</v>
      </c>
      <c r="C1292" s="7" t="s">
        <v>43</v>
      </c>
      <c r="D1292" s="7" t="s">
        <v>48</v>
      </c>
      <c r="E1292">
        <v>1762.7999999999997</v>
      </c>
    </row>
    <row r="1293" spans="1:5" x14ac:dyDescent="0.25">
      <c r="A1293" s="7" t="s">
        <v>31</v>
      </c>
      <c r="B1293">
        <v>2018</v>
      </c>
      <c r="C1293" s="7" t="s">
        <v>43</v>
      </c>
      <c r="D1293" s="7" t="s">
        <v>49</v>
      </c>
      <c r="E1293">
        <v>163</v>
      </c>
    </row>
    <row r="1294" spans="1:5" x14ac:dyDescent="0.25">
      <c r="A1294" s="7" t="s">
        <v>31</v>
      </c>
      <c r="B1294">
        <v>2018</v>
      </c>
      <c r="C1294" s="7" t="s">
        <v>43</v>
      </c>
      <c r="D1294" s="7" t="s">
        <v>50</v>
      </c>
      <c r="E1294">
        <v>434.3</v>
      </c>
    </row>
    <row r="1295" spans="1:5" x14ac:dyDescent="0.25">
      <c r="A1295" s="7" t="s">
        <v>31</v>
      </c>
      <c r="B1295">
        <v>2018</v>
      </c>
      <c r="C1295" s="7" t="s">
        <v>43</v>
      </c>
      <c r="D1295" s="7" t="s">
        <v>19</v>
      </c>
      <c r="E1295">
        <v>146.5</v>
      </c>
    </row>
    <row r="1296" spans="1:5" x14ac:dyDescent="0.25">
      <c r="A1296" s="7" t="s">
        <v>31</v>
      </c>
      <c r="B1296">
        <v>2018</v>
      </c>
      <c r="C1296" s="7" t="s">
        <v>43</v>
      </c>
      <c r="D1296" s="7" t="s">
        <v>51</v>
      </c>
      <c r="E1296">
        <v>142.69999999999999</v>
      </c>
    </row>
    <row r="1297" spans="1:5" x14ac:dyDescent="0.25">
      <c r="A1297" s="7" t="s">
        <v>31</v>
      </c>
      <c r="B1297">
        <v>2018</v>
      </c>
      <c r="C1297" s="7" t="s">
        <v>43</v>
      </c>
      <c r="D1297" s="7" t="s">
        <v>26</v>
      </c>
      <c r="E1297">
        <v>967.59999999999991</v>
      </c>
    </row>
    <row r="1298" spans="1:5" x14ac:dyDescent="0.25">
      <c r="A1298" s="7" t="s">
        <v>28</v>
      </c>
      <c r="B1298">
        <v>2019</v>
      </c>
      <c r="C1298" s="7" t="s">
        <v>29</v>
      </c>
      <c r="D1298" s="7" t="s">
        <v>48</v>
      </c>
      <c r="E1298">
        <v>1759.6000000000001</v>
      </c>
    </row>
    <row r="1299" spans="1:5" x14ac:dyDescent="0.25">
      <c r="A1299" s="7" t="s">
        <v>28</v>
      </c>
      <c r="B1299">
        <v>2019</v>
      </c>
      <c r="C1299" s="7" t="s">
        <v>29</v>
      </c>
      <c r="D1299" s="7" t="s">
        <v>49</v>
      </c>
      <c r="E1299">
        <v>162.69999999999999</v>
      </c>
    </row>
    <row r="1300" spans="1:5" x14ac:dyDescent="0.25">
      <c r="A1300" s="7" t="s">
        <v>28</v>
      </c>
      <c r="B1300">
        <v>2019</v>
      </c>
      <c r="C1300" s="7" t="s">
        <v>29</v>
      </c>
      <c r="D1300" s="7" t="s">
        <v>50</v>
      </c>
      <c r="E1300">
        <v>445.6</v>
      </c>
    </row>
    <row r="1301" spans="1:5" x14ac:dyDescent="0.25">
      <c r="A1301" s="7" t="s">
        <v>28</v>
      </c>
      <c r="B1301">
        <v>2019</v>
      </c>
      <c r="C1301" s="7" t="s">
        <v>29</v>
      </c>
      <c r="D1301" s="7" t="s">
        <v>19</v>
      </c>
      <c r="E1301">
        <v>148.1</v>
      </c>
    </row>
    <row r="1302" spans="1:5" x14ac:dyDescent="0.25">
      <c r="A1302" s="7" t="s">
        <v>28</v>
      </c>
      <c r="B1302">
        <v>2019</v>
      </c>
      <c r="C1302" s="7" t="s">
        <v>29</v>
      </c>
      <c r="D1302" s="7" t="s">
        <v>51</v>
      </c>
      <c r="E1302">
        <v>146.19999999999999</v>
      </c>
    </row>
    <row r="1303" spans="1:5" x14ac:dyDescent="0.25">
      <c r="A1303" s="7" t="s">
        <v>28</v>
      </c>
      <c r="B1303">
        <v>2019</v>
      </c>
      <c r="C1303" s="7" t="s">
        <v>29</v>
      </c>
      <c r="D1303" s="7" t="s">
        <v>26</v>
      </c>
      <c r="E1303">
        <v>1001.5999999999999</v>
      </c>
    </row>
    <row r="1304" spans="1:5" x14ac:dyDescent="0.25">
      <c r="A1304" s="7" t="s">
        <v>30</v>
      </c>
      <c r="B1304">
        <v>2019</v>
      </c>
      <c r="C1304" s="7" t="s">
        <v>29</v>
      </c>
      <c r="D1304" s="7" t="s">
        <v>48</v>
      </c>
      <c r="E1304">
        <v>1744.3000000000002</v>
      </c>
    </row>
    <row r="1305" spans="1:5" x14ac:dyDescent="0.25">
      <c r="A1305" s="7" t="s">
        <v>30</v>
      </c>
      <c r="B1305">
        <v>2019</v>
      </c>
      <c r="C1305" s="7" t="s">
        <v>29</v>
      </c>
      <c r="D1305" s="7" t="s">
        <v>49</v>
      </c>
      <c r="E1305">
        <v>164.7</v>
      </c>
    </row>
    <row r="1306" spans="1:5" x14ac:dyDescent="0.25">
      <c r="A1306" s="7" t="s">
        <v>30</v>
      </c>
      <c r="B1306">
        <v>2019</v>
      </c>
      <c r="C1306" s="7" t="s">
        <v>29</v>
      </c>
      <c r="D1306" s="7" t="s">
        <v>50</v>
      </c>
      <c r="E1306">
        <v>414.5</v>
      </c>
    </row>
    <row r="1307" spans="1:5" x14ac:dyDescent="0.25">
      <c r="A1307" s="7" t="s">
        <v>30</v>
      </c>
      <c r="B1307">
        <v>2019</v>
      </c>
      <c r="C1307" s="7" t="s">
        <v>29</v>
      </c>
      <c r="D1307" s="7" t="s">
        <v>19</v>
      </c>
      <c r="E1307">
        <v>147.69999999999999</v>
      </c>
    </row>
    <row r="1308" spans="1:5" x14ac:dyDescent="0.25">
      <c r="A1308" s="7" t="s">
        <v>30</v>
      </c>
      <c r="B1308">
        <v>2019</v>
      </c>
      <c r="C1308" s="7" t="s">
        <v>29</v>
      </c>
      <c r="D1308" s="7" t="s">
        <v>51</v>
      </c>
      <c r="E1308">
        <v>128.6</v>
      </c>
    </row>
    <row r="1309" spans="1:5" x14ac:dyDescent="0.25">
      <c r="A1309" s="7" t="s">
        <v>30</v>
      </c>
      <c r="B1309">
        <v>2019</v>
      </c>
      <c r="C1309" s="7" t="s">
        <v>29</v>
      </c>
      <c r="D1309" s="7" t="s">
        <v>26</v>
      </c>
      <c r="E1309">
        <v>934.7</v>
      </c>
    </row>
    <row r="1310" spans="1:5" x14ac:dyDescent="0.25">
      <c r="A1310" s="7" t="s">
        <v>31</v>
      </c>
      <c r="B1310">
        <v>2019</v>
      </c>
      <c r="C1310" s="7" t="s">
        <v>29</v>
      </c>
      <c r="D1310" s="7" t="s">
        <v>48</v>
      </c>
      <c r="E1310">
        <v>1753.3999999999999</v>
      </c>
    </row>
    <row r="1311" spans="1:5" x14ac:dyDescent="0.25">
      <c r="A1311" s="7" t="s">
        <v>31</v>
      </c>
      <c r="B1311">
        <v>2019</v>
      </c>
      <c r="C1311" s="7" t="s">
        <v>29</v>
      </c>
      <c r="D1311" s="7" t="s">
        <v>49</v>
      </c>
      <c r="E1311">
        <v>163.19999999999999</v>
      </c>
    </row>
    <row r="1312" spans="1:5" x14ac:dyDescent="0.25">
      <c r="A1312" s="7" t="s">
        <v>31</v>
      </c>
      <c r="B1312">
        <v>2019</v>
      </c>
      <c r="C1312" s="7" t="s">
        <v>29</v>
      </c>
      <c r="D1312" s="7" t="s">
        <v>50</v>
      </c>
      <c r="E1312">
        <v>433</v>
      </c>
    </row>
    <row r="1313" spans="1:5" x14ac:dyDescent="0.25">
      <c r="A1313" s="7" t="s">
        <v>31</v>
      </c>
      <c r="B1313">
        <v>2019</v>
      </c>
      <c r="C1313" s="7" t="s">
        <v>29</v>
      </c>
      <c r="D1313" s="7" t="s">
        <v>19</v>
      </c>
      <c r="E1313">
        <v>147.69999999999999</v>
      </c>
    </row>
    <row r="1314" spans="1:5" x14ac:dyDescent="0.25">
      <c r="A1314" s="7" t="s">
        <v>31</v>
      </c>
      <c r="B1314">
        <v>2019</v>
      </c>
      <c r="C1314" s="7" t="s">
        <v>29</v>
      </c>
      <c r="D1314" s="7" t="s">
        <v>51</v>
      </c>
      <c r="E1314">
        <v>139.5</v>
      </c>
    </row>
    <row r="1315" spans="1:5" x14ac:dyDescent="0.25">
      <c r="A1315" s="7" t="s">
        <v>31</v>
      </c>
      <c r="B1315">
        <v>2019</v>
      </c>
      <c r="C1315" s="7" t="s">
        <v>29</v>
      </c>
      <c r="D1315" s="7" t="s">
        <v>26</v>
      </c>
      <c r="E1315">
        <v>968.6</v>
      </c>
    </row>
    <row r="1316" spans="1:5" x14ac:dyDescent="0.25">
      <c r="A1316" s="7" t="s">
        <v>28</v>
      </c>
      <c r="B1316">
        <v>2019</v>
      </c>
      <c r="C1316" s="7" t="s">
        <v>32</v>
      </c>
      <c r="D1316" s="7" t="s">
        <v>48</v>
      </c>
      <c r="E1316">
        <v>1759.8000000000002</v>
      </c>
    </row>
    <row r="1317" spans="1:5" x14ac:dyDescent="0.25">
      <c r="A1317" s="7" t="s">
        <v>28</v>
      </c>
      <c r="B1317">
        <v>2019</v>
      </c>
      <c r="C1317" s="7" t="s">
        <v>32</v>
      </c>
      <c r="D1317" s="7" t="s">
        <v>49</v>
      </c>
      <c r="E1317">
        <v>162.80000000000001</v>
      </c>
    </row>
    <row r="1318" spans="1:5" x14ac:dyDescent="0.25">
      <c r="A1318" s="7" t="s">
        <v>28</v>
      </c>
      <c r="B1318">
        <v>2019</v>
      </c>
      <c r="C1318" s="7" t="s">
        <v>32</v>
      </c>
      <c r="D1318" s="7" t="s">
        <v>50</v>
      </c>
      <c r="E1318">
        <v>446.5</v>
      </c>
    </row>
    <row r="1319" spans="1:5" x14ac:dyDescent="0.25">
      <c r="A1319" s="7" t="s">
        <v>28</v>
      </c>
      <c r="B1319">
        <v>2019</v>
      </c>
      <c r="C1319" s="7" t="s">
        <v>32</v>
      </c>
      <c r="D1319" s="7" t="s">
        <v>19</v>
      </c>
      <c r="E1319">
        <v>148.80000000000001</v>
      </c>
    </row>
    <row r="1320" spans="1:5" x14ac:dyDescent="0.25">
      <c r="A1320" s="7" t="s">
        <v>28</v>
      </c>
      <c r="B1320">
        <v>2019</v>
      </c>
      <c r="C1320" s="7" t="s">
        <v>32</v>
      </c>
      <c r="D1320" s="7" t="s">
        <v>51</v>
      </c>
      <c r="E1320">
        <v>145.30000000000001</v>
      </c>
    </row>
    <row r="1321" spans="1:5" x14ac:dyDescent="0.25">
      <c r="A1321" s="7" t="s">
        <v>28</v>
      </c>
      <c r="B1321">
        <v>2019</v>
      </c>
      <c r="C1321" s="7" t="s">
        <v>32</v>
      </c>
      <c r="D1321" s="7" t="s">
        <v>26</v>
      </c>
      <c r="E1321">
        <v>1005.2</v>
      </c>
    </row>
    <row r="1322" spans="1:5" x14ac:dyDescent="0.25">
      <c r="A1322" s="7" t="s">
        <v>30</v>
      </c>
      <c r="B1322">
        <v>2019</v>
      </c>
      <c r="C1322" s="7" t="s">
        <v>32</v>
      </c>
      <c r="D1322" s="7" t="s">
        <v>48</v>
      </c>
      <c r="E1322">
        <v>1754.4</v>
      </c>
    </row>
    <row r="1323" spans="1:5" x14ac:dyDescent="0.25">
      <c r="A1323" s="7" t="s">
        <v>30</v>
      </c>
      <c r="B1323">
        <v>2019</v>
      </c>
      <c r="C1323" s="7" t="s">
        <v>32</v>
      </c>
      <c r="D1323" s="7" t="s">
        <v>49</v>
      </c>
      <c r="E1323">
        <v>164.9</v>
      </c>
    </row>
    <row r="1324" spans="1:5" x14ac:dyDescent="0.25">
      <c r="A1324" s="7" t="s">
        <v>30</v>
      </c>
      <c r="B1324">
        <v>2019</v>
      </c>
      <c r="C1324" s="7" t="s">
        <v>32</v>
      </c>
      <c r="D1324" s="7" t="s">
        <v>50</v>
      </c>
      <c r="E1324">
        <v>415.5</v>
      </c>
    </row>
    <row r="1325" spans="1:5" x14ac:dyDescent="0.25">
      <c r="A1325" s="7" t="s">
        <v>30</v>
      </c>
      <c r="B1325">
        <v>2019</v>
      </c>
      <c r="C1325" s="7" t="s">
        <v>32</v>
      </c>
      <c r="D1325" s="7" t="s">
        <v>19</v>
      </c>
      <c r="E1325">
        <v>148.5</v>
      </c>
    </row>
    <row r="1326" spans="1:5" x14ac:dyDescent="0.25">
      <c r="A1326" s="7" t="s">
        <v>30</v>
      </c>
      <c r="B1326">
        <v>2019</v>
      </c>
      <c r="C1326" s="7" t="s">
        <v>32</v>
      </c>
      <c r="D1326" s="7" t="s">
        <v>51</v>
      </c>
      <c r="E1326">
        <v>127.1</v>
      </c>
    </row>
    <row r="1327" spans="1:5" x14ac:dyDescent="0.25">
      <c r="A1327" s="7" t="s">
        <v>30</v>
      </c>
      <c r="B1327">
        <v>2019</v>
      </c>
      <c r="C1327" s="7" t="s">
        <v>32</v>
      </c>
      <c r="D1327" s="7" t="s">
        <v>26</v>
      </c>
      <c r="E1327">
        <v>938.5</v>
      </c>
    </row>
    <row r="1328" spans="1:5" x14ac:dyDescent="0.25">
      <c r="A1328" s="7" t="s">
        <v>31</v>
      </c>
      <c r="B1328">
        <v>2019</v>
      </c>
      <c r="C1328" s="7" t="s">
        <v>32</v>
      </c>
      <c r="D1328" s="7" t="s">
        <v>48</v>
      </c>
      <c r="E1328">
        <v>1757.1</v>
      </c>
    </row>
    <row r="1329" spans="1:5" x14ac:dyDescent="0.25">
      <c r="A1329" s="7" t="s">
        <v>31</v>
      </c>
      <c r="B1329">
        <v>2019</v>
      </c>
      <c r="C1329" s="7" t="s">
        <v>32</v>
      </c>
      <c r="D1329" s="7" t="s">
        <v>49</v>
      </c>
      <c r="E1329">
        <v>163.4</v>
      </c>
    </row>
    <row r="1330" spans="1:5" x14ac:dyDescent="0.25">
      <c r="A1330" s="7" t="s">
        <v>31</v>
      </c>
      <c r="B1330">
        <v>2019</v>
      </c>
      <c r="C1330" s="7" t="s">
        <v>32</v>
      </c>
      <c r="D1330" s="7" t="s">
        <v>50</v>
      </c>
      <c r="E1330">
        <v>433.9</v>
      </c>
    </row>
    <row r="1331" spans="1:5" x14ac:dyDescent="0.25">
      <c r="A1331" s="7" t="s">
        <v>31</v>
      </c>
      <c r="B1331">
        <v>2019</v>
      </c>
      <c r="C1331" s="7" t="s">
        <v>32</v>
      </c>
      <c r="D1331" s="7" t="s">
        <v>19</v>
      </c>
      <c r="E1331">
        <v>148.5</v>
      </c>
    </row>
    <row r="1332" spans="1:5" x14ac:dyDescent="0.25">
      <c r="A1332" s="7" t="s">
        <v>31</v>
      </c>
      <c r="B1332">
        <v>2019</v>
      </c>
      <c r="C1332" s="7" t="s">
        <v>32</v>
      </c>
      <c r="D1332" s="7" t="s">
        <v>51</v>
      </c>
      <c r="E1332">
        <v>138.4</v>
      </c>
    </row>
    <row r="1333" spans="1:5" x14ac:dyDescent="0.25">
      <c r="A1333" s="7" t="s">
        <v>31</v>
      </c>
      <c r="B1333">
        <v>2019</v>
      </c>
      <c r="C1333" s="7" t="s">
        <v>32</v>
      </c>
      <c r="D1333" s="7" t="s">
        <v>26</v>
      </c>
      <c r="E1333">
        <v>972.09999999999991</v>
      </c>
    </row>
    <row r="1334" spans="1:5" x14ac:dyDescent="0.25">
      <c r="A1334" s="7" t="s">
        <v>28</v>
      </c>
      <c r="B1334">
        <v>2019</v>
      </c>
      <c r="C1334" s="7" t="s">
        <v>33</v>
      </c>
      <c r="D1334" s="7" t="s">
        <v>48</v>
      </c>
      <c r="E1334">
        <v>1761.2000000000003</v>
      </c>
    </row>
    <row r="1335" spans="1:5" x14ac:dyDescent="0.25">
      <c r="A1335" s="7" t="s">
        <v>28</v>
      </c>
      <c r="B1335">
        <v>2019</v>
      </c>
      <c r="C1335" s="7" t="s">
        <v>33</v>
      </c>
      <c r="D1335" s="7" t="s">
        <v>49</v>
      </c>
      <c r="E1335">
        <v>162.9</v>
      </c>
    </row>
    <row r="1336" spans="1:5" x14ac:dyDescent="0.25">
      <c r="A1336" s="7" t="s">
        <v>28</v>
      </c>
      <c r="B1336">
        <v>2019</v>
      </c>
      <c r="C1336" s="7" t="s">
        <v>33</v>
      </c>
      <c r="D1336" s="7" t="s">
        <v>50</v>
      </c>
      <c r="E1336">
        <v>447</v>
      </c>
    </row>
    <row r="1337" spans="1:5" x14ac:dyDescent="0.25">
      <c r="A1337" s="7" t="s">
        <v>28</v>
      </c>
      <c r="B1337">
        <v>2019</v>
      </c>
      <c r="C1337" s="7" t="s">
        <v>33</v>
      </c>
      <c r="D1337" s="7" t="s">
        <v>19</v>
      </c>
      <c r="E1337">
        <v>149.6</v>
      </c>
    </row>
    <row r="1338" spans="1:5" x14ac:dyDescent="0.25">
      <c r="A1338" s="7" t="s">
        <v>28</v>
      </c>
      <c r="B1338">
        <v>2019</v>
      </c>
      <c r="C1338" s="7" t="s">
        <v>33</v>
      </c>
      <c r="D1338" s="7" t="s">
        <v>51</v>
      </c>
      <c r="E1338">
        <v>146.4</v>
      </c>
    </row>
    <row r="1339" spans="1:5" x14ac:dyDescent="0.25">
      <c r="A1339" s="7" t="s">
        <v>28</v>
      </c>
      <c r="B1339">
        <v>2019</v>
      </c>
      <c r="C1339" s="7" t="s">
        <v>33</v>
      </c>
      <c r="D1339" s="7" t="s">
        <v>26</v>
      </c>
      <c r="E1339">
        <v>1005.9999999999999</v>
      </c>
    </row>
    <row r="1340" spans="1:5" x14ac:dyDescent="0.25">
      <c r="A1340" s="7" t="s">
        <v>30</v>
      </c>
      <c r="B1340">
        <v>2019</v>
      </c>
      <c r="C1340" s="7" t="s">
        <v>33</v>
      </c>
      <c r="D1340" s="7" t="s">
        <v>48</v>
      </c>
      <c r="E1340">
        <v>1768.4</v>
      </c>
    </row>
    <row r="1341" spans="1:5" x14ac:dyDescent="0.25">
      <c r="A1341" s="7" t="s">
        <v>30</v>
      </c>
      <c r="B1341">
        <v>2019</v>
      </c>
      <c r="C1341" s="7" t="s">
        <v>33</v>
      </c>
      <c r="D1341" s="7" t="s">
        <v>49</v>
      </c>
      <c r="E1341">
        <v>165.3</v>
      </c>
    </row>
    <row r="1342" spans="1:5" x14ac:dyDescent="0.25">
      <c r="A1342" s="7" t="s">
        <v>30</v>
      </c>
      <c r="B1342">
        <v>2019</v>
      </c>
      <c r="C1342" s="7" t="s">
        <v>33</v>
      </c>
      <c r="D1342" s="7" t="s">
        <v>50</v>
      </c>
      <c r="E1342">
        <v>416.29999999999995</v>
      </c>
    </row>
    <row r="1343" spans="1:5" x14ac:dyDescent="0.25">
      <c r="A1343" s="7" t="s">
        <v>30</v>
      </c>
      <c r="B1343">
        <v>2019</v>
      </c>
      <c r="C1343" s="7" t="s">
        <v>33</v>
      </c>
      <c r="D1343" s="7" t="s">
        <v>19</v>
      </c>
      <c r="E1343">
        <v>149</v>
      </c>
    </row>
    <row r="1344" spans="1:5" x14ac:dyDescent="0.25">
      <c r="A1344" s="7" t="s">
        <v>30</v>
      </c>
      <c r="B1344">
        <v>2019</v>
      </c>
      <c r="C1344" s="7" t="s">
        <v>33</v>
      </c>
      <c r="D1344" s="7" t="s">
        <v>51</v>
      </c>
      <c r="E1344">
        <v>128.80000000000001</v>
      </c>
    </row>
    <row r="1345" spans="1:5" x14ac:dyDescent="0.25">
      <c r="A1345" s="7" t="s">
        <v>30</v>
      </c>
      <c r="B1345">
        <v>2019</v>
      </c>
      <c r="C1345" s="7" t="s">
        <v>33</v>
      </c>
      <c r="D1345" s="7" t="s">
        <v>26</v>
      </c>
      <c r="E1345">
        <v>940.89999999999986</v>
      </c>
    </row>
    <row r="1346" spans="1:5" x14ac:dyDescent="0.25">
      <c r="A1346" s="7" t="s">
        <v>31</v>
      </c>
      <c r="B1346">
        <v>2019</v>
      </c>
      <c r="C1346" s="7" t="s">
        <v>33</v>
      </c>
      <c r="D1346" s="7" t="s">
        <v>48</v>
      </c>
      <c r="E1346">
        <v>1762.9</v>
      </c>
    </row>
    <row r="1347" spans="1:5" x14ac:dyDescent="0.25">
      <c r="A1347" s="7" t="s">
        <v>31</v>
      </c>
      <c r="B1347">
        <v>2019</v>
      </c>
      <c r="C1347" s="7" t="s">
        <v>33</v>
      </c>
      <c r="D1347" s="7" t="s">
        <v>49</v>
      </c>
      <c r="E1347">
        <v>163.5</v>
      </c>
    </row>
    <row r="1348" spans="1:5" x14ac:dyDescent="0.25">
      <c r="A1348" s="7" t="s">
        <v>31</v>
      </c>
      <c r="B1348">
        <v>2019</v>
      </c>
      <c r="C1348" s="7" t="s">
        <v>33</v>
      </c>
      <c r="D1348" s="7" t="s">
        <v>50</v>
      </c>
      <c r="E1348">
        <v>434.5</v>
      </c>
    </row>
    <row r="1349" spans="1:5" x14ac:dyDescent="0.25">
      <c r="A1349" s="7" t="s">
        <v>31</v>
      </c>
      <c r="B1349">
        <v>2019</v>
      </c>
      <c r="C1349" s="7" t="s">
        <v>33</v>
      </c>
      <c r="D1349" s="7" t="s">
        <v>19</v>
      </c>
      <c r="E1349">
        <v>149</v>
      </c>
    </row>
    <row r="1350" spans="1:5" x14ac:dyDescent="0.25">
      <c r="A1350" s="7" t="s">
        <v>31</v>
      </c>
      <c r="B1350">
        <v>2019</v>
      </c>
      <c r="C1350" s="7" t="s">
        <v>33</v>
      </c>
      <c r="D1350" s="7" t="s">
        <v>51</v>
      </c>
      <c r="E1350">
        <v>139.69999999999999</v>
      </c>
    </row>
    <row r="1351" spans="1:5" x14ac:dyDescent="0.25">
      <c r="A1351" s="7" t="s">
        <v>31</v>
      </c>
      <c r="B1351">
        <v>2019</v>
      </c>
      <c r="C1351" s="7" t="s">
        <v>33</v>
      </c>
      <c r="D1351" s="7" t="s">
        <v>26</v>
      </c>
      <c r="E1351">
        <v>973.69999999999982</v>
      </c>
    </row>
    <row r="1352" spans="1:5" x14ac:dyDescent="0.25">
      <c r="A1352" s="7" t="s">
        <v>28</v>
      </c>
      <c r="B1352">
        <v>2019</v>
      </c>
      <c r="C1352" s="7" t="s">
        <v>35</v>
      </c>
      <c r="D1352" s="7" t="s">
        <v>48</v>
      </c>
      <c r="E1352">
        <v>1782.1000000000001</v>
      </c>
    </row>
    <row r="1353" spans="1:5" x14ac:dyDescent="0.25">
      <c r="A1353" s="7" t="s">
        <v>28</v>
      </c>
      <c r="B1353">
        <v>2019</v>
      </c>
      <c r="C1353" s="7" t="s">
        <v>35</v>
      </c>
      <c r="D1353" s="7" t="s">
        <v>49</v>
      </c>
      <c r="E1353">
        <v>163.30000000000001</v>
      </c>
    </row>
    <row r="1354" spans="1:5" x14ac:dyDescent="0.25">
      <c r="A1354" s="7" t="s">
        <v>28</v>
      </c>
      <c r="B1354">
        <v>2019</v>
      </c>
      <c r="C1354" s="7" t="s">
        <v>35</v>
      </c>
      <c r="D1354" s="7" t="s">
        <v>50</v>
      </c>
      <c r="E1354">
        <v>448.59999999999997</v>
      </c>
    </row>
    <row r="1355" spans="1:5" x14ac:dyDescent="0.25">
      <c r="A1355" s="7" t="s">
        <v>28</v>
      </c>
      <c r="B1355">
        <v>2019</v>
      </c>
      <c r="C1355" s="7" t="s">
        <v>35</v>
      </c>
      <c r="D1355" s="7" t="s">
        <v>19</v>
      </c>
      <c r="E1355">
        <v>149.80000000000001</v>
      </c>
    </row>
    <row r="1356" spans="1:5" x14ac:dyDescent="0.25">
      <c r="A1356" s="7" t="s">
        <v>28</v>
      </c>
      <c r="B1356">
        <v>2019</v>
      </c>
      <c r="C1356" s="7" t="s">
        <v>35</v>
      </c>
      <c r="D1356" s="7" t="s">
        <v>51</v>
      </c>
      <c r="E1356">
        <v>146.9</v>
      </c>
    </row>
    <row r="1357" spans="1:5" x14ac:dyDescent="0.25">
      <c r="A1357" s="7" t="s">
        <v>28</v>
      </c>
      <c r="B1357">
        <v>2019</v>
      </c>
      <c r="C1357" s="7" t="s">
        <v>35</v>
      </c>
      <c r="D1357" s="7" t="s">
        <v>26</v>
      </c>
      <c r="E1357">
        <v>1010.3999999999999</v>
      </c>
    </row>
    <row r="1358" spans="1:5" x14ac:dyDescent="0.25">
      <c r="A1358" s="7" t="s">
        <v>30</v>
      </c>
      <c r="B1358">
        <v>2019</v>
      </c>
      <c r="C1358" s="7" t="s">
        <v>35</v>
      </c>
      <c r="D1358" s="7" t="s">
        <v>48</v>
      </c>
      <c r="E1358">
        <v>1811.5000000000002</v>
      </c>
    </row>
    <row r="1359" spans="1:5" x14ac:dyDescent="0.25">
      <c r="A1359" s="7" t="s">
        <v>30</v>
      </c>
      <c r="B1359">
        <v>2019</v>
      </c>
      <c r="C1359" s="7" t="s">
        <v>35</v>
      </c>
      <c r="D1359" s="7" t="s">
        <v>49</v>
      </c>
      <c r="E1359">
        <v>166.2</v>
      </c>
    </row>
    <row r="1360" spans="1:5" x14ac:dyDescent="0.25">
      <c r="A1360" s="7" t="s">
        <v>30</v>
      </c>
      <c r="B1360">
        <v>2019</v>
      </c>
      <c r="C1360" s="7" t="s">
        <v>35</v>
      </c>
      <c r="D1360" s="7" t="s">
        <v>50</v>
      </c>
      <c r="E1360">
        <v>417.9</v>
      </c>
    </row>
    <row r="1361" spans="1:5" x14ac:dyDescent="0.25">
      <c r="A1361" s="7" t="s">
        <v>30</v>
      </c>
      <c r="B1361">
        <v>2019</v>
      </c>
      <c r="C1361" s="7" t="s">
        <v>35</v>
      </c>
      <c r="D1361" s="7" t="s">
        <v>19</v>
      </c>
      <c r="E1361">
        <v>150.1</v>
      </c>
    </row>
    <row r="1362" spans="1:5" x14ac:dyDescent="0.25">
      <c r="A1362" s="7" t="s">
        <v>30</v>
      </c>
      <c r="B1362">
        <v>2019</v>
      </c>
      <c r="C1362" s="7" t="s">
        <v>35</v>
      </c>
      <c r="D1362" s="7" t="s">
        <v>51</v>
      </c>
      <c r="E1362">
        <v>129.4</v>
      </c>
    </row>
    <row r="1363" spans="1:5" x14ac:dyDescent="0.25">
      <c r="A1363" s="7" t="s">
        <v>30</v>
      </c>
      <c r="B1363">
        <v>2019</v>
      </c>
      <c r="C1363" s="7" t="s">
        <v>35</v>
      </c>
      <c r="D1363" s="7" t="s">
        <v>26</v>
      </c>
      <c r="E1363">
        <v>945</v>
      </c>
    </row>
    <row r="1364" spans="1:5" x14ac:dyDescent="0.25">
      <c r="A1364" s="7" t="s">
        <v>31</v>
      </c>
      <c r="B1364">
        <v>2019</v>
      </c>
      <c r="C1364" s="7" t="s">
        <v>35</v>
      </c>
      <c r="D1364" s="7" t="s">
        <v>48</v>
      </c>
      <c r="E1364">
        <v>1791.9000000000003</v>
      </c>
    </row>
    <row r="1365" spans="1:5" x14ac:dyDescent="0.25">
      <c r="A1365" s="7" t="s">
        <v>31</v>
      </c>
      <c r="B1365">
        <v>2019</v>
      </c>
      <c r="C1365" s="7" t="s">
        <v>35</v>
      </c>
      <c r="D1365" s="7" t="s">
        <v>49</v>
      </c>
      <c r="E1365">
        <v>164.1</v>
      </c>
    </row>
    <row r="1366" spans="1:5" x14ac:dyDescent="0.25">
      <c r="A1366" s="7" t="s">
        <v>31</v>
      </c>
      <c r="B1366">
        <v>2019</v>
      </c>
      <c r="C1366" s="7" t="s">
        <v>35</v>
      </c>
      <c r="D1366" s="7" t="s">
        <v>50</v>
      </c>
      <c r="E1366">
        <v>436.1</v>
      </c>
    </row>
    <row r="1367" spans="1:5" x14ac:dyDescent="0.25">
      <c r="A1367" s="7" t="s">
        <v>31</v>
      </c>
      <c r="B1367">
        <v>2019</v>
      </c>
      <c r="C1367" s="7" t="s">
        <v>35</v>
      </c>
      <c r="D1367" s="7" t="s">
        <v>19</v>
      </c>
      <c r="E1367">
        <v>150.1</v>
      </c>
    </row>
    <row r="1368" spans="1:5" x14ac:dyDescent="0.25">
      <c r="A1368" s="7" t="s">
        <v>31</v>
      </c>
      <c r="B1368">
        <v>2019</v>
      </c>
      <c r="C1368" s="7" t="s">
        <v>35</v>
      </c>
      <c r="D1368" s="7" t="s">
        <v>51</v>
      </c>
      <c r="E1368">
        <v>140.30000000000001</v>
      </c>
    </row>
    <row r="1369" spans="1:5" x14ac:dyDescent="0.25">
      <c r="A1369" s="7" t="s">
        <v>31</v>
      </c>
      <c r="B1369">
        <v>2019</v>
      </c>
      <c r="C1369" s="7" t="s">
        <v>35</v>
      </c>
      <c r="D1369" s="7" t="s">
        <v>26</v>
      </c>
      <c r="E1369">
        <v>977.90000000000009</v>
      </c>
    </row>
    <row r="1370" spans="1:5" x14ac:dyDescent="0.25">
      <c r="A1370" s="7" t="s">
        <v>28</v>
      </c>
      <c r="B1370">
        <v>2019</v>
      </c>
      <c r="C1370" s="7" t="s">
        <v>36</v>
      </c>
      <c r="D1370" s="7" t="s">
        <v>48</v>
      </c>
      <c r="E1370">
        <v>1804.1999999999998</v>
      </c>
    </row>
    <row r="1371" spans="1:5" x14ac:dyDescent="0.25">
      <c r="A1371" s="7" t="s">
        <v>28</v>
      </c>
      <c r="B1371">
        <v>2019</v>
      </c>
      <c r="C1371" s="7" t="s">
        <v>36</v>
      </c>
      <c r="D1371" s="7" t="s">
        <v>49</v>
      </c>
      <c r="E1371">
        <v>164.2</v>
      </c>
    </row>
    <row r="1372" spans="1:5" x14ac:dyDescent="0.25">
      <c r="A1372" s="7" t="s">
        <v>28</v>
      </c>
      <c r="B1372">
        <v>2019</v>
      </c>
      <c r="C1372" s="7" t="s">
        <v>36</v>
      </c>
      <c r="D1372" s="7" t="s">
        <v>50</v>
      </c>
      <c r="E1372">
        <v>448.59999999999997</v>
      </c>
    </row>
    <row r="1373" spans="1:5" x14ac:dyDescent="0.25">
      <c r="A1373" s="7" t="s">
        <v>28</v>
      </c>
      <c r="B1373">
        <v>2019</v>
      </c>
      <c r="C1373" s="7" t="s">
        <v>36</v>
      </c>
      <c r="D1373" s="7" t="s">
        <v>19</v>
      </c>
      <c r="E1373">
        <v>150</v>
      </c>
    </row>
    <row r="1374" spans="1:5" x14ac:dyDescent="0.25">
      <c r="A1374" s="7" t="s">
        <v>28</v>
      </c>
      <c r="B1374">
        <v>2019</v>
      </c>
      <c r="C1374" s="7" t="s">
        <v>36</v>
      </c>
      <c r="D1374" s="7" t="s">
        <v>51</v>
      </c>
      <c r="E1374">
        <v>147.80000000000001</v>
      </c>
    </row>
    <row r="1375" spans="1:5" x14ac:dyDescent="0.25">
      <c r="A1375" s="7" t="s">
        <v>28</v>
      </c>
      <c r="B1375">
        <v>2019</v>
      </c>
      <c r="C1375" s="7" t="s">
        <v>36</v>
      </c>
      <c r="D1375" s="7" t="s">
        <v>26</v>
      </c>
      <c r="E1375">
        <v>1013.6999999999998</v>
      </c>
    </row>
    <row r="1376" spans="1:5" x14ac:dyDescent="0.25">
      <c r="A1376" s="7" t="s">
        <v>30</v>
      </c>
      <c r="B1376">
        <v>2019</v>
      </c>
      <c r="C1376" s="7" t="s">
        <v>36</v>
      </c>
      <c r="D1376" s="7" t="s">
        <v>48</v>
      </c>
      <c r="E1376">
        <v>1833.2999999999997</v>
      </c>
    </row>
    <row r="1377" spans="1:5" x14ac:dyDescent="0.25">
      <c r="A1377" s="7" t="s">
        <v>30</v>
      </c>
      <c r="B1377">
        <v>2019</v>
      </c>
      <c r="C1377" s="7" t="s">
        <v>36</v>
      </c>
      <c r="D1377" s="7" t="s">
        <v>49</v>
      </c>
      <c r="E1377">
        <v>166.7</v>
      </c>
    </row>
    <row r="1378" spans="1:5" x14ac:dyDescent="0.25">
      <c r="A1378" s="7" t="s">
        <v>30</v>
      </c>
      <c r="B1378">
        <v>2019</v>
      </c>
      <c r="C1378" s="7" t="s">
        <v>36</v>
      </c>
      <c r="D1378" s="7" t="s">
        <v>50</v>
      </c>
      <c r="E1378">
        <v>418.4</v>
      </c>
    </row>
    <row r="1379" spans="1:5" x14ac:dyDescent="0.25">
      <c r="A1379" s="7" t="s">
        <v>30</v>
      </c>
      <c r="B1379">
        <v>2019</v>
      </c>
      <c r="C1379" s="7" t="s">
        <v>36</v>
      </c>
      <c r="D1379" s="7" t="s">
        <v>19</v>
      </c>
      <c r="E1379">
        <v>149.4</v>
      </c>
    </row>
    <row r="1380" spans="1:5" x14ac:dyDescent="0.25">
      <c r="A1380" s="7" t="s">
        <v>30</v>
      </c>
      <c r="B1380">
        <v>2019</v>
      </c>
      <c r="C1380" s="7" t="s">
        <v>36</v>
      </c>
      <c r="D1380" s="7" t="s">
        <v>51</v>
      </c>
      <c r="E1380">
        <v>130.5</v>
      </c>
    </row>
    <row r="1381" spans="1:5" x14ac:dyDescent="0.25">
      <c r="A1381" s="7" t="s">
        <v>30</v>
      </c>
      <c r="B1381">
        <v>2019</v>
      </c>
      <c r="C1381" s="7" t="s">
        <v>36</v>
      </c>
      <c r="D1381" s="7" t="s">
        <v>26</v>
      </c>
      <c r="E1381">
        <v>947.80000000000007</v>
      </c>
    </row>
    <row r="1382" spans="1:5" x14ac:dyDescent="0.25">
      <c r="A1382" s="7" t="s">
        <v>31</v>
      </c>
      <c r="B1382">
        <v>2019</v>
      </c>
      <c r="C1382" s="7" t="s">
        <v>36</v>
      </c>
      <c r="D1382" s="7" t="s">
        <v>48</v>
      </c>
      <c r="E1382">
        <v>1814.1000000000001</v>
      </c>
    </row>
    <row r="1383" spans="1:5" x14ac:dyDescent="0.25">
      <c r="A1383" s="7" t="s">
        <v>31</v>
      </c>
      <c r="B1383">
        <v>2019</v>
      </c>
      <c r="C1383" s="7" t="s">
        <v>36</v>
      </c>
      <c r="D1383" s="7" t="s">
        <v>49</v>
      </c>
      <c r="E1383">
        <v>164.9</v>
      </c>
    </row>
    <row r="1384" spans="1:5" x14ac:dyDescent="0.25">
      <c r="A1384" s="7" t="s">
        <v>31</v>
      </c>
      <c r="B1384">
        <v>2019</v>
      </c>
      <c r="C1384" s="7" t="s">
        <v>36</v>
      </c>
      <c r="D1384" s="7" t="s">
        <v>50</v>
      </c>
      <c r="E1384">
        <v>436.4</v>
      </c>
    </row>
    <row r="1385" spans="1:5" x14ac:dyDescent="0.25">
      <c r="A1385" s="7" t="s">
        <v>31</v>
      </c>
      <c r="B1385">
        <v>2019</v>
      </c>
      <c r="C1385" s="7" t="s">
        <v>36</v>
      </c>
      <c r="D1385" s="7" t="s">
        <v>19</v>
      </c>
      <c r="E1385">
        <v>149.4</v>
      </c>
    </row>
    <row r="1386" spans="1:5" x14ac:dyDescent="0.25">
      <c r="A1386" s="7" t="s">
        <v>31</v>
      </c>
      <c r="B1386">
        <v>2019</v>
      </c>
      <c r="C1386" s="7" t="s">
        <v>36</v>
      </c>
      <c r="D1386" s="7" t="s">
        <v>51</v>
      </c>
      <c r="E1386">
        <v>141.19999999999999</v>
      </c>
    </row>
    <row r="1387" spans="1:5" x14ac:dyDescent="0.25">
      <c r="A1387" s="7" t="s">
        <v>31</v>
      </c>
      <c r="B1387">
        <v>2019</v>
      </c>
      <c r="C1387" s="7" t="s">
        <v>36</v>
      </c>
      <c r="D1387" s="7" t="s">
        <v>26</v>
      </c>
      <c r="E1387">
        <v>980.80000000000007</v>
      </c>
    </row>
    <row r="1388" spans="1:5" x14ac:dyDescent="0.25">
      <c r="A1388" s="7" t="s">
        <v>28</v>
      </c>
      <c r="B1388">
        <v>2019</v>
      </c>
      <c r="C1388" s="7" t="s">
        <v>37</v>
      </c>
      <c r="D1388" s="7" t="s">
        <v>48</v>
      </c>
      <c r="E1388">
        <v>1826.8999999999999</v>
      </c>
    </row>
    <row r="1389" spans="1:5" x14ac:dyDescent="0.25">
      <c r="A1389" s="7" t="s">
        <v>28</v>
      </c>
      <c r="B1389">
        <v>2019</v>
      </c>
      <c r="C1389" s="7" t="s">
        <v>37</v>
      </c>
      <c r="D1389" s="7" t="s">
        <v>49</v>
      </c>
      <c r="E1389">
        <v>164.5</v>
      </c>
    </row>
    <row r="1390" spans="1:5" x14ac:dyDescent="0.25">
      <c r="A1390" s="7" t="s">
        <v>28</v>
      </c>
      <c r="B1390">
        <v>2019</v>
      </c>
      <c r="C1390" s="7" t="s">
        <v>37</v>
      </c>
      <c r="D1390" s="7" t="s">
        <v>50</v>
      </c>
      <c r="E1390">
        <v>449.1</v>
      </c>
    </row>
    <row r="1391" spans="1:5" x14ac:dyDescent="0.25">
      <c r="A1391" s="7" t="s">
        <v>28</v>
      </c>
      <c r="B1391">
        <v>2019</v>
      </c>
      <c r="C1391" s="7" t="s">
        <v>37</v>
      </c>
      <c r="D1391" s="7" t="s">
        <v>19</v>
      </c>
      <c r="E1391">
        <v>151.1</v>
      </c>
    </row>
    <row r="1392" spans="1:5" x14ac:dyDescent="0.25">
      <c r="A1392" s="7" t="s">
        <v>28</v>
      </c>
      <c r="B1392">
        <v>2019</v>
      </c>
      <c r="C1392" s="7" t="s">
        <v>37</v>
      </c>
      <c r="D1392" s="7" t="s">
        <v>51</v>
      </c>
      <c r="E1392">
        <v>146.80000000000001</v>
      </c>
    </row>
    <row r="1393" spans="1:5" x14ac:dyDescent="0.25">
      <c r="A1393" s="7" t="s">
        <v>28</v>
      </c>
      <c r="B1393">
        <v>2019</v>
      </c>
      <c r="C1393" s="7" t="s">
        <v>37</v>
      </c>
      <c r="D1393" s="7" t="s">
        <v>26</v>
      </c>
      <c r="E1393">
        <v>1020.3</v>
      </c>
    </row>
    <row r="1394" spans="1:5" x14ac:dyDescent="0.25">
      <c r="A1394" s="7" t="s">
        <v>30</v>
      </c>
      <c r="B1394">
        <v>2019</v>
      </c>
      <c r="C1394" s="7" t="s">
        <v>37</v>
      </c>
      <c r="D1394" s="7" t="s">
        <v>48</v>
      </c>
      <c r="E1394">
        <v>1857.3999999999999</v>
      </c>
    </row>
    <row r="1395" spans="1:5" x14ac:dyDescent="0.25">
      <c r="A1395" s="7" t="s">
        <v>30</v>
      </c>
      <c r="B1395">
        <v>2019</v>
      </c>
      <c r="C1395" s="7" t="s">
        <v>37</v>
      </c>
      <c r="D1395" s="7" t="s">
        <v>49</v>
      </c>
      <c r="E1395">
        <v>167.2</v>
      </c>
    </row>
    <row r="1396" spans="1:5" x14ac:dyDescent="0.25">
      <c r="A1396" s="7" t="s">
        <v>30</v>
      </c>
      <c r="B1396">
        <v>2019</v>
      </c>
      <c r="C1396" s="7" t="s">
        <v>37</v>
      </c>
      <c r="D1396" s="7" t="s">
        <v>50</v>
      </c>
      <c r="E1396">
        <v>419.3</v>
      </c>
    </row>
    <row r="1397" spans="1:5" x14ac:dyDescent="0.25">
      <c r="A1397" s="7" t="s">
        <v>30</v>
      </c>
      <c r="B1397">
        <v>2019</v>
      </c>
      <c r="C1397" s="7" t="s">
        <v>37</v>
      </c>
      <c r="D1397" s="7" t="s">
        <v>19</v>
      </c>
      <c r="E1397">
        <v>150.6</v>
      </c>
    </row>
    <row r="1398" spans="1:5" x14ac:dyDescent="0.25">
      <c r="A1398" s="7" t="s">
        <v>30</v>
      </c>
      <c r="B1398">
        <v>2019</v>
      </c>
      <c r="C1398" s="7" t="s">
        <v>37</v>
      </c>
      <c r="D1398" s="7" t="s">
        <v>51</v>
      </c>
      <c r="E1398">
        <v>127</v>
      </c>
    </row>
    <row r="1399" spans="1:5" x14ac:dyDescent="0.25">
      <c r="A1399" s="7" t="s">
        <v>30</v>
      </c>
      <c r="B1399">
        <v>2019</v>
      </c>
      <c r="C1399" s="7" t="s">
        <v>37</v>
      </c>
      <c r="D1399" s="7" t="s">
        <v>26</v>
      </c>
      <c r="E1399">
        <v>954.1</v>
      </c>
    </row>
    <row r="1400" spans="1:5" x14ac:dyDescent="0.25">
      <c r="A1400" s="7" t="s">
        <v>31</v>
      </c>
      <c r="B1400">
        <v>2019</v>
      </c>
      <c r="C1400" s="7" t="s">
        <v>37</v>
      </c>
      <c r="D1400" s="7" t="s">
        <v>48</v>
      </c>
      <c r="E1400">
        <v>1837.5</v>
      </c>
    </row>
    <row r="1401" spans="1:5" x14ac:dyDescent="0.25">
      <c r="A1401" s="7" t="s">
        <v>31</v>
      </c>
      <c r="B1401">
        <v>2019</v>
      </c>
      <c r="C1401" s="7" t="s">
        <v>37</v>
      </c>
      <c r="D1401" s="7" t="s">
        <v>49</v>
      </c>
      <c r="E1401">
        <v>165.2</v>
      </c>
    </row>
    <row r="1402" spans="1:5" x14ac:dyDescent="0.25">
      <c r="A1402" s="7" t="s">
        <v>31</v>
      </c>
      <c r="B1402">
        <v>2019</v>
      </c>
      <c r="C1402" s="7" t="s">
        <v>37</v>
      </c>
      <c r="D1402" s="7" t="s">
        <v>50</v>
      </c>
      <c r="E1402">
        <v>437</v>
      </c>
    </row>
    <row r="1403" spans="1:5" x14ac:dyDescent="0.25">
      <c r="A1403" s="7" t="s">
        <v>31</v>
      </c>
      <c r="B1403">
        <v>2019</v>
      </c>
      <c r="C1403" s="7" t="s">
        <v>37</v>
      </c>
      <c r="D1403" s="7" t="s">
        <v>19</v>
      </c>
      <c r="E1403">
        <v>150.6</v>
      </c>
    </row>
    <row r="1404" spans="1:5" x14ac:dyDescent="0.25">
      <c r="A1404" s="7" t="s">
        <v>31</v>
      </c>
      <c r="B1404">
        <v>2019</v>
      </c>
      <c r="C1404" s="7" t="s">
        <v>37</v>
      </c>
      <c r="D1404" s="7" t="s">
        <v>51</v>
      </c>
      <c r="E1404">
        <v>139.30000000000001</v>
      </c>
    </row>
    <row r="1405" spans="1:5" x14ac:dyDescent="0.25">
      <c r="A1405" s="7" t="s">
        <v>31</v>
      </c>
      <c r="B1405">
        <v>2019</v>
      </c>
      <c r="C1405" s="7" t="s">
        <v>37</v>
      </c>
      <c r="D1405" s="7" t="s">
        <v>26</v>
      </c>
      <c r="E1405">
        <v>987.40000000000009</v>
      </c>
    </row>
    <row r="1406" spans="1:5" x14ac:dyDescent="0.25">
      <c r="A1406" s="7" t="s">
        <v>28</v>
      </c>
      <c r="B1406">
        <v>2019</v>
      </c>
      <c r="C1406" s="7" t="s">
        <v>38</v>
      </c>
      <c r="D1406" s="7" t="s">
        <v>48</v>
      </c>
      <c r="E1406">
        <v>1834.5000000000002</v>
      </c>
    </row>
    <row r="1407" spans="1:5" x14ac:dyDescent="0.25">
      <c r="A1407" s="7" t="s">
        <v>28</v>
      </c>
      <c r="B1407">
        <v>2019</v>
      </c>
      <c r="C1407" s="7" t="s">
        <v>38</v>
      </c>
      <c r="D1407" s="7" t="s">
        <v>49</v>
      </c>
      <c r="E1407">
        <v>165.1</v>
      </c>
    </row>
    <row r="1408" spans="1:5" x14ac:dyDescent="0.25">
      <c r="A1408" s="7" t="s">
        <v>28</v>
      </c>
      <c r="B1408">
        <v>2019</v>
      </c>
      <c r="C1408" s="7" t="s">
        <v>38</v>
      </c>
      <c r="D1408" s="7" t="s">
        <v>50</v>
      </c>
      <c r="E1408">
        <v>449.5</v>
      </c>
    </row>
    <row r="1409" spans="1:5" x14ac:dyDescent="0.25">
      <c r="A1409" s="7" t="s">
        <v>28</v>
      </c>
      <c r="B1409">
        <v>2019</v>
      </c>
      <c r="C1409" s="7" t="s">
        <v>38</v>
      </c>
      <c r="D1409" s="7" t="s">
        <v>19</v>
      </c>
      <c r="E1409">
        <v>151.9</v>
      </c>
    </row>
    <row r="1410" spans="1:5" x14ac:dyDescent="0.25">
      <c r="A1410" s="7" t="s">
        <v>28</v>
      </c>
      <c r="B1410">
        <v>2019</v>
      </c>
      <c r="C1410" s="7" t="s">
        <v>38</v>
      </c>
      <c r="D1410" s="7" t="s">
        <v>51</v>
      </c>
      <c r="E1410">
        <v>146.4</v>
      </c>
    </row>
    <row r="1411" spans="1:5" x14ac:dyDescent="0.25">
      <c r="A1411" s="7" t="s">
        <v>28</v>
      </c>
      <c r="B1411">
        <v>2019</v>
      </c>
      <c r="C1411" s="7" t="s">
        <v>38</v>
      </c>
      <c r="D1411" s="7" t="s">
        <v>26</v>
      </c>
      <c r="E1411">
        <v>1025.7</v>
      </c>
    </row>
    <row r="1412" spans="1:5" x14ac:dyDescent="0.25">
      <c r="A1412" s="7" t="s">
        <v>30</v>
      </c>
      <c r="B1412">
        <v>2019</v>
      </c>
      <c r="C1412" s="7" t="s">
        <v>38</v>
      </c>
      <c r="D1412" s="7" t="s">
        <v>48</v>
      </c>
      <c r="E1412">
        <v>1869.1</v>
      </c>
    </row>
    <row r="1413" spans="1:5" x14ac:dyDescent="0.25">
      <c r="A1413" s="7" t="s">
        <v>30</v>
      </c>
      <c r="B1413">
        <v>2019</v>
      </c>
      <c r="C1413" s="7" t="s">
        <v>38</v>
      </c>
      <c r="D1413" s="7" t="s">
        <v>49</v>
      </c>
      <c r="E1413">
        <v>167.9</v>
      </c>
    </row>
    <row r="1414" spans="1:5" x14ac:dyDescent="0.25">
      <c r="A1414" s="7" t="s">
        <v>30</v>
      </c>
      <c r="B1414">
        <v>2019</v>
      </c>
      <c r="C1414" s="7" t="s">
        <v>38</v>
      </c>
      <c r="D1414" s="7" t="s">
        <v>50</v>
      </c>
      <c r="E1414">
        <v>420.2</v>
      </c>
    </row>
    <row r="1415" spans="1:5" x14ac:dyDescent="0.25">
      <c r="A1415" s="7" t="s">
        <v>30</v>
      </c>
      <c r="B1415">
        <v>2019</v>
      </c>
      <c r="C1415" s="7" t="s">
        <v>38</v>
      </c>
      <c r="D1415" s="7" t="s">
        <v>19</v>
      </c>
      <c r="E1415">
        <v>151.6</v>
      </c>
    </row>
    <row r="1416" spans="1:5" x14ac:dyDescent="0.25">
      <c r="A1416" s="7" t="s">
        <v>30</v>
      </c>
      <c r="B1416">
        <v>2019</v>
      </c>
      <c r="C1416" s="7" t="s">
        <v>38</v>
      </c>
      <c r="D1416" s="7" t="s">
        <v>51</v>
      </c>
      <c r="E1416">
        <v>125.5</v>
      </c>
    </row>
    <row r="1417" spans="1:5" x14ac:dyDescent="0.25">
      <c r="A1417" s="7" t="s">
        <v>30</v>
      </c>
      <c r="B1417">
        <v>2019</v>
      </c>
      <c r="C1417" s="7" t="s">
        <v>38</v>
      </c>
      <c r="D1417" s="7" t="s">
        <v>26</v>
      </c>
      <c r="E1417">
        <v>960.40000000000009</v>
      </c>
    </row>
    <row r="1418" spans="1:5" x14ac:dyDescent="0.25">
      <c r="A1418" s="7" t="s">
        <v>31</v>
      </c>
      <c r="B1418">
        <v>2019</v>
      </c>
      <c r="C1418" s="7" t="s">
        <v>38</v>
      </c>
      <c r="D1418" s="7" t="s">
        <v>48</v>
      </c>
      <c r="E1418">
        <v>1846.5</v>
      </c>
    </row>
    <row r="1419" spans="1:5" x14ac:dyDescent="0.25">
      <c r="A1419" s="7" t="s">
        <v>31</v>
      </c>
      <c r="B1419">
        <v>2019</v>
      </c>
      <c r="C1419" s="7" t="s">
        <v>38</v>
      </c>
      <c r="D1419" s="7" t="s">
        <v>49</v>
      </c>
      <c r="E1419">
        <v>165.8</v>
      </c>
    </row>
    <row r="1420" spans="1:5" x14ac:dyDescent="0.25">
      <c r="A1420" s="7" t="s">
        <v>31</v>
      </c>
      <c r="B1420">
        <v>2019</v>
      </c>
      <c r="C1420" s="7" t="s">
        <v>38</v>
      </c>
      <c r="D1420" s="7" t="s">
        <v>50</v>
      </c>
      <c r="E1420">
        <v>437.6</v>
      </c>
    </row>
    <row r="1421" spans="1:5" x14ac:dyDescent="0.25">
      <c r="A1421" s="7" t="s">
        <v>31</v>
      </c>
      <c r="B1421">
        <v>2019</v>
      </c>
      <c r="C1421" s="7" t="s">
        <v>38</v>
      </c>
      <c r="D1421" s="7" t="s">
        <v>19</v>
      </c>
      <c r="E1421">
        <v>151.6</v>
      </c>
    </row>
    <row r="1422" spans="1:5" x14ac:dyDescent="0.25">
      <c r="A1422" s="7" t="s">
        <v>31</v>
      </c>
      <c r="B1422">
        <v>2019</v>
      </c>
      <c r="C1422" s="7" t="s">
        <v>38</v>
      </c>
      <c r="D1422" s="7" t="s">
        <v>51</v>
      </c>
      <c r="E1422">
        <v>138.5</v>
      </c>
    </row>
    <row r="1423" spans="1:5" x14ac:dyDescent="0.25">
      <c r="A1423" s="7" t="s">
        <v>31</v>
      </c>
      <c r="B1423">
        <v>2019</v>
      </c>
      <c r="C1423" s="7" t="s">
        <v>38</v>
      </c>
      <c r="D1423" s="7" t="s">
        <v>26</v>
      </c>
      <c r="E1423">
        <v>993.2</v>
      </c>
    </row>
    <row r="1424" spans="1:5" x14ac:dyDescent="0.25">
      <c r="A1424" s="7" t="s">
        <v>28</v>
      </c>
      <c r="B1424">
        <v>2019</v>
      </c>
      <c r="C1424" s="7" t="s">
        <v>39</v>
      </c>
      <c r="D1424" s="7" t="s">
        <v>48</v>
      </c>
      <c r="E1424">
        <v>1848.7</v>
      </c>
    </row>
    <row r="1425" spans="1:5" x14ac:dyDescent="0.25">
      <c r="A1425" s="7" t="s">
        <v>28</v>
      </c>
      <c r="B1425">
        <v>2019</v>
      </c>
      <c r="C1425" s="7" t="s">
        <v>39</v>
      </c>
      <c r="D1425" s="7" t="s">
        <v>49</v>
      </c>
      <c r="E1425">
        <v>165.7</v>
      </c>
    </row>
    <row r="1426" spans="1:5" x14ac:dyDescent="0.25">
      <c r="A1426" s="7" t="s">
        <v>28</v>
      </c>
      <c r="B1426">
        <v>2019</v>
      </c>
      <c r="C1426" s="7" t="s">
        <v>39</v>
      </c>
      <c r="D1426" s="7" t="s">
        <v>50</v>
      </c>
      <c r="E1426">
        <v>449.29999999999995</v>
      </c>
    </row>
    <row r="1427" spans="1:5" x14ac:dyDescent="0.25">
      <c r="A1427" s="7" t="s">
        <v>28</v>
      </c>
      <c r="B1427">
        <v>2019</v>
      </c>
      <c r="C1427" s="7" t="s">
        <v>39</v>
      </c>
      <c r="D1427" s="7" t="s">
        <v>19</v>
      </c>
      <c r="E1427">
        <v>152.6</v>
      </c>
    </row>
    <row r="1428" spans="1:5" x14ac:dyDescent="0.25">
      <c r="A1428" s="7" t="s">
        <v>28</v>
      </c>
      <c r="B1428">
        <v>2019</v>
      </c>
      <c r="C1428" s="7" t="s">
        <v>39</v>
      </c>
      <c r="D1428" s="7" t="s">
        <v>51</v>
      </c>
      <c r="E1428">
        <v>146.9</v>
      </c>
    </row>
    <row r="1429" spans="1:5" x14ac:dyDescent="0.25">
      <c r="A1429" s="7" t="s">
        <v>28</v>
      </c>
      <c r="B1429">
        <v>2019</v>
      </c>
      <c r="C1429" s="7" t="s">
        <v>39</v>
      </c>
      <c r="D1429" s="7" t="s">
        <v>26</v>
      </c>
      <c r="E1429">
        <v>1029.4000000000003</v>
      </c>
    </row>
    <row r="1430" spans="1:5" x14ac:dyDescent="0.25">
      <c r="A1430" s="7" t="s">
        <v>30</v>
      </c>
      <c r="B1430">
        <v>2019</v>
      </c>
      <c r="C1430" s="7" t="s">
        <v>39</v>
      </c>
      <c r="D1430" s="7" t="s">
        <v>48</v>
      </c>
      <c r="E1430">
        <v>1874.9</v>
      </c>
    </row>
    <row r="1431" spans="1:5" x14ac:dyDescent="0.25">
      <c r="A1431" s="7" t="s">
        <v>30</v>
      </c>
      <c r="B1431">
        <v>2019</v>
      </c>
      <c r="C1431" s="7" t="s">
        <v>39</v>
      </c>
      <c r="D1431" s="7" t="s">
        <v>49</v>
      </c>
      <c r="E1431">
        <v>168.6</v>
      </c>
    </row>
    <row r="1432" spans="1:5" x14ac:dyDescent="0.25">
      <c r="A1432" s="7" t="s">
        <v>30</v>
      </c>
      <c r="B1432">
        <v>2019</v>
      </c>
      <c r="C1432" s="7" t="s">
        <v>39</v>
      </c>
      <c r="D1432" s="7" t="s">
        <v>50</v>
      </c>
      <c r="E1432">
        <v>420.8</v>
      </c>
    </row>
    <row r="1433" spans="1:5" x14ac:dyDescent="0.25">
      <c r="A1433" s="7" t="s">
        <v>30</v>
      </c>
      <c r="B1433">
        <v>2019</v>
      </c>
      <c r="C1433" s="7" t="s">
        <v>39</v>
      </c>
      <c r="D1433" s="7" t="s">
        <v>19</v>
      </c>
      <c r="E1433">
        <v>152.19999999999999</v>
      </c>
    </row>
    <row r="1434" spans="1:5" x14ac:dyDescent="0.25">
      <c r="A1434" s="7" t="s">
        <v>30</v>
      </c>
      <c r="B1434">
        <v>2019</v>
      </c>
      <c r="C1434" s="7" t="s">
        <v>39</v>
      </c>
      <c r="D1434" s="7" t="s">
        <v>51</v>
      </c>
      <c r="E1434">
        <v>126.6</v>
      </c>
    </row>
    <row r="1435" spans="1:5" x14ac:dyDescent="0.25">
      <c r="A1435" s="7" t="s">
        <v>30</v>
      </c>
      <c r="B1435">
        <v>2019</v>
      </c>
      <c r="C1435" s="7" t="s">
        <v>39</v>
      </c>
      <c r="D1435" s="7" t="s">
        <v>26</v>
      </c>
      <c r="E1435">
        <v>963.60000000000014</v>
      </c>
    </row>
    <row r="1436" spans="1:5" x14ac:dyDescent="0.25">
      <c r="A1436" s="7" t="s">
        <v>31</v>
      </c>
      <c r="B1436">
        <v>2019</v>
      </c>
      <c r="C1436" s="7" t="s">
        <v>39</v>
      </c>
      <c r="D1436" s="7" t="s">
        <v>48</v>
      </c>
      <c r="E1436">
        <v>1857.6999999999998</v>
      </c>
    </row>
    <row r="1437" spans="1:5" x14ac:dyDescent="0.25">
      <c r="A1437" s="7" t="s">
        <v>31</v>
      </c>
      <c r="B1437">
        <v>2019</v>
      </c>
      <c r="C1437" s="7" t="s">
        <v>39</v>
      </c>
      <c r="D1437" s="7" t="s">
        <v>49</v>
      </c>
      <c r="E1437">
        <v>166.5</v>
      </c>
    </row>
    <row r="1438" spans="1:5" x14ac:dyDescent="0.25">
      <c r="A1438" s="7" t="s">
        <v>31</v>
      </c>
      <c r="B1438">
        <v>2019</v>
      </c>
      <c r="C1438" s="7" t="s">
        <v>39</v>
      </c>
      <c r="D1438" s="7" t="s">
        <v>50</v>
      </c>
      <c r="E1438">
        <v>437.69999999999993</v>
      </c>
    </row>
    <row r="1439" spans="1:5" x14ac:dyDescent="0.25">
      <c r="A1439" s="7" t="s">
        <v>31</v>
      </c>
      <c r="B1439">
        <v>2019</v>
      </c>
      <c r="C1439" s="7" t="s">
        <v>39</v>
      </c>
      <c r="D1439" s="7" t="s">
        <v>19</v>
      </c>
      <c r="E1439">
        <v>152.19999999999999</v>
      </c>
    </row>
    <row r="1440" spans="1:5" x14ac:dyDescent="0.25">
      <c r="A1440" s="7" t="s">
        <v>31</v>
      </c>
      <c r="B1440">
        <v>2019</v>
      </c>
      <c r="C1440" s="7" t="s">
        <v>39</v>
      </c>
      <c r="D1440" s="7" t="s">
        <v>51</v>
      </c>
      <c r="E1440">
        <v>139.19999999999999</v>
      </c>
    </row>
    <row r="1441" spans="1:5" x14ac:dyDescent="0.25">
      <c r="A1441" s="7" t="s">
        <v>31</v>
      </c>
      <c r="B1441">
        <v>2019</v>
      </c>
      <c r="C1441" s="7" t="s">
        <v>39</v>
      </c>
      <c r="D1441" s="7" t="s">
        <v>26</v>
      </c>
      <c r="E1441">
        <v>996.60000000000014</v>
      </c>
    </row>
    <row r="1442" spans="1:5" x14ac:dyDescent="0.25">
      <c r="A1442" s="7" t="s">
        <v>28</v>
      </c>
      <c r="B1442">
        <v>2019</v>
      </c>
      <c r="C1442" s="7" t="s">
        <v>40</v>
      </c>
      <c r="D1442" s="7" t="s">
        <v>48</v>
      </c>
      <c r="E1442">
        <v>1876.8999999999996</v>
      </c>
    </row>
    <row r="1443" spans="1:5" x14ac:dyDescent="0.25">
      <c r="A1443" s="7" t="s">
        <v>28</v>
      </c>
      <c r="B1443">
        <v>2019</v>
      </c>
      <c r="C1443" s="7" t="s">
        <v>40</v>
      </c>
      <c r="D1443" s="7" t="s">
        <v>49</v>
      </c>
      <c r="E1443">
        <v>166.3</v>
      </c>
    </row>
    <row r="1444" spans="1:5" x14ac:dyDescent="0.25">
      <c r="A1444" s="7" t="s">
        <v>28</v>
      </c>
      <c r="B1444">
        <v>2019</v>
      </c>
      <c r="C1444" s="7" t="s">
        <v>40</v>
      </c>
      <c r="D1444" s="7" t="s">
        <v>50</v>
      </c>
      <c r="E1444">
        <v>449.4</v>
      </c>
    </row>
    <row r="1445" spans="1:5" x14ac:dyDescent="0.25">
      <c r="A1445" s="7" t="s">
        <v>28</v>
      </c>
      <c r="B1445">
        <v>2019</v>
      </c>
      <c r="C1445" s="7" t="s">
        <v>40</v>
      </c>
      <c r="D1445" s="7" t="s">
        <v>19</v>
      </c>
      <c r="E1445">
        <v>153.30000000000001</v>
      </c>
    </row>
    <row r="1446" spans="1:5" x14ac:dyDescent="0.25">
      <c r="A1446" s="7" t="s">
        <v>28</v>
      </c>
      <c r="B1446">
        <v>2019</v>
      </c>
      <c r="C1446" s="7" t="s">
        <v>40</v>
      </c>
      <c r="D1446" s="7" t="s">
        <v>51</v>
      </c>
      <c r="E1446">
        <v>147.69999999999999</v>
      </c>
    </row>
    <row r="1447" spans="1:5" x14ac:dyDescent="0.25">
      <c r="A1447" s="7" t="s">
        <v>28</v>
      </c>
      <c r="B1447">
        <v>2019</v>
      </c>
      <c r="C1447" s="7" t="s">
        <v>40</v>
      </c>
      <c r="D1447" s="7" t="s">
        <v>26</v>
      </c>
      <c r="E1447">
        <v>1031.3999999999999</v>
      </c>
    </row>
    <row r="1448" spans="1:5" x14ac:dyDescent="0.25">
      <c r="A1448" s="7" t="s">
        <v>30</v>
      </c>
      <c r="B1448">
        <v>2019</v>
      </c>
      <c r="C1448" s="7" t="s">
        <v>40</v>
      </c>
      <c r="D1448" s="7" t="s">
        <v>48</v>
      </c>
      <c r="E1448">
        <v>1902.6000000000001</v>
      </c>
    </row>
    <row r="1449" spans="1:5" x14ac:dyDescent="0.25">
      <c r="A1449" s="7" t="s">
        <v>30</v>
      </c>
      <c r="B1449">
        <v>2019</v>
      </c>
      <c r="C1449" s="7" t="s">
        <v>40</v>
      </c>
      <c r="D1449" s="7" t="s">
        <v>49</v>
      </c>
      <c r="E1449">
        <v>169.3</v>
      </c>
    </row>
    <row r="1450" spans="1:5" x14ac:dyDescent="0.25">
      <c r="A1450" s="7" t="s">
        <v>30</v>
      </c>
      <c r="B1450">
        <v>2019</v>
      </c>
      <c r="C1450" s="7" t="s">
        <v>40</v>
      </c>
      <c r="D1450" s="7" t="s">
        <v>50</v>
      </c>
      <c r="E1450">
        <v>422.20000000000005</v>
      </c>
    </row>
    <row r="1451" spans="1:5" x14ac:dyDescent="0.25">
      <c r="A1451" s="7" t="s">
        <v>30</v>
      </c>
      <c r="B1451">
        <v>2019</v>
      </c>
      <c r="C1451" s="7" t="s">
        <v>40</v>
      </c>
      <c r="D1451" s="7" t="s">
        <v>19</v>
      </c>
      <c r="E1451">
        <v>153</v>
      </c>
    </row>
    <row r="1452" spans="1:5" x14ac:dyDescent="0.25">
      <c r="A1452" s="7" t="s">
        <v>30</v>
      </c>
      <c r="B1452">
        <v>2019</v>
      </c>
      <c r="C1452" s="7" t="s">
        <v>40</v>
      </c>
      <c r="D1452" s="7" t="s">
        <v>51</v>
      </c>
      <c r="E1452">
        <v>128.9</v>
      </c>
    </row>
    <row r="1453" spans="1:5" x14ac:dyDescent="0.25">
      <c r="A1453" s="7" t="s">
        <v>30</v>
      </c>
      <c r="B1453">
        <v>2019</v>
      </c>
      <c r="C1453" s="7" t="s">
        <v>40</v>
      </c>
      <c r="D1453" s="7" t="s">
        <v>26</v>
      </c>
      <c r="E1453">
        <v>966</v>
      </c>
    </row>
    <row r="1454" spans="1:5" x14ac:dyDescent="0.25">
      <c r="A1454" s="7" t="s">
        <v>31</v>
      </c>
      <c r="B1454">
        <v>2019</v>
      </c>
      <c r="C1454" s="7" t="s">
        <v>40</v>
      </c>
      <c r="D1454" s="7" t="s">
        <v>48</v>
      </c>
      <c r="E1454">
        <v>1885.5999999999997</v>
      </c>
    </row>
    <row r="1455" spans="1:5" x14ac:dyDescent="0.25">
      <c r="A1455" s="7" t="s">
        <v>31</v>
      </c>
      <c r="B1455">
        <v>2019</v>
      </c>
      <c r="C1455" s="7" t="s">
        <v>40</v>
      </c>
      <c r="D1455" s="7" t="s">
        <v>49</v>
      </c>
      <c r="E1455">
        <v>167.1</v>
      </c>
    </row>
    <row r="1456" spans="1:5" x14ac:dyDescent="0.25">
      <c r="A1456" s="7" t="s">
        <v>31</v>
      </c>
      <c r="B1456">
        <v>2019</v>
      </c>
      <c r="C1456" s="7" t="s">
        <v>40</v>
      </c>
      <c r="D1456" s="7" t="s">
        <v>50</v>
      </c>
      <c r="E1456">
        <v>438.40000000000003</v>
      </c>
    </row>
    <row r="1457" spans="1:5" x14ac:dyDescent="0.25">
      <c r="A1457" s="7" t="s">
        <v>31</v>
      </c>
      <c r="B1457">
        <v>2019</v>
      </c>
      <c r="C1457" s="7" t="s">
        <v>40</v>
      </c>
      <c r="D1457" s="7" t="s">
        <v>19</v>
      </c>
      <c r="E1457">
        <v>153</v>
      </c>
    </row>
    <row r="1458" spans="1:5" x14ac:dyDescent="0.25">
      <c r="A1458" s="7" t="s">
        <v>31</v>
      </c>
      <c r="B1458">
        <v>2019</v>
      </c>
      <c r="C1458" s="7" t="s">
        <v>40</v>
      </c>
      <c r="D1458" s="7" t="s">
        <v>51</v>
      </c>
      <c r="E1458">
        <v>140.6</v>
      </c>
    </row>
    <row r="1459" spans="1:5" x14ac:dyDescent="0.25">
      <c r="A1459" s="7" t="s">
        <v>31</v>
      </c>
      <c r="B1459">
        <v>2019</v>
      </c>
      <c r="C1459" s="7" t="s">
        <v>40</v>
      </c>
      <c r="D1459" s="7" t="s">
        <v>26</v>
      </c>
      <c r="E1459">
        <v>998.8</v>
      </c>
    </row>
    <row r="1460" spans="1:5" x14ac:dyDescent="0.25">
      <c r="A1460" s="7" t="s">
        <v>28</v>
      </c>
      <c r="B1460">
        <v>2019</v>
      </c>
      <c r="C1460" s="7" t="s">
        <v>42</v>
      </c>
      <c r="D1460" s="7" t="s">
        <v>48</v>
      </c>
      <c r="E1460">
        <v>1904.6000000000001</v>
      </c>
    </row>
    <row r="1461" spans="1:5" x14ac:dyDescent="0.25">
      <c r="A1461" s="7" t="s">
        <v>28</v>
      </c>
      <c r="B1461">
        <v>2019</v>
      </c>
      <c r="C1461" s="7" t="s">
        <v>42</v>
      </c>
      <c r="D1461" s="7" t="s">
        <v>49</v>
      </c>
      <c r="E1461">
        <v>167.2</v>
      </c>
    </row>
    <row r="1462" spans="1:5" x14ac:dyDescent="0.25">
      <c r="A1462" s="7" t="s">
        <v>28</v>
      </c>
      <c r="B1462">
        <v>2019</v>
      </c>
      <c r="C1462" s="7" t="s">
        <v>42</v>
      </c>
      <c r="D1462" s="7" t="s">
        <v>50</v>
      </c>
      <c r="E1462">
        <v>450.8</v>
      </c>
    </row>
    <row r="1463" spans="1:5" x14ac:dyDescent="0.25">
      <c r="A1463" s="7" t="s">
        <v>28</v>
      </c>
      <c r="B1463">
        <v>2019</v>
      </c>
      <c r="C1463" s="7" t="s">
        <v>42</v>
      </c>
      <c r="D1463" s="7" t="s">
        <v>19</v>
      </c>
      <c r="E1463">
        <v>153.19999999999999</v>
      </c>
    </row>
    <row r="1464" spans="1:5" x14ac:dyDescent="0.25">
      <c r="A1464" s="7" t="s">
        <v>28</v>
      </c>
      <c r="B1464">
        <v>2019</v>
      </c>
      <c r="C1464" s="7" t="s">
        <v>42</v>
      </c>
      <c r="D1464" s="7" t="s">
        <v>51</v>
      </c>
      <c r="E1464">
        <v>148.4</v>
      </c>
    </row>
    <row r="1465" spans="1:5" x14ac:dyDescent="0.25">
      <c r="A1465" s="7" t="s">
        <v>28</v>
      </c>
      <c r="B1465">
        <v>2019</v>
      </c>
      <c r="C1465" s="7" t="s">
        <v>42</v>
      </c>
      <c r="D1465" s="7" t="s">
        <v>26</v>
      </c>
      <c r="E1465">
        <v>1033.9000000000001</v>
      </c>
    </row>
    <row r="1466" spans="1:5" x14ac:dyDescent="0.25">
      <c r="A1466" s="7" t="s">
        <v>30</v>
      </c>
      <c r="B1466">
        <v>2019</v>
      </c>
      <c r="C1466" s="7" t="s">
        <v>42</v>
      </c>
      <c r="D1466" s="7" t="s">
        <v>48</v>
      </c>
      <c r="E1466">
        <v>1923.9999999999998</v>
      </c>
    </row>
    <row r="1467" spans="1:5" x14ac:dyDescent="0.25">
      <c r="A1467" s="7" t="s">
        <v>30</v>
      </c>
      <c r="B1467">
        <v>2019</v>
      </c>
      <c r="C1467" s="7" t="s">
        <v>42</v>
      </c>
      <c r="D1467" s="7" t="s">
        <v>49</v>
      </c>
      <c r="E1467">
        <v>169.9</v>
      </c>
    </row>
    <row r="1468" spans="1:5" x14ac:dyDescent="0.25">
      <c r="A1468" s="7" t="s">
        <v>30</v>
      </c>
      <c r="B1468">
        <v>2019</v>
      </c>
      <c r="C1468" s="7" t="s">
        <v>42</v>
      </c>
      <c r="D1468" s="7" t="s">
        <v>50</v>
      </c>
      <c r="E1468">
        <v>423.09999999999997</v>
      </c>
    </row>
    <row r="1469" spans="1:5" x14ac:dyDescent="0.25">
      <c r="A1469" s="7" t="s">
        <v>30</v>
      </c>
      <c r="B1469">
        <v>2019</v>
      </c>
      <c r="C1469" s="7" t="s">
        <v>42</v>
      </c>
      <c r="D1469" s="7" t="s">
        <v>19</v>
      </c>
      <c r="E1469">
        <v>153.5</v>
      </c>
    </row>
    <row r="1470" spans="1:5" x14ac:dyDescent="0.25">
      <c r="A1470" s="7" t="s">
        <v>30</v>
      </c>
      <c r="B1470">
        <v>2019</v>
      </c>
      <c r="C1470" s="7" t="s">
        <v>42</v>
      </c>
      <c r="D1470" s="7" t="s">
        <v>51</v>
      </c>
      <c r="E1470">
        <v>132.19999999999999</v>
      </c>
    </row>
    <row r="1471" spans="1:5" x14ac:dyDescent="0.25">
      <c r="A1471" s="7" t="s">
        <v>30</v>
      </c>
      <c r="B1471">
        <v>2019</v>
      </c>
      <c r="C1471" s="7" t="s">
        <v>42</v>
      </c>
      <c r="D1471" s="7" t="s">
        <v>26</v>
      </c>
      <c r="E1471">
        <v>968.19999999999982</v>
      </c>
    </row>
    <row r="1472" spans="1:5" x14ac:dyDescent="0.25">
      <c r="A1472" s="7" t="s">
        <v>31</v>
      </c>
      <c r="B1472">
        <v>2019</v>
      </c>
      <c r="C1472" s="7" t="s">
        <v>42</v>
      </c>
      <c r="D1472" s="7" t="s">
        <v>48</v>
      </c>
      <c r="E1472">
        <v>1910.9</v>
      </c>
    </row>
    <row r="1473" spans="1:5" x14ac:dyDescent="0.25">
      <c r="A1473" s="7" t="s">
        <v>31</v>
      </c>
      <c r="B1473">
        <v>2019</v>
      </c>
      <c r="C1473" s="7" t="s">
        <v>42</v>
      </c>
      <c r="D1473" s="7" t="s">
        <v>49</v>
      </c>
      <c r="E1473">
        <v>167.9</v>
      </c>
    </row>
    <row r="1474" spans="1:5" x14ac:dyDescent="0.25">
      <c r="A1474" s="7" t="s">
        <v>31</v>
      </c>
      <c r="B1474">
        <v>2019</v>
      </c>
      <c r="C1474" s="7" t="s">
        <v>42</v>
      </c>
      <c r="D1474" s="7" t="s">
        <v>50</v>
      </c>
      <c r="E1474">
        <v>439.5</v>
      </c>
    </row>
    <row r="1475" spans="1:5" x14ac:dyDescent="0.25">
      <c r="A1475" s="7" t="s">
        <v>31</v>
      </c>
      <c r="B1475">
        <v>2019</v>
      </c>
      <c r="C1475" s="7" t="s">
        <v>42</v>
      </c>
      <c r="D1475" s="7" t="s">
        <v>19</v>
      </c>
      <c r="E1475">
        <v>153.5</v>
      </c>
    </row>
    <row r="1476" spans="1:5" x14ac:dyDescent="0.25">
      <c r="A1476" s="7" t="s">
        <v>31</v>
      </c>
      <c r="B1476">
        <v>2019</v>
      </c>
      <c r="C1476" s="7" t="s">
        <v>42</v>
      </c>
      <c r="D1476" s="7" t="s">
        <v>51</v>
      </c>
      <c r="E1476">
        <v>142.30000000000001</v>
      </c>
    </row>
    <row r="1477" spans="1:5" x14ac:dyDescent="0.25">
      <c r="A1477" s="7" t="s">
        <v>31</v>
      </c>
      <c r="B1477">
        <v>2019</v>
      </c>
      <c r="C1477" s="7" t="s">
        <v>42</v>
      </c>
      <c r="D1477" s="7" t="s">
        <v>26</v>
      </c>
      <c r="E1477">
        <v>1001</v>
      </c>
    </row>
    <row r="1478" spans="1:5" x14ac:dyDescent="0.25">
      <c r="A1478" s="7" t="s">
        <v>28</v>
      </c>
      <c r="B1478">
        <v>2019</v>
      </c>
      <c r="C1478" s="7" t="s">
        <v>43</v>
      </c>
      <c r="D1478" s="7" t="s">
        <v>48</v>
      </c>
      <c r="E1478">
        <v>1940.9999999999995</v>
      </c>
    </row>
    <row r="1479" spans="1:5" x14ac:dyDescent="0.25">
      <c r="A1479" s="7" t="s">
        <v>28</v>
      </c>
      <c r="B1479">
        <v>2019</v>
      </c>
      <c r="C1479" s="7" t="s">
        <v>43</v>
      </c>
      <c r="D1479" s="7" t="s">
        <v>49</v>
      </c>
      <c r="E1479">
        <v>167.8</v>
      </c>
    </row>
    <row r="1480" spans="1:5" x14ac:dyDescent="0.25">
      <c r="A1480" s="7" t="s">
        <v>28</v>
      </c>
      <c r="B1480">
        <v>2019</v>
      </c>
      <c r="C1480" s="7" t="s">
        <v>43</v>
      </c>
      <c r="D1480" s="7" t="s">
        <v>50</v>
      </c>
      <c r="E1480">
        <v>451.79999999999995</v>
      </c>
    </row>
    <row r="1481" spans="1:5" x14ac:dyDescent="0.25">
      <c r="A1481" s="7" t="s">
        <v>28</v>
      </c>
      <c r="B1481">
        <v>2019</v>
      </c>
      <c r="C1481" s="7" t="s">
        <v>43</v>
      </c>
      <c r="D1481" s="7" t="s">
        <v>19</v>
      </c>
      <c r="E1481">
        <v>153.4</v>
      </c>
    </row>
    <row r="1482" spans="1:5" x14ac:dyDescent="0.25">
      <c r="A1482" s="7" t="s">
        <v>28</v>
      </c>
      <c r="B1482">
        <v>2019</v>
      </c>
      <c r="C1482" s="7" t="s">
        <v>43</v>
      </c>
      <c r="D1482" s="7" t="s">
        <v>51</v>
      </c>
      <c r="E1482">
        <v>149.9</v>
      </c>
    </row>
    <row r="1483" spans="1:5" x14ac:dyDescent="0.25">
      <c r="A1483" s="7" t="s">
        <v>28</v>
      </c>
      <c r="B1483">
        <v>2019</v>
      </c>
      <c r="C1483" s="7" t="s">
        <v>43</v>
      </c>
      <c r="D1483" s="7" t="s">
        <v>26</v>
      </c>
      <c r="E1483">
        <v>1039.3</v>
      </c>
    </row>
    <row r="1484" spans="1:5" x14ac:dyDescent="0.25">
      <c r="A1484" s="7" t="s">
        <v>30</v>
      </c>
      <c r="B1484">
        <v>2019</v>
      </c>
      <c r="C1484" s="7" t="s">
        <v>43</v>
      </c>
      <c r="D1484" s="7" t="s">
        <v>48</v>
      </c>
      <c r="E1484">
        <v>1956.7</v>
      </c>
    </row>
    <row r="1485" spans="1:5" x14ac:dyDescent="0.25">
      <c r="A1485" s="7" t="s">
        <v>30</v>
      </c>
      <c r="B1485">
        <v>2019</v>
      </c>
      <c r="C1485" s="7" t="s">
        <v>43</v>
      </c>
      <c r="D1485" s="7" t="s">
        <v>49</v>
      </c>
      <c r="E1485">
        <v>170.4</v>
      </c>
    </row>
    <row r="1486" spans="1:5" x14ac:dyDescent="0.25">
      <c r="A1486" s="7" t="s">
        <v>30</v>
      </c>
      <c r="B1486">
        <v>2019</v>
      </c>
      <c r="C1486" s="7" t="s">
        <v>43</v>
      </c>
      <c r="D1486" s="7" t="s">
        <v>50</v>
      </c>
      <c r="E1486">
        <v>424.20000000000005</v>
      </c>
    </row>
    <row r="1487" spans="1:5" x14ac:dyDescent="0.25">
      <c r="A1487" s="7" t="s">
        <v>30</v>
      </c>
      <c r="B1487">
        <v>2019</v>
      </c>
      <c r="C1487" s="7" t="s">
        <v>43</v>
      </c>
      <c r="D1487" s="7" t="s">
        <v>19</v>
      </c>
      <c r="E1487">
        <v>152.80000000000001</v>
      </c>
    </row>
    <row r="1488" spans="1:5" x14ac:dyDescent="0.25">
      <c r="A1488" s="7" t="s">
        <v>30</v>
      </c>
      <c r="B1488">
        <v>2019</v>
      </c>
      <c r="C1488" s="7" t="s">
        <v>43</v>
      </c>
      <c r="D1488" s="7" t="s">
        <v>51</v>
      </c>
      <c r="E1488">
        <v>133.6</v>
      </c>
    </row>
    <row r="1489" spans="1:5" x14ac:dyDescent="0.25">
      <c r="A1489" s="7" t="s">
        <v>30</v>
      </c>
      <c r="B1489">
        <v>2019</v>
      </c>
      <c r="C1489" s="7" t="s">
        <v>43</v>
      </c>
      <c r="D1489" s="7" t="s">
        <v>26</v>
      </c>
      <c r="E1489">
        <v>974.8</v>
      </c>
    </row>
    <row r="1490" spans="1:5" x14ac:dyDescent="0.25">
      <c r="A1490" s="7" t="s">
        <v>31</v>
      </c>
      <c r="B1490">
        <v>2019</v>
      </c>
      <c r="C1490" s="7" t="s">
        <v>43</v>
      </c>
      <c r="D1490" s="7" t="s">
        <v>48</v>
      </c>
      <c r="E1490">
        <v>1946.1000000000001</v>
      </c>
    </row>
    <row r="1491" spans="1:5" x14ac:dyDescent="0.25">
      <c r="A1491" s="7" t="s">
        <v>31</v>
      </c>
      <c r="B1491">
        <v>2019</v>
      </c>
      <c r="C1491" s="7" t="s">
        <v>43</v>
      </c>
      <c r="D1491" s="7" t="s">
        <v>49</v>
      </c>
      <c r="E1491">
        <v>168.5</v>
      </c>
    </row>
    <row r="1492" spans="1:5" x14ac:dyDescent="0.25">
      <c r="A1492" s="7" t="s">
        <v>31</v>
      </c>
      <c r="B1492">
        <v>2019</v>
      </c>
      <c r="C1492" s="7" t="s">
        <v>43</v>
      </c>
      <c r="D1492" s="7" t="s">
        <v>50</v>
      </c>
      <c r="E1492">
        <v>440.6</v>
      </c>
    </row>
    <row r="1493" spans="1:5" x14ac:dyDescent="0.25">
      <c r="A1493" s="7" t="s">
        <v>31</v>
      </c>
      <c r="B1493">
        <v>2019</v>
      </c>
      <c r="C1493" s="7" t="s">
        <v>43</v>
      </c>
      <c r="D1493" s="7" t="s">
        <v>19</v>
      </c>
      <c r="E1493">
        <v>152.80000000000001</v>
      </c>
    </row>
    <row r="1494" spans="1:5" x14ac:dyDescent="0.25">
      <c r="A1494" s="7" t="s">
        <v>31</v>
      </c>
      <c r="B1494">
        <v>2019</v>
      </c>
      <c r="C1494" s="7" t="s">
        <v>43</v>
      </c>
      <c r="D1494" s="7" t="s">
        <v>51</v>
      </c>
      <c r="E1494">
        <v>143.69999999999999</v>
      </c>
    </row>
    <row r="1495" spans="1:5" x14ac:dyDescent="0.25">
      <c r="A1495" s="7" t="s">
        <v>31</v>
      </c>
      <c r="B1495">
        <v>2019</v>
      </c>
      <c r="C1495" s="7" t="s">
        <v>43</v>
      </c>
      <c r="D1495" s="7" t="s">
        <v>26</v>
      </c>
      <c r="E1495">
        <v>1006.9</v>
      </c>
    </row>
    <row r="1496" spans="1:5" x14ac:dyDescent="0.25">
      <c r="A1496" s="7" t="s">
        <v>28</v>
      </c>
      <c r="B1496">
        <v>2020</v>
      </c>
      <c r="C1496" s="7" t="s">
        <v>29</v>
      </c>
      <c r="D1496" s="7" t="s">
        <v>48</v>
      </c>
      <c r="E1496">
        <v>1938.6</v>
      </c>
    </row>
    <row r="1497" spans="1:5" x14ac:dyDescent="0.25">
      <c r="A1497" s="7" t="s">
        <v>28</v>
      </c>
      <c r="B1497">
        <v>2020</v>
      </c>
      <c r="C1497" s="7" t="s">
        <v>29</v>
      </c>
      <c r="D1497" s="7" t="s">
        <v>49</v>
      </c>
      <c r="E1497">
        <v>168.6</v>
      </c>
    </row>
    <row r="1498" spans="1:5" x14ac:dyDescent="0.25">
      <c r="A1498" s="7" t="s">
        <v>28</v>
      </c>
      <c r="B1498">
        <v>2020</v>
      </c>
      <c r="C1498" s="7" t="s">
        <v>29</v>
      </c>
      <c r="D1498" s="7" t="s">
        <v>50</v>
      </c>
      <c r="E1498">
        <v>452.30000000000007</v>
      </c>
    </row>
    <row r="1499" spans="1:5" x14ac:dyDescent="0.25">
      <c r="A1499" s="7" t="s">
        <v>28</v>
      </c>
      <c r="B1499">
        <v>2020</v>
      </c>
      <c r="C1499" s="7" t="s">
        <v>29</v>
      </c>
      <c r="D1499" s="7" t="s">
        <v>19</v>
      </c>
      <c r="E1499">
        <v>154.4</v>
      </c>
    </row>
    <row r="1500" spans="1:5" x14ac:dyDescent="0.25">
      <c r="A1500" s="7" t="s">
        <v>28</v>
      </c>
      <c r="B1500">
        <v>2020</v>
      </c>
      <c r="C1500" s="7" t="s">
        <v>29</v>
      </c>
      <c r="D1500" s="7" t="s">
        <v>51</v>
      </c>
      <c r="E1500">
        <v>150.4</v>
      </c>
    </row>
    <row r="1501" spans="1:5" x14ac:dyDescent="0.25">
      <c r="A1501" s="7" t="s">
        <v>28</v>
      </c>
      <c r="B1501">
        <v>2020</v>
      </c>
      <c r="C1501" s="7" t="s">
        <v>29</v>
      </c>
      <c r="D1501" s="7" t="s">
        <v>26</v>
      </c>
      <c r="E1501">
        <v>1046.0999999999999</v>
      </c>
    </row>
    <row r="1502" spans="1:5" x14ac:dyDescent="0.25">
      <c r="A1502" s="7" t="s">
        <v>30</v>
      </c>
      <c r="B1502">
        <v>2020</v>
      </c>
      <c r="C1502" s="7" t="s">
        <v>29</v>
      </c>
      <c r="D1502" s="7" t="s">
        <v>48</v>
      </c>
      <c r="E1502">
        <v>1945.3999999999999</v>
      </c>
    </row>
    <row r="1503" spans="1:5" x14ac:dyDescent="0.25">
      <c r="A1503" s="7" t="s">
        <v>30</v>
      </c>
      <c r="B1503">
        <v>2020</v>
      </c>
      <c r="C1503" s="7" t="s">
        <v>29</v>
      </c>
      <c r="D1503" s="7" t="s">
        <v>49</v>
      </c>
      <c r="E1503">
        <v>170.8</v>
      </c>
    </row>
    <row r="1504" spans="1:5" x14ac:dyDescent="0.25">
      <c r="A1504" s="7" t="s">
        <v>30</v>
      </c>
      <c r="B1504">
        <v>2020</v>
      </c>
      <c r="C1504" s="7" t="s">
        <v>29</v>
      </c>
      <c r="D1504" s="7" t="s">
        <v>50</v>
      </c>
      <c r="E1504">
        <v>425.1</v>
      </c>
    </row>
    <row r="1505" spans="1:5" x14ac:dyDescent="0.25">
      <c r="A1505" s="7" t="s">
        <v>30</v>
      </c>
      <c r="B1505">
        <v>2020</v>
      </c>
      <c r="C1505" s="7" t="s">
        <v>29</v>
      </c>
      <c r="D1505" s="7" t="s">
        <v>19</v>
      </c>
      <c r="E1505">
        <v>153.9</v>
      </c>
    </row>
    <row r="1506" spans="1:5" x14ac:dyDescent="0.25">
      <c r="A1506" s="7" t="s">
        <v>30</v>
      </c>
      <c r="B1506">
        <v>2020</v>
      </c>
      <c r="C1506" s="7" t="s">
        <v>29</v>
      </c>
      <c r="D1506" s="7" t="s">
        <v>51</v>
      </c>
      <c r="E1506">
        <v>135.1</v>
      </c>
    </row>
    <row r="1507" spans="1:5" x14ac:dyDescent="0.25">
      <c r="A1507" s="7" t="s">
        <v>30</v>
      </c>
      <c r="B1507">
        <v>2020</v>
      </c>
      <c r="C1507" s="7" t="s">
        <v>29</v>
      </c>
      <c r="D1507" s="7" t="s">
        <v>26</v>
      </c>
      <c r="E1507">
        <v>979.80000000000007</v>
      </c>
    </row>
    <row r="1508" spans="1:5" x14ac:dyDescent="0.25">
      <c r="A1508" s="7" t="s">
        <v>31</v>
      </c>
      <c r="B1508">
        <v>2020</v>
      </c>
      <c r="C1508" s="7" t="s">
        <v>29</v>
      </c>
      <c r="D1508" s="7" t="s">
        <v>48</v>
      </c>
      <c r="E1508">
        <v>1940.3999999999999</v>
      </c>
    </row>
    <row r="1509" spans="1:5" x14ac:dyDescent="0.25">
      <c r="A1509" s="7" t="s">
        <v>31</v>
      </c>
      <c r="B1509">
        <v>2020</v>
      </c>
      <c r="C1509" s="7" t="s">
        <v>29</v>
      </c>
      <c r="D1509" s="7" t="s">
        <v>49</v>
      </c>
      <c r="E1509">
        <v>169.2</v>
      </c>
    </row>
    <row r="1510" spans="1:5" x14ac:dyDescent="0.25">
      <c r="A1510" s="7" t="s">
        <v>31</v>
      </c>
      <c r="B1510">
        <v>2020</v>
      </c>
      <c r="C1510" s="7" t="s">
        <v>29</v>
      </c>
      <c r="D1510" s="7" t="s">
        <v>50</v>
      </c>
      <c r="E1510">
        <v>441.2</v>
      </c>
    </row>
    <row r="1511" spans="1:5" x14ac:dyDescent="0.25">
      <c r="A1511" s="7" t="s">
        <v>31</v>
      </c>
      <c r="B1511">
        <v>2020</v>
      </c>
      <c r="C1511" s="7" t="s">
        <v>29</v>
      </c>
      <c r="D1511" s="7" t="s">
        <v>19</v>
      </c>
      <c r="E1511">
        <v>153.9</v>
      </c>
    </row>
    <row r="1512" spans="1:5" x14ac:dyDescent="0.25">
      <c r="A1512" s="7" t="s">
        <v>31</v>
      </c>
      <c r="B1512">
        <v>2020</v>
      </c>
      <c r="C1512" s="7" t="s">
        <v>29</v>
      </c>
      <c r="D1512" s="7" t="s">
        <v>51</v>
      </c>
      <c r="E1512">
        <v>144.6</v>
      </c>
    </row>
    <row r="1513" spans="1:5" x14ac:dyDescent="0.25">
      <c r="A1513" s="7" t="s">
        <v>31</v>
      </c>
      <c r="B1513">
        <v>2020</v>
      </c>
      <c r="C1513" s="7" t="s">
        <v>29</v>
      </c>
      <c r="D1513" s="7" t="s">
        <v>26</v>
      </c>
      <c r="E1513">
        <v>1012.9</v>
      </c>
    </row>
    <row r="1514" spans="1:5" x14ac:dyDescent="0.25">
      <c r="A1514" s="7" t="s">
        <v>28</v>
      </c>
      <c r="B1514">
        <v>2020</v>
      </c>
      <c r="C1514" s="7" t="s">
        <v>32</v>
      </c>
      <c r="D1514" s="7" t="s">
        <v>48</v>
      </c>
      <c r="E1514">
        <v>1909.7999999999997</v>
      </c>
    </row>
    <row r="1515" spans="1:5" x14ac:dyDescent="0.25">
      <c r="A1515" s="7" t="s">
        <v>28</v>
      </c>
      <c r="B1515">
        <v>2020</v>
      </c>
      <c r="C1515" s="7" t="s">
        <v>32</v>
      </c>
      <c r="D1515" s="7" t="s">
        <v>49</v>
      </c>
      <c r="E1515">
        <v>169.4</v>
      </c>
    </row>
    <row r="1516" spans="1:5" x14ac:dyDescent="0.25">
      <c r="A1516" s="7" t="s">
        <v>28</v>
      </c>
      <c r="B1516">
        <v>2020</v>
      </c>
      <c r="C1516" s="7" t="s">
        <v>32</v>
      </c>
      <c r="D1516" s="7" t="s">
        <v>50</v>
      </c>
      <c r="E1516">
        <v>452.8</v>
      </c>
    </row>
    <row r="1517" spans="1:5" x14ac:dyDescent="0.25">
      <c r="A1517" s="7" t="s">
        <v>28</v>
      </c>
      <c r="B1517">
        <v>2020</v>
      </c>
      <c r="C1517" s="7" t="s">
        <v>32</v>
      </c>
      <c r="D1517" s="7" t="s">
        <v>19</v>
      </c>
      <c r="E1517">
        <v>154.69999999999999</v>
      </c>
    </row>
    <row r="1518" spans="1:5" x14ac:dyDescent="0.25">
      <c r="A1518" s="7" t="s">
        <v>28</v>
      </c>
      <c r="B1518">
        <v>2020</v>
      </c>
      <c r="C1518" s="7" t="s">
        <v>32</v>
      </c>
      <c r="D1518" s="7" t="s">
        <v>51</v>
      </c>
      <c r="E1518">
        <v>152.30000000000001</v>
      </c>
    </row>
    <row r="1519" spans="1:5" x14ac:dyDescent="0.25">
      <c r="A1519" s="7" t="s">
        <v>28</v>
      </c>
      <c r="B1519">
        <v>2020</v>
      </c>
      <c r="C1519" s="7" t="s">
        <v>32</v>
      </c>
      <c r="D1519" s="7" t="s">
        <v>26</v>
      </c>
      <c r="E1519">
        <v>1048.0999999999999</v>
      </c>
    </row>
    <row r="1520" spans="1:5" x14ac:dyDescent="0.25">
      <c r="A1520" s="7" t="s">
        <v>30</v>
      </c>
      <c r="B1520">
        <v>2020</v>
      </c>
      <c r="C1520" s="7" t="s">
        <v>32</v>
      </c>
      <c r="D1520" s="7" t="s">
        <v>48</v>
      </c>
      <c r="E1520">
        <v>1916.6</v>
      </c>
    </row>
    <row r="1521" spans="1:5" x14ac:dyDescent="0.25">
      <c r="A1521" s="7" t="s">
        <v>30</v>
      </c>
      <c r="B1521">
        <v>2020</v>
      </c>
      <c r="C1521" s="7" t="s">
        <v>32</v>
      </c>
      <c r="D1521" s="7" t="s">
        <v>49</v>
      </c>
      <c r="E1521">
        <v>172</v>
      </c>
    </row>
    <row r="1522" spans="1:5" x14ac:dyDescent="0.25">
      <c r="A1522" s="7" t="s">
        <v>30</v>
      </c>
      <c r="B1522">
        <v>2020</v>
      </c>
      <c r="C1522" s="7" t="s">
        <v>32</v>
      </c>
      <c r="D1522" s="7" t="s">
        <v>50</v>
      </c>
      <c r="E1522">
        <v>426</v>
      </c>
    </row>
    <row r="1523" spans="1:5" x14ac:dyDescent="0.25">
      <c r="A1523" s="7" t="s">
        <v>30</v>
      </c>
      <c r="B1523">
        <v>2020</v>
      </c>
      <c r="C1523" s="7" t="s">
        <v>32</v>
      </c>
      <c r="D1523" s="7" t="s">
        <v>19</v>
      </c>
      <c r="E1523">
        <v>154.80000000000001</v>
      </c>
    </row>
    <row r="1524" spans="1:5" x14ac:dyDescent="0.25">
      <c r="A1524" s="7" t="s">
        <v>30</v>
      </c>
      <c r="B1524">
        <v>2020</v>
      </c>
      <c r="C1524" s="7" t="s">
        <v>32</v>
      </c>
      <c r="D1524" s="7" t="s">
        <v>51</v>
      </c>
      <c r="E1524">
        <v>138.9</v>
      </c>
    </row>
    <row r="1525" spans="1:5" x14ac:dyDescent="0.25">
      <c r="A1525" s="7" t="s">
        <v>30</v>
      </c>
      <c r="B1525">
        <v>2020</v>
      </c>
      <c r="C1525" s="7" t="s">
        <v>32</v>
      </c>
      <c r="D1525" s="7" t="s">
        <v>26</v>
      </c>
      <c r="E1525">
        <v>981.80000000000007</v>
      </c>
    </row>
    <row r="1526" spans="1:5" x14ac:dyDescent="0.25">
      <c r="A1526" s="7" t="s">
        <v>31</v>
      </c>
      <c r="B1526">
        <v>2020</v>
      </c>
      <c r="C1526" s="7" t="s">
        <v>32</v>
      </c>
      <c r="D1526" s="7" t="s">
        <v>48</v>
      </c>
      <c r="E1526">
        <v>1911.6</v>
      </c>
    </row>
    <row r="1527" spans="1:5" x14ac:dyDescent="0.25">
      <c r="A1527" s="7" t="s">
        <v>31</v>
      </c>
      <c r="B1527">
        <v>2020</v>
      </c>
      <c r="C1527" s="7" t="s">
        <v>32</v>
      </c>
      <c r="D1527" s="7" t="s">
        <v>49</v>
      </c>
      <c r="E1527">
        <v>170.1</v>
      </c>
    </row>
    <row r="1528" spans="1:5" x14ac:dyDescent="0.25">
      <c r="A1528" s="7" t="s">
        <v>31</v>
      </c>
      <c r="B1528">
        <v>2020</v>
      </c>
      <c r="C1528" s="7" t="s">
        <v>32</v>
      </c>
      <c r="D1528" s="7" t="s">
        <v>50</v>
      </c>
      <c r="E1528">
        <v>442</v>
      </c>
    </row>
    <row r="1529" spans="1:5" x14ac:dyDescent="0.25">
      <c r="A1529" s="7" t="s">
        <v>31</v>
      </c>
      <c r="B1529">
        <v>2020</v>
      </c>
      <c r="C1529" s="7" t="s">
        <v>32</v>
      </c>
      <c r="D1529" s="7" t="s">
        <v>19</v>
      </c>
      <c r="E1529">
        <v>154.80000000000001</v>
      </c>
    </row>
    <row r="1530" spans="1:5" x14ac:dyDescent="0.25">
      <c r="A1530" s="7" t="s">
        <v>31</v>
      </c>
      <c r="B1530">
        <v>2020</v>
      </c>
      <c r="C1530" s="7" t="s">
        <v>32</v>
      </c>
      <c r="D1530" s="7" t="s">
        <v>51</v>
      </c>
      <c r="E1530">
        <v>147.19999999999999</v>
      </c>
    </row>
    <row r="1531" spans="1:5" x14ac:dyDescent="0.25">
      <c r="A1531" s="7" t="s">
        <v>31</v>
      </c>
      <c r="B1531">
        <v>2020</v>
      </c>
      <c r="C1531" s="7" t="s">
        <v>32</v>
      </c>
      <c r="D1531" s="7" t="s">
        <v>26</v>
      </c>
      <c r="E1531">
        <v>1014.8</v>
      </c>
    </row>
    <row r="1532" spans="1:5" x14ac:dyDescent="0.25">
      <c r="A1532" s="7" t="s">
        <v>28</v>
      </c>
      <c r="B1532">
        <v>2020</v>
      </c>
      <c r="C1532" s="7" t="s">
        <v>33</v>
      </c>
      <c r="D1532" s="7" t="s">
        <v>48</v>
      </c>
      <c r="E1532">
        <v>1894.5999999999997</v>
      </c>
    </row>
    <row r="1533" spans="1:5" x14ac:dyDescent="0.25">
      <c r="A1533" s="7" t="s">
        <v>28</v>
      </c>
      <c r="B1533">
        <v>2020</v>
      </c>
      <c r="C1533" s="7" t="s">
        <v>33</v>
      </c>
      <c r="D1533" s="7" t="s">
        <v>49</v>
      </c>
      <c r="E1533">
        <v>170.5</v>
      </c>
    </row>
    <row r="1534" spans="1:5" x14ac:dyDescent="0.25">
      <c r="A1534" s="7" t="s">
        <v>28</v>
      </c>
      <c r="B1534">
        <v>2020</v>
      </c>
      <c r="C1534" s="7" t="s">
        <v>33</v>
      </c>
      <c r="D1534" s="7" t="s">
        <v>50</v>
      </c>
      <c r="E1534">
        <v>453.5</v>
      </c>
    </row>
    <row r="1535" spans="1:5" x14ac:dyDescent="0.25">
      <c r="A1535" s="7" t="s">
        <v>28</v>
      </c>
      <c r="B1535">
        <v>2020</v>
      </c>
      <c r="C1535" s="7" t="s">
        <v>33</v>
      </c>
      <c r="D1535" s="7" t="s">
        <v>19</v>
      </c>
      <c r="E1535">
        <v>155.1</v>
      </c>
    </row>
    <row r="1536" spans="1:5" x14ac:dyDescent="0.25">
      <c r="A1536" s="7" t="s">
        <v>28</v>
      </c>
      <c r="B1536">
        <v>2020</v>
      </c>
      <c r="C1536" s="7" t="s">
        <v>33</v>
      </c>
      <c r="D1536" s="7" t="s">
        <v>51</v>
      </c>
      <c r="E1536">
        <v>153.4</v>
      </c>
    </row>
    <row r="1537" spans="1:5" x14ac:dyDescent="0.25">
      <c r="A1537" s="7" t="s">
        <v>28</v>
      </c>
      <c r="B1537">
        <v>2020</v>
      </c>
      <c r="C1537" s="7" t="s">
        <v>33</v>
      </c>
      <c r="D1537" s="7" t="s">
        <v>26</v>
      </c>
      <c r="E1537">
        <v>1050.1000000000001</v>
      </c>
    </row>
    <row r="1538" spans="1:5" x14ac:dyDescent="0.25">
      <c r="A1538" s="7" t="s">
        <v>30</v>
      </c>
      <c r="B1538">
        <v>2020</v>
      </c>
      <c r="C1538" s="7" t="s">
        <v>33</v>
      </c>
      <c r="D1538" s="7" t="s">
        <v>48</v>
      </c>
      <c r="E1538">
        <v>1898.5</v>
      </c>
    </row>
    <row r="1539" spans="1:5" x14ac:dyDescent="0.25">
      <c r="A1539" s="7" t="s">
        <v>30</v>
      </c>
      <c r="B1539">
        <v>2020</v>
      </c>
      <c r="C1539" s="7" t="s">
        <v>33</v>
      </c>
      <c r="D1539" s="7" t="s">
        <v>49</v>
      </c>
      <c r="E1539">
        <v>173.3</v>
      </c>
    </row>
    <row r="1540" spans="1:5" x14ac:dyDescent="0.25">
      <c r="A1540" s="7" t="s">
        <v>30</v>
      </c>
      <c r="B1540">
        <v>2020</v>
      </c>
      <c r="C1540" s="7" t="s">
        <v>33</v>
      </c>
      <c r="D1540" s="7" t="s">
        <v>50</v>
      </c>
      <c r="E1540">
        <v>427.1</v>
      </c>
    </row>
    <row r="1541" spans="1:5" x14ac:dyDescent="0.25">
      <c r="A1541" s="7" t="s">
        <v>30</v>
      </c>
      <c r="B1541">
        <v>2020</v>
      </c>
      <c r="C1541" s="7" t="s">
        <v>33</v>
      </c>
      <c r="D1541" s="7" t="s">
        <v>19</v>
      </c>
      <c r="E1541">
        <v>154.5</v>
      </c>
    </row>
    <row r="1542" spans="1:5" x14ac:dyDescent="0.25">
      <c r="A1542" s="7" t="s">
        <v>30</v>
      </c>
      <c r="B1542">
        <v>2020</v>
      </c>
      <c r="C1542" s="7" t="s">
        <v>33</v>
      </c>
      <c r="D1542" s="7" t="s">
        <v>51</v>
      </c>
      <c r="E1542">
        <v>141.4</v>
      </c>
    </row>
    <row r="1543" spans="1:5" x14ac:dyDescent="0.25">
      <c r="A1543" s="7" t="s">
        <v>30</v>
      </c>
      <c r="B1543">
        <v>2020</v>
      </c>
      <c r="C1543" s="7" t="s">
        <v>33</v>
      </c>
      <c r="D1543" s="7" t="s">
        <v>26</v>
      </c>
      <c r="E1543">
        <v>984.8</v>
      </c>
    </row>
    <row r="1544" spans="1:5" x14ac:dyDescent="0.25">
      <c r="A1544" s="7" t="s">
        <v>31</v>
      </c>
      <c r="B1544">
        <v>2020</v>
      </c>
      <c r="C1544" s="7" t="s">
        <v>33</v>
      </c>
      <c r="D1544" s="7" t="s">
        <v>48</v>
      </c>
      <c r="E1544">
        <v>1895.4</v>
      </c>
    </row>
    <row r="1545" spans="1:5" x14ac:dyDescent="0.25">
      <c r="A1545" s="7" t="s">
        <v>31</v>
      </c>
      <c r="B1545">
        <v>2020</v>
      </c>
      <c r="C1545" s="7" t="s">
        <v>33</v>
      </c>
      <c r="D1545" s="7" t="s">
        <v>49</v>
      </c>
      <c r="E1545">
        <v>171.2</v>
      </c>
    </row>
    <row r="1546" spans="1:5" x14ac:dyDescent="0.25">
      <c r="A1546" s="7" t="s">
        <v>31</v>
      </c>
      <c r="B1546">
        <v>2020</v>
      </c>
      <c r="C1546" s="7" t="s">
        <v>33</v>
      </c>
      <c r="D1546" s="7" t="s">
        <v>50</v>
      </c>
      <c r="E1546">
        <v>442.90000000000003</v>
      </c>
    </row>
    <row r="1547" spans="1:5" x14ac:dyDescent="0.25">
      <c r="A1547" s="7" t="s">
        <v>31</v>
      </c>
      <c r="B1547">
        <v>2020</v>
      </c>
      <c r="C1547" s="7" t="s">
        <v>33</v>
      </c>
      <c r="D1547" s="7" t="s">
        <v>19</v>
      </c>
      <c r="E1547">
        <v>154.5</v>
      </c>
    </row>
    <row r="1548" spans="1:5" x14ac:dyDescent="0.25">
      <c r="A1548" s="7" t="s">
        <v>31</v>
      </c>
      <c r="B1548">
        <v>2020</v>
      </c>
      <c r="C1548" s="7" t="s">
        <v>33</v>
      </c>
      <c r="D1548" s="7" t="s">
        <v>51</v>
      </c>
      <c r="E1548">
        <v>148.9</v>
      </c>
    </row>
    <row r="1549" spans="1:5" x14ac:dyDescent="0.25">
      <c r="A1549" s="7" t="s">
        <v>31</v>
      </c>
      <c r="B1549">
        <v>2020</v>
      </c>
      <c r="C1549" s="7" t="s">
        <v>33</v>
      </c>
      <c r="D1549" s="7" t="s">
        <v>26</v>
      </c>
      <c r="E1549">
        <v>1017.3999999999999</v>
      </c>
    </row>
    <row r="1550" spans="1:5" x14ac:dyDescent="0.25">
      <c r="A1550" s="7" t="s">
        <v>28</v>
      </c>
      <c r="B1550">
        <v>2020</v>
      </c>
      <c r="C1550" s="7" t="s">
        <v>34</v>
      </c>
      <c r="D1550" s="7" t="s">
        <v>48</v>
      </c>
      <c r="E1550">
        <v>1966.9</v>
      </c>
    </row>
    <row r="1551" spans="1:5" x14ac:dyDescent="0.25">
      <c r="A1551" s="7" t="s">
        <v>28</v>
      </c>
      <c r="B1551">
        <v>2020</v>
      </c>
      <c r="C1551" s="7" t="s">
        <v>34</v>
      </c>
      <c r="D1551" s="7" t="s">
        <v>49</v>
      </c>
      <c r="E1551">
        <v>182.4</v>
      </c>
    </row>
    <row r="1552" spans="1:5" x14ac:dyDescent="0.25">
      <c r="A1552" s="7" t="s">
        <v>28</v>
      </c>
      <c r="B1552">
        <v>2020</v>
      </c>
      <c r="C1552" s="7" t="s">
        <v>34</v>
      </c>
      <c r="D1552" s="7" t="s">
        <v>50</v>
      </c>
      <c r="E1552">
        <v>458.79999999999995</v>
      </c>
    </row>
    <row r="1553" spans="1:5" x14ac:dyDescent="0.25">
      <c r="A1553" s="7" t="s">
        <v>28</v>
      </c>
      <c r="B1553">
        <v>2020</v>
      </c>
      <c r="C1553" s="7" t="s">
        <v>34</v>
      </c>
      <c r="D1553" s="7" t="s">
        <v>19</v>
      </c>
      <c r="E1553">
        <v>155.6</v>
      </c>
    </row>
    <row r="1554" spans="1:5" x14ac:dyDescent="0.25">
      <c r="A1554" s="7" t="s">
        <v>28</v>
      </c>
      <c r="B1554">
        <v>2020</v>
      </c>
      <c r="C1554" s="7" t="s">
        <v>34</v>
      </c>
      <c r="D1554" s="7" t="s">
        <v>51</v>
      </c>
      <c r="E1554">
        <v>148.4</v>
      </c>
    </row>
    <row r="1555" spans="1:5" x14ac:dyDescent="0.25">
      <c r="A1555" s="7" t="s">
        <v>28</v>
      </c>
      <c r="B1555">
        <v>2020</v>
      </c>
      <c r="C1555" s="7" t="s">
        <v>34</v>
      </c>
      <c r="D1555" s="7" t="s">
        <v>26</v>
      </c>
      <c r="E1555">
        <v>1065.3</v>
      </c>
    </row>
    <row r="1556" spans="1:5" x14ac:dyDescent="0.25">
      <c r="A1556" s="7" t="s">
        <v>30</v>
      </c>
      <c r="B1556">
        <v>2020</v>
      </c>
      <c r="C1556" s="7" t="s">
        <v>34</v>
      </c>
      <c r="D1556" s="7" t="s">
        <v>48</v>
      </c>
      <c r="E1556">
        <v>1992.2</v>
      </c>
    </row>
    <row r="1557" spans="1:5" x14ac:dyDescent="0.25">
      <c r="A1557" s="7" t="s">
        <v>30</v>
      </c>
      <c r="B1557">
        <v>2020</v>
      </c>
      <c r="C1557" s="7" t="s">
        <v>34</v>
      </c>
      <c r="D1557" s="7" t="s">
        <v>49</v>
      </c>
      <c r="E1557">
        <v>184.6</v>
      </c>
    </row>
    <row r="1558" spans="1:5" x14ac:dyDescent="0.25">
      <c r="A1558" s="7" t="s">
        <v>30</v>
      </c>
      <c r="B1558">
        <v>2020</v>
      </c>
      <c r="C1558" s="7" t="s">
        <v>34</v>
      </c>
      <c r="D1558" s="7" t="s">
        <v>50</v>
      </c>
      <c r="E1558">
        <v>445.90000000000003</v>
      </c>
    </row>
    <row r="1559" spans="1:5" x14ac:dyDescent="0.25">
      <c r="A1559" s="7" t="s">
        <v>30</v>
      </c>
      <c r="B1559">
        <v>2020</v>
      </c>
      <c r="C1559" s="7" t="s">
        <v>34</v>
      </c>
      <c r="D1559" s="7" t="s">
        <v>19</v>
      </c>
      <c r="E1559">
        <v>155.6</v>
      </c>
    </row>
    <row r="1560" spans="1:5" x14ac:dyDescent="0.25">
      <c r="A1560" s="7" t="s">
        <v>30</v>
      </c>
      <c r="B1560">
        <v>2020</v>
      </c>
      <c r="C1560" s="7" t="s">
        <v>34</v>
      </c>
      <c r="D1560" s="7" t="s">
        <v>51</v>
      </c>
      <c r="E1560">
        <v>137.1</v>
      </c>
    </row>
    <row r="1561" spans="1:5" x14ac:dyDescent="0.25">
      <c r="A1561" s="7" t="s">
        <v>30</v>
      </c>
      <c r="B1561">
        <v>2020</v>
      </c>
      <c r="C1561" s="7" t="s">
        <v>34</v>
      </c>
      <c r="D1561" s="7" t="s">
        <v>26</v>
      </c>
      <c r="E1561">
        <v>1031</v>
      </c>
    </row>
    <row r="1562" spans="1:5" x14ac:dyDescent="0.25">
      <c r="A1562" s="7" t="s">
        <v>31</v>
      </c>
      <c r="B1562">
        <v>2020</v>
      </c>
      <c r="C1562" s="7" t="s">
        <v>34</v>
      </c>
      <c r="D1562" s="7" t="s">
        <v>48</v>
      </c>
      <c r="E1562">
        <v>1977.8</v>
      </c>
    </row>
    <row r="1563" spans="1:5" x14ac:dyDescent="0.25">
      <c r="A1563" s="7" t="s">
        <v>31</v>
      </c>
      <c r="B1563">
        <v>2020</v>
      </c>
      <c r="C1563" s="7" t="s">
        <v>34</v>
      </c>
      <c r="D1563" s="7" t="s">
        <v>49</v>
      </c>
      <c r="E1563">
        <v>184.2</v>
      </c>
    </row>
    <row r="1564" spans="1:5" x14ac:dyDescent="0.25">
      <c r="A1564" s="7" t="s">
        <v>31</v>
      </c>
      <c r="B1564">
        <v>2020</v>
      </c>
      <c r="C1564" s="7" t="s">
        <v>34</v>
      </c>
      <c r="D1564" s="7" t="s">
        <v>50</v>
      </c>
      <c r="E1564">
        <v>446.69999999999993</v>
      </c>
    </row>
    <row r="1565" spans="1:5" x14ac:dyDescent="0.25">
      <c r="A1565" s="7" t="s">
        <v>31</v>
      </c>
      <c r="B1565">
        <v>2020</v>
      </c>
      <c r="C1565" s="7" t="s">
        <v>34</v>
      </c>
      <c r="D1565" s="7" t="s">
        <v>19</v>
      </c>
      <c r="E1565">
        <v>155.6</v>
      </c>
    </row>
    <row r="1566" spans="1:5" x14ac:dyDescent="0.25">
      <c r="A1566" s="7" t="s">
        <v>31</v>
      </c>
      <c r="B1566">
        <v>2020</v>
      </c>
      <c r="C1566" s="7" t="s">
        <v>34</v>
      </c>
      <c r="D1566" s="7" t="s">
        <v>51</v>
      </c>
      <c r="E1566">
        <v>144.1</v>
      </c>
    </row>
    <row r="1567" spans="1:5" x14ac:dyDescent="0.25">
      <c r="A1567" s="7" t="s">
        <v>31</v>
      </c>
      <c r="B1567">
        <v>2020</v>
      </c>
      <c r="C1567" s="7" t="s">
        <v>34</v>
      </c>
      <c r="D1567" s="7" t="s">
        <v>26</v>
      </c>
      <c r="E1567">
        <v>1036.3</v>
      </c>
    </row>
    <row r="1568" spans="1:5" x14ac:dyDescent="0.25">
      <c r="A1568" s="7" t="s">
        <v>28</v>
      </c>
      <c r="B1568">
        <v>2020</v>
      </c>
      <c r="C1568" s="7" t="s">
        <v>35</v>
      </c>
      <c r="D1568" s="7" t="s">
        <v>48</v>
      </c>
      <c r="E1568">
        <v>1966.1000000000001</v>
      </c>
    </row>
    <row r="1569" spans="1:5" x14ac:dyDescent="0.25">
      <c r="A1569" s="7" t="s">
        <v>28</v>
      </c>
      <c r="B1569">
        <v>2020</v>
      </c>
      <c r="C1569" s="7" t="s">
        <v>35</v>
      </c>
      <c r="D1569" s="7" t="s">
        <v>49</v>
      </c>
      <c r="E1569">
        <v>183.8</v>
      </c>
    </row>
    <row r="1570" spans="1:5" x14ac:dyDescent="0.25">
      <c r="A1570" s="7" t="s">
        <v>28</v>
      </c>
      <c r="B1570">
        <v>2020</v>
      </c>
      <c r="C1570" s="7" t="s">
        <v>35</v>
      </c>
      <c r="D1570" s="7" t="s">
        <v>50</v>
      </c>
      <c r="E1570">
        <v>449.8</v>
      </c>
    </row>
    <row r="1571" spans="1:5" x14ac:dyDescent="0.25">
      <c r="A1571" s="7" t="s">
        <v>28</v>
      </c>
      <c r="B1571">
        <v>2020</v>
      </c>
      <c r="C1571" s="7" t="s">
        <v>35</v>
      </c>
      <c r="D1571" s="7" t="s">
        <v>19</v>
      </c>
      <c r="E1571">
        <v>154.69999999999999</v>
      </c>
    </row>
    <row r="1572" spans="1:5" x14ac:dyDescent="0.25">
      <c r="A1572" s="7" t="s">
        <v>28</v>
      </c>
      <c r="B1572">
        <v>2020</v>
      </c>
      <c r="C1572" s="7" t="s">
        <v>35</v>
      </c>
      <c r="D1572" s="7" t="s">
        <v>51</v>
      </c>
      <c r="E1572">
        <v>142.19999999999999</v>
      </c>
    </row>
    <row r="1573" spans="1:5" x14ac:dyDescent="0.25">
      <c r="A1573" s="7" t="s">
        <v>28</v>
      </c>
      <c r="B1573">
        <v>2020</v>
      </c>
      <c r="C1573" s="7" t="s">
        <v>35</v>
      </c>
      <c r="D1573" s="7" t="s">
        <v>26</v>
      </c>
      <c r="E1573">
        <v>1046.7</v>
      </c>
    </row>
    <row r="1574" spans="1:5" x14ac:dyDescent="0.25">
      <c r="A1574" s="7" t="s">
        <v>30</v>
      </c>
      <c r="B1574">
        <v>2020</v>
      </c>
      <c r="C1574" s="7" t="s">
        <v>35</v>
      </c>
      <c r="D1574" s="7" t="s">
        <v>48</v>
      </c>
      <c r="E1574">
        <v>1971.6999999999998</v>
      </c>
    </row>
    <row r="1575" spans="1:5" x14ac:dyDescent="0.25">
      <c r="A1575" s="7" t="s">
        <v>30</v>
      </c>
      <c r="B1575">
        <v>2020</v>
      </c>
      <c r="C1575" s="7" t="s">
        <v>35</v>
      </c>
      <c r="D1575" s="7" t="s">
        <v>49</v>
      </c>
      <c r="E1575">
        <v>184.3</v>
      </c>
    </row>
    <row r="1576" spans="1:5" x14ac:dyDescent="0.25">
      <c r="A1576" s="7" t="s">
        <v>30</v>
      </c>
      <c r="B1576">
        <v>2020</v>
      </c>
      <c r="C1576" s="7" t="s">
        <v>35</v>
      </c>
      <c r="D1576" s="7" t="s">
        <v>50</v>
      </c>
      <c r="E1576">
        <v>446.3</v>
      </c>
    </row>
    <row r="1577" spans="1:5" x14ac:dyDescent="0.25">
      <c r="A1577" s="7" t="s">
        <v>30</v>
      </c>
      <c r="B1577">
        <v>2020</v>
      </c>
      <c r="C1577" s="7" t="s">
        <v>35</v>
      </c>
      <c r="D1577" s="7" t="s">
        <v>19</v>
      </c>
      <c r="E1577">
        <v>154.69999999999999</v>
      </c>
    </row>
    <row r="1578" spans="1:5" x14ac:dyDescent="0.25">
      <c r="A1578" s="7" t="s">
        <v>30</v>
      </c>
      <c r="B1578">
        <v>2020</v>
      </c>
      <c r="C1578" s="7" t="s">
        <v>35</v>
      </c>
      <c r="D1578" s="7" t="s">
        <v>51</v>
      </c>
      <c r="E1578">
        <v>141.19999999999999</v>
      </c>
    </row>
    <row r="1579" spans="1:5" x14ac:dyDescent="0.25">
      <c r="A1579" s="7" t="s">
        <v>30</v>
      </c>
      <c r="B1579">
        <v>2020</v>
      </c>
      <c r="C1579" s="7" t="s">
        <v>35</v>
      </c>
      <c r="D1579" s="7" t="s">
        <v>26</v>
      </c>
      <c r="E1579">
        <v>1039.1000000000001</v>
      </c>
    </row>
    <row r="1580" spans="1:5" x14ac:dyDescent="0.25">
      <c r="A1580" s="7" t="s">
        <v>31</v>
      </c>
      <c r="B1580">
        <v>2020</v>
      </c>
      <c r="C1580" s="7" t="s">
        <v>35</v>
      </c>
      <c r="D1580" s="7" t="s">
        <v>48</v>
      </c>
      <c r="E1580">
        <v>1971</v>
      </c>
    </row>
    <row r="1581" spans="1:5" x14ac:dyDescent="0.25">
      <c r="A1581" s="7" t="s">
        <v>31</v>
      </c>
      <c r="B1581">
        <v>2020</v>
      </c>
      <c r="C1581" s="7" t="s">
        <v>35</v>
      </c>
      <c r="D1581" s="7" t="s">
        <v>49</v>
      </c>
      <c r="E1581">
        <v>184.2</v>
      </c>
    </row>
    <row r="1582" spans="1:5" x14ac:dyDescent="0.25">
      <c r="A1582" s="7" t="s">
        <v>31</v>
      </c>
      <c r="B1582">
        <v>2020</v>
      </c>
      <c r="C1582" s="7" t="s">
        <v>35</v>
      </c>
      <c r="D1582" s="7" t="s">
        <v>50</v>
      </c>
      <c r="E1582">
        <v>446.69999999999993</v>
      </c>
    </row>
    <row r="1583" spans="1:5" x14ac:dyDescent="0.25">
      <c r="A1583" s="7" t="s">
        <v>31</v>
      </c>
      <c r="B1583">
        <v>2020</v>
      </c>
      <c r="C1583" s="7" t="s">
        <v>35</v>
      </c>
      <c r="D1583" s="7" t="s">
        <v>19</v>
      </c>
      <c r="E1583">
        <v>154.69999999999999</v>
      </c>
    </row>
    <row r="1584" spans="1:5" x14ac:dyDescent="0.25">
      <c r="A1584" s="7" t="s">
        <v>31</v>
      </c>
      <c r="B1584">
        <v>2020</v>
      </c>
      <c r="C1584" s="7" t="s">
        <v>35</v>
      </c>
      <c r="D1584" s="7" t="s">
        <v>51</v>
      </c>
      <c r="E1584">
        <v>141.30000000000001</v>
      </c>
    </row>
    <row r="1585" spans="1:5" x14ac:dyDescent="0.25">
      <c r="A1585" s="7" t="s">
        <v>31</v>
      </c>
      <c r="B1585">
        <v>2020</v>
      </c>
      <c r="C1585" s="7" t="s">
        <v>35</v>
      </c>
      <c r="D1585" s="7" t="s">
        <v>26</v>
      </c>
      <c r="E1585">
        <v>1039.2</v>
      </c>
    </row>
    <row r="1586" spans="1:5" x14ac:dyDescent="0.25">
      <c r="A1586" s="7" t="s">
        <v>28</v>
      </c>
      <c r="B1586">
        <v>2020</v>
      </c>
      <c r="C1586" s="7" t="s">
        <v>36</v>
      </c>
      <c r="D1586" s="7" t="s">
        <v>48</v>
      </c>
      <c r="E1586">
        <v>1951</v>
      </c>
    </row>
    <row r="1587" spans="1:5" x14ac:dyDescent="0.25">
      <c r="A1587" s="7" t="s">
        <v>28</v>
      </c>
      <c r="B1587">
        <v>2020</v>
      </c>
      <c r="C1587" s="7" t="s">
        <v>36</v>
      </c>
      <c r="D1587" s="7" t="s">
        <v>49</v>
      </c>
      <c r="E1587">
        <v>182.4</v>
      </c>
    </row>
    <row r="1588" spans="1:5" x14ac:dyDescent="0.25">
      <c r="A1588" s="7" t="s">
        <v>28</v>
      </c>
      <c r="B1588">
        <v>2020</v>
      </c>
      <c r="C1588" s="7" t="s">
        <v>36</v>
      </c>
      <c r="D1588" s="7" t="s">
        <v>50</v>
      </c>
      <c r="E1588">
        <v>458.79999999999995</v>
      </c>
    </row>
    <row r="1589" spans="1:5" x14ac:dyDescent="0.25">
      <c r="A1589" s="7" t="s">
        <v>28</v>
      </c>
      <c r="B1589">
        <v>2020</v>
      </c>
      <c r="C1589" s="7" t="s">
        <v>36</v>
      </c>
      <c r="D1589" s="7" t="s">
        <v>19</v>
      </c>
      <c r="E1589">
        <v>154.69999999999999</v>
      </c>
    </row>
    <row r="1590" spans="1:5" x14ac:dyDescent="0.25">
      <c r="A1590" s="7" t="s">
        <v>28</v>
      </c>
      <c r="B1590">
        <v>2020</v>
      </c>
      <c r="C1590" s="7" t="s">
        <v>36</v>
      </c>
      <c r="D1590" s="7" t="s">
        <v>51</v>
      </c>
      <c r="E1590">
        <v>144.9</v>
      </c>
    </row>
    <row r="1591" spans="1:5" x14ac:dyDescent="0.25">
      <c r="A1591" s="7" t="s">
        <v>28</v>
      </c>
      <c r="B1591">
        <v>2020</v>
      </c>
      <c r="C1591" s="7" t="s">
        <v>36</v>
      </c>
      <c r="D1591" s="7" t="s">
        <v>26</v>
      </c>
      <c r="E1591">
        <v>1069.2</v>
      </c>
    </row>
    <row r="1592" spans="1:5" x14ac:dyDescent="0.25">
      <c r="A1592" s="7" t="s">
        <v>30</v>
      </c>
      <c r="B1592">
        <v>2020</v>
      </c>
      <c r="C1592" s="7" t="s">
        <v>36</v>
      </c>
      <c r="D1592" s="7" t="s">
        <v>48</v>
      </c>
      <c r="E1592">
        <v>1994.9999999999998</v>
      </c>
    </row>
    <row r="1593" spans="1:5" x14ac:dyDescent="0.25">
      <c r="A1593" s="7" t="s">
        <v>30</v>
      </c>
      <c r="B1593">
        <v>2020</v>
      </c>
      <c r="C1593" s="7" t="s">
        <v>36</v>
      </c>
      <c r="D1593" s="7" t="s">
        <v>49</v>
      </c>
      <c r="E1593">
        <v>186.7</v>
      </c>
    </row>
    <row r="1594" spans="1:5" x14ac:dyDescent="0.25">
      <c r="A1594" s="7" t="s">
        <v>30</v>
      </c>
      <c r="B1594">
        <v>2020</v>
      </c>
      <c r="C1594" s="7" t="s">
        <v>36</v>
      </c>
      <c r="D1594" s="7" t="s">
        <v>50</v>
      </c>
      <c r="E1594">
        <v>432.9</v>
      </c>
    </row>
    <row r="1595" spans="1:5" x14ac:dyDescent="0.25">
      <c r="A1595" s="7" t="s">
        <v>30</v>
      </c>
      <c r="B1595">
        <v>2020</v>
      </c>
      <c r="C1595" s="7" t="s">
        <v>36</v>
      </c>
      <c r="D1595" s="7" t="s">
        <v>19</v>
      </c>
      <c r="E1595">
        <v>154.69999999999999</v>
      </c>
    </row>
    <row r="1596" spans="1:5" x14ac:dyDescent="0.25">
      <c r="A1596" s="7" t="s">
        <v>30</v>
      </c>
      <c r="B1596">
        <v>2020</v>
      </c>
      <c r="C1596" s="7" t="s">
        <v>36</v>
      </c>
      <c r="D1596" s="7" t="s">
        <v>51</v>
      </c>
      <c r="E1596">
        <v>137.1</v>
      </c>
    </row>
    <row r="1597" spans="1:5" x14ac:dyDescent="0.25">
      <c r="A1597" s="7" t="s">
        <v>30</v>
      </c>
      <c r="B1597">
        <v>2020</v>
      </c>
      <c r="C1597" s="7" t="s">
        <v>36</v>
      </c>
      <c r="D1597" s="7" t="s">
        <v>26</v>
      </c>
      <c r="E1597">
        <v>1009</v>
      </c>
    </row>
    <row r="1598" spans="1:5" x14ac:dyDescent="0.25">
      <c r="A1598" s="7" t="s">
        <v>31</v>
      </c>
      <c r="B1598">
        <v>2020</v>
      </c>
      <c r="C1598" s="7" t="s">
        <v>36</v>
      </c>
      <c r="D1598" s="7" t="s">
        <v>48</v>
      </c>
      <c r="E1598">
        <v>1966.8000000000002</v>
      </c>
    </row>
    <row r="1599" spans="1:5" x14ac:dyDescent="0.25">
      <c r="A1599" s="7" t="s">
        <v>31</v>
      </c>
      <c r="B1599">
        <v>2020</v>
      </c>
      <c r="C1599" s="7" t="s">
        <v>36</v>
      </c>
      <c r="D1599" s="7" t="s">
        <v>49</v>
      </c>
      <c r="E1599">
        <v>183.5</v>
      </c>
    </row>
    <row r="1600" spans="1:5" x14ac:dyDescent="0.25">
      <c r="A1600" s="7" t="s">
        <v>31</v>
      </c>
      <c r="B1600">
        <v>2020</v>
      </c>
      <c r="C1600" s="7" t="s">
        <v>36</v>
      </c>
      <c r="D1600" s="7" t="s">
        <v>50</v>
      </c>
      <c r="E1600">
        <v>448.29999999999995</v>
      </c>
    </row>
    <row r="1601" spans="1:5" x14ac:dyDescent="0.25">
      <c r="A1601" s="7" t="s">
        <v>31</v>
      </c>
      <c r="B1601">
        <v>2020</v>
      </c>
      <c r="C1601" s="7" t="s">
        <v>36</v>
      </c>
      <c r="D1601" s="7" t="s">
        <v>19</v>
      </c>
      <c r="E1601">
        <v>154.69999999999999</v>
      </c>
    </row>
    <row r="1602" spans="1:5" x14ac:dyDescent="0.25">
      <c r="A1602" s="7" t="s">
        <v>31</v>
      </c>
      <c r="B1602">
        <v>2020</v>
      </c>
      <c r="C1602" s="7" t="s">
        <v>36</v>
      </c>
      <c r="D1602" s="7" t="s">
        <v>51</v>
      </c>
      <c r="E1602">
        <v>141.9</v>
      </c>
    </row>
    <row r="1603" spans="1:5" x14ac:dyDescent="0.25">
      <c r="A1603" s="7" t="s">
        <v>31</v>
      </c>
      <c r="B1603">
        <v>2020</v>
      </c>
      <c r="C1603" s="7" t="s">
        <v>36</v>
      </c>
      <c r="D1603" s="7" t="s">
        <v>26</v>
      </c>
      <c r="E1603">
        <v>1039.0999999999999</v>
      </c>
    </row>
    <row r="1604" spans="1:5" x14ac:dyDescent="0.25">
      <c r="A1604" s="7" t="s">
        <v>28</v>
      </c>
      <c r="B1604">
        <v>2020</v>
      </c>
      <c r="C1604" s="7" t="s">
        <v>37</v>
      </c>
      <c r="D1604" s="7" t="s">
        <v>48</v>
      </c>
      <c r="E1604">
        <v>1951</v>
      </c>
    </row>
    <row r="1605" spans="1:5" x14ac:dyDescent="0.25">
      <c r="A1605" s="7" t="s">
        <v>28</v>
      </c>
      <c r="B1605">
        <v>2020</v>
      </c>
      <c r="C1605" s="7" t="s">
        <v>37</v>
      </c>
      <c r="D1605" s="7" t="s">
        <v>49</v>
      </c>
      <c r="E1605">
        <v>182.4</v>
      </c>
    </row>
    <row r="1606" spans="1:5" x14ac:dyDescent="0.25">
      <c r="A1606" s="7" t="s">
        <v>28</v>
      </c>
      <c r="B1606">
        <v>2020</v>
      </c>
      <c r="C1606" s="7" t="s">
        <v>37</v>
      </c>
      <c r="D1606" s="7" t="s">
        <v>50</v>
      </c>
      <c r="E1606">
        <v>458.79999999999995</v>
      </c>
    </row>
    <row r="1607" spans="1:5" x14ac:dyDescent="0.25">
      <c r="A1607" s="7" t="s">
        <v>28</v>
      </c>
      <c r="B1607">
        <v>2020</v>
      </c>
      <c r="C1607" s="7" t="s">
        <v>37</v>
      </c>
      <c r="D1607" s="7" t="s">
        <v>19</v>
      </c>
      <c r="E1607">
        <v>155.1</v>
      </c>
    </row>
    <row r="1608" spans="1:5" x14ac:dyDescent="0.25">
      <c r="A1608" s="7" t="s">
        <v>28</v>
      </c>
      <c r="B1608">
        <v>2020</v>
      </c>
      <c r="C1608" s="7" t="s">
        <v>37</v>
      </c>
      <c r="D1608" s="7" t="s">
        <v>51</v>
      </c>
      <c r="E1608">
        <v>144.9</v>
      </c>
    </row>
    <row r="1609" spans="1:5" x14ac:dyDescent="0.25">
      <c r="A1609" s="7" t="s">
        <v>28</v>
      </c>
      <c r="B1609">
        <v>2020</v>
      </c>
      <c r="C1609" s="7" t="s">
        <v>37</v>
      </c>
      <c r="D1609" s="7" t="s">
        <v>26</v>
      </c>
      <c r="E1609">
        <v>1069.2</v>
      </c>
    </row>
    <row r="1610" spans="1:5" x14ac:dyDescent="0.25">
      <c r="A1610" s="7" t="s">
        <v>30</v>
      </c>
      <c r="B1610">
        <v>2020</v>
      </c>
      <c r="C1610" s="7" t="s">
        <v>37</v>
      </c>
      <c r="D1610" s="7" t="s">
        <v>48</v>
      </c>
      <c r="E1610">
        <v>1994.9999999999998</v>
      </c>
    </row>
    <row r="1611" spans="1:5" x14ac:dyDescent="0.25">
      <c r="A1611" s="7" t="s">
        <v>30</v>
      </c>
      <c r="B1611">
        <v>2020</v>
      </c>
      <c r="C1611" s="7" t="s">
        <v>37</v>
      </c>
      <c r="D1611" s="7" t="s">
        <v>49</v>
      </c>
      <c r="E1611">
        <v>186.7</v>
      </c>
    </row>
    <row r="1612" spans="1:5" x14ac:dyDescent="0.25">
      <c r="A1612" s="7" t="s">
        <v>30</v>
      </c>
      <c r="B1612">
        <v>2020</v>
      </c>
      <c r="C1612" s="7" t="s">
        <v>37</v>
      </c>
      <c r="D1612" s="7" t="s">
        <v>50</v>
      </c>
      <c r="E1612">
        <v>432.9</v>
      </c>
    </row>
    <row r="1613" spans="1:5" x14ac:dyDescent="0.25">
      <c r="A1613" s="7" t="s">
        <v>30</v>
      </c>
      <c r="B1613">
        <v>2020</v>
      </c>
      <c r="C1613" s="7" t="s">
        <v>37</v>
      </c>
      <c r="D1613" s="7" t="s">
        <v>19</v>
      </c>
      <c r="E1613">
        <v>154.69999999999999</v>
      </c>
    </row>
    <row r="1614" spans="1:5" x14ac:dyDescent="0.25">
      <c r="A1614" s="7" t="s">
        <v>30</v>
      </c>
      <c r="B1614">
        <v>2020</v>
      </c>
      <c r="C1614" s="7" t="s">
        <v>37</v>
      </c>
      <c r="D1614" s="7" t="s">
        <v>51</v>
      </c>
      <c r="E1614">
        <v>137.1</v>
      </c>
    </row>
    <row r="1615" spans="1:5" x14ac:dyDescent="0.25">
      <c r="A1615" s="7" t="s">
        <v>30</v>
      </c>
      <c r="B1615">
        <v>2020</v>
      </c>
      <c r="C1615" s="7" t="s">
        <v>37</v>
      </c>
      <c r="D1615" s="7" t="s">
        <v>26</v>
      </c>
      <c r="E1615">
        <v>1009</v>
      </c>
    </row>
    <row r="1616" spans="1:5" x14ac:dyDescent="0.25">
      <c r="A1616" s="7" t="s">
        <v>31</v>
      </c>
      <c r="B1616">
        <v>2020</v>
      </c>
      <c r="C1616" s="7" t="s">
        <v>37</v>
      </c>
      <c r="D1616" s="7" t="s">
        <v>48</v>
      </c>
      <c r="E1616">
        <v>1966.8000000000002</v>
      </c>
    </row>
    <row r="1617" spans="1:5" x14ac:dyDescent="0.25">
      <c r="A1617" s="7" t="s">
        <v>31</v>
      </c>
      <c r="B1617">
        <v>2020</v>
      </c>
      <c r="C1617" s="7" t="s">
        <v>37</v>
      </c>
      <c r="D1617" s="7" t="s">
        <v>49</v>
      </c>
      <c r="E1617">
        <v>183.5</v>
      </c>
    </row>
    <row r="1618" spans="1:5" x14ac:dyDescent="0.25">
      <c r="A1618" s="7" t="s">
        <v>31</v>
      </c>
      <c r="B1618">
        <v>2020</v>
      </c>
      <c r="C1618" s="7" t="s">
        <v>37</v>
      </c>
      <c r="D1618" s="7" t="s">
        <v>50</v>
      </c>
      <c r="E1618">
        <v>448.29999999999995</v>
      </c>
    </row>
    <row r="1619" spans="1:5" x14ac:dyDescent="0.25">
      <c r="A1619" s="7" t="s">
        <v>31</v>
      </c>
      <c r="B1619">
        <v>2020</v>
      </c>
      <c r="C1619" s="7" t="s">
        <v>37</v>
      </c>
      <c r="D1619" s="7" t="s">
        <v>19</v>
      </c>
      <c r="E1619">
        <v>154.69999999999999</v>
      </c>
    </row>
    <row r="1620" spans="1:5" x14ac:dyDescent="0.25">
      <c r="A1620" s="7" t="s">
        <v>31</v>
      </c>
      <c r="B1620">
        <v>2020</v>
      </c>
      <c r="C1620" s="7" t="s">
        <v>37</v>
      </c>
      <c r="D1620" s="7" t="s">
        <v>51</v>
      </c>
      <c r="E1620">
        <v>141.9</v>
      </c>
    </row>
    <row r="1621" spans="1:5" x14ac:dyDescent="0.25">
      <c r="A1621" s="7" t="s">
        <v>31</v>
      </c>
      <c r="B1621">
        <v>2020</v>
      </c>
      <c r="C1621" s="7" t="s">
        <v>37</v>
      </c>
      <c r="D1621" s="7" t="s">
        <v>26</v>
      </c>
      <c r="E1621">
        <v>1039.0999999999999</v>
      </c>
    </row>
    <row r="1622" spans="1:5" x14ac:dyDescent="0.25">
      <c r="A1622" s="7" t="s">
        <v>28</v>
      </c>
      <c r="B1622">
        <v>2020</v>
      </c>
      <c r="C1622" s="7" t="s">
        <v>38</v>
      </c>
      <c r="D1622" s="7" t="s">
        <v>48</v>
      </c>
      <c r="E1622">
        <v>1978.6</v>
      </c>
    </row>
    <row r="1623" spans="1:5" x14ac:dyDescent="0.25">
      <c r="A1623" s="7" t="s">
        <v>28</v>
      </c>
      <c r="B1623">
        <v>2020</v>
      </c>
      <c r="C1623" s="7" t="s">
        <v>38</v>
      </c>
      <c r="D1623" s="7" t="s">
        <v>49</v>
      </c>
      <c r="E1623">
        <v>180.9</v>
      </c>
    </row>
    <row r="1624" spans="1:5" x14ac:dyDescent="0.25">
      <c r="A1624" s="7" t="s">
        <v>28</v>
      </c>
      <c r="B1624">
        <v>2020</v>
      </c>
      <c r="C1624" s="7" t="s">
        <v>38</v>
      </c>
      <c r="D1624" s="7" t="s">
        <v>50</v>
      </c>
      <c r="E1624">
        <v>458.7</v>
      </c>
    </row>
    <row r="1625" spans="1:5" x14ac:dyDescent="0.25">
      <c r="A1625" s="7" t="s">
        <v>28</v>
      </c>
      <c r="B1625">
        <v>2020</v>
      </c>
      <c r="C1625" s="7" t="s">
        <v>38</v>
      </c>
      <c r="D1625" s="7" t="s">
        <v>19</v>
      </c>
      <c r="E1625">
        <v>155.9</v>
      </c>
    </row>
    <row r="1626" spans="1:5" x14ac:dyDescent="0.25">
      <c r="A1626" s="7" t="s">
        <v>28</v>
      </c>
      <c r="B1626">
        <v>2020</v>
      </c>
      <c r="C1626" s="7" t="s">
        <v>38</v>
      </c>
      <c r="D1626" s="7" t="s">
        <v>51</v>
      </c>
      <c r="E1626">
        <v>145.80000000000001</v>
      </c>
    </row>
    <row r="1627" spans="1:5" x14ac:dyDescent="0.25">
      <c r="A1627" s="7" t="s">
        <v>28</v>
      </c>
      <c r="B1627">
        <v>2020</v>
      </c>
      <c r="C1627" s="7" t="s">
        <v>38</v>
      </c>
      <c r="D1627" s="7" t="s">
        <v>26</v>
      </c>
      <c r="E1627">
        <v>1075.8000000000002</v>
      </c>
    </row>
    <row r="1628" spans="1:5" x14ac:dyDescent="0.25">
      <c r="A1628" s="7" t="s">
        <v>30</v>
      </c>
      <c r="B1628">
        <v>2020</v>
      </c>
      <c r="C1628" s="7" t="s">
        <v>38</v>
      </c>
      <c r="D1628" s="7" t="s">
        <v>48</v>
      </c>
      <c r="E1628">
        <v>2024.8999999999999</v>
      </c>
    </row>
    <row r="1629" spans="1:5" x14ac:dyDescent="0.25">
      <c r="A1629" s="7" t="s">
        <v>30</v>
      </c>
      <c r="B1629">
        <v>2020</v>
      </c>
      <c r="C1629" s="7" t="s">
        <v>38</v>
      </c>
      <c r="D1629" s="7" t="s">
        <v>49</v>
      </c>
      <c r="E1629">
        <v>187.2</v>
      </c>
    </row>
    <row r="1630" spans="1:5" x14ac:dyDescent="0.25">
      <c r="A1630" s="7" t="s">
        <v>30</v>
      </c>
      <c r="B1630">
        <v>2020</v>
      </c>
      <c r="C1630" s="7" t="s">
        <v>38</v>
      </c>
      <c r="D1630" s="7" t="s">
        <v>50</v>
      </c>
      <c r="E1630">
        <v>433</v>
      </c>
    </row>
    <row r="1631" spans="1:5" x14ac:dyDescent="0.25">
      <c r="A1631" s="7" t="s">
        <v>30</v>
      </c>
      <c r="B1631">
        <v>2020</v>
      </c>
      <c r="C1631" s="7" t="s">
        <v>38</v>
      </c>
      <c r="D1631" s="7" t="s">
        <v>19</v>
      </c>
      <c r="E1631">
        <v>155.5</v>
      </c>
    </row>
    <row r="1632" spans="1:5" x14ac:dyDescent="0.25">
      <c r="A1632" s="7" t="s">
        <v>30</v>
      </c>
      <c r="B1632">
        <v>2020</v>
      </c>
      <c r="C1632" s="7" t="s">
        <v>38</v>
      </c>
      <c r="D1632" s="7" t="s">
        <v>51</v>
      </c>
      <c r="E1632">
        <v>138.30000000000001</v>
      </c>
    </row>
    <row r="1633" spans="1:5" x14ac:dyDescent="0.25">
      <c r="A1633" s="7" t="s">
        <v>30</v>
      </c>
      <c r="B1633">
        <v>2020</v>
      </c>
      <c r="C1633" s="7" t="s">
        <v>38</v>
      </c>
      <c r="D1633" s="7" t="s">
        <v>26</v>
      </c>
      <c r="E1633">
        <v>1023.8</v>
      </c>
    </row>
    <row r="1634" spans="1:5" x14ac:dyDescent="0.25">
      <c r="A1634" s="7" t="s">
        <v>31</v>
      </c>
      <c r="B1634">
        <v>2020</v>
      </c>
      <c r="C1634" s="7" t="s">
        <v>38</v>
      </c>
      <c r="D1634" s="7" t="s">
        <v>48</v>
      </c>
      <c r="E1634">
        <v>1995.1999999999998</v>
      </c>
    </row>
    <row r="1635" spans="1:5" x14ac:dyDescent="0.25">
      <c r="A1635" s="7" t="s">
        <v>31</v>
      </c>
      <c r="B1635">
        <v>2020</v>
      </c>
      <c r="C1635" s="7" t="s">
        <v>38</v>
      </c>
      <c r="D1635" s="7" t="s">
        <v>49</v>
      </c>
      <c r="E1635">
        <v>182.6</v>
      </c>
    </row>
    <row r="1636" spans="1:5" x14ac:dyDescent="0.25">
      <c r="A1636" s="7" t="s">
        <v>31</v>
      </c>
      <c r="B1636">
        <v>2020</v>
      </c>
      <c r="C1636" s="7" t="s">
        <v>38</v>
      </c>
      <c r="D1636" s="7" t="s">
        <v>50</v>
      </c>
      <c r="E1636">
        <v>448.2</v>
      </c>
    </row>
    <row r="1637" spans="1:5" x14ac:dyDescent="0.25">
      <c r="A1637" s="7" t="s">
        <v>31</v>
      </c>
      <c r="B1637">
        <v>2020</v>
      </c>
      <c r="C1637" s="7" t="s">
        <v>38</v>
      </c>
      <c r="D1637" s="7" t="s">
        <v>19</v>
      </c>
      <c r="E1637">
        <v>155.5</v>
      </c>
    </row>
    <row r="1638" spans="1:5" x14ac:dyDescent="0.25">
      <c r="A1638" s="7" t="s">
        <v>31</v>
      </c>
      <c r="B1638">
        <v>2020</v>
      </c>
      <c r="C1638" s="7" t="s">
        <v>38</v>
      </c>
      <c r="D1638" s="7" t="s">
        <v>51</v>
      </c>
      <c r="E1638">
        <v>143</v>
      </c>
    </row>
    <row r="1639" spans="1:5" x14ac:dyDescent="0.25">
      <c r="A1639" s="7" t="s">
        <v>31</v>
      </c>
      <c r="B1639">
        <v>2020</v>
      </c>
      <c r="C1639" s="7" t="s">
        <v>38</v>
      </c>
      <c r="D1639" s="7" t="s">
        <v>26</v>
      </c>
      <c r="E1639">
        <v>1049.7</v>
      </c>
    </row>
    <row r="1640" spans="1:5" x14ac:dyDescent="0.25">
      <c r="A1640" s="7" t="s">
        <v>28</v>
      </c>
      <c r="B1640">
        <v>2020</v>
      </c>
      <c r="C1640" s="7" t="s">
        <v>39</v>
      </c>
      <c r="D1640" s="7" t="s">
        <v>48</v>
      </c>
      <c r="E1640">
        <v>1987.3999999999999</v>
      </c>
    </row>
    <row r="1641" spans="1:5" x14ac:dyDescent="0.25">
      <c r="A1641" s="7" t="s">
        <v>28</v>
      </c>
      <c r="B1641">
        <v>2020</v>
      </c>
      <c r="C1641" s="7" t="s">
        <v>39</v>
      </c>
      <c r="D1641" s="7" t="s">
        <v>49</v>
      </c>
      <c r="E1641">
        <v>182.9</v>
      </c>
    </row>
    <row r="1642" spans="1:5" x14ac:dyDescent="0.25">
      <c r="A1642" s="7" t="s">
        <v>28</v>
      </c>
      <c r="B1642">
        <v>2020</v>
      </c>
      <c r="C1642" s="7" t="s">
        <v>39</v>
      </c>
      <c r="D1642" s="7" t="s">
        <v>50</v>
      </c>
      <c r="E1642">
        <v>459.9</v>
      </c>
    </row>
    <row r="1643" spans="1:5" x14ac:dyDescent="0.25">
      <c r="A1643" s="7" t="s">
        <v>28</v>
      </c>
      <c r="B1643">
        <v>2020</v>
      </c>
      <c r="C1643" s="7" t="s">
        <v>39</v>
      </c>
      <c r="D1643" s="7" t="s">
        <v>19</v>
      </c>
      <c r="E1643">
        <v>156.4</v>
      </c>
    </row>
    <row r="1644" spans="1:5" x14ac:dyDescent="0.25">
      <c r="A1644" s="7" t="s">
        <v>28</v>
      </c>
      <c r="B1644">
        <v>2020</v>
      </c>
      <c r="C1644" s="7" t="s">
        <v>39</v>
      </c>
      <c r="D1644" s="7" t="s">
        <v>51</v>
      </c>
      <c r="E1644">
        <v>146.4</v>
      </c>
    </row>
    <row r="1645" spans="1:5" x14ac:dyDescent="0.25">
      <c r="A1645" s="7" t="s">
        <v>28</v>
      </c>
      <c r="B1645">
        <v>2020</v>
      </c>
      <c r="C1645" s="7" t="s">
        <v>39</v>
      </c>
      <c r="D1645" s="7" t="s">
        <v>26</v>
      </c>
      <c r="E1645">
        <v>1080.3</v>
      </c>
    </row>
    <row r="1646" spans="1:5" x14ac:dyDescent="0.25">
      <c r="A1646" s="7" t="s">
        <v>30</v>
      </c>
      <c r="B1646">
        <v>2020</v>
      </c>
      <c r="C1646" s="7" t="s">
        <v>39</v>
      </c>
      <c r="D1646" s="7" t="s">
        <v>48</v>
      </c>
      <c r="E1646">
        <v>2041.6000000000001</v>
      </c>
    </row>
    <row r="1647" spans="1:5" x14ac:dyDescent="0.25">
      <c r="A1647" s="7" t="s">
        <v>30</v>
      </c>
      <c r="B1647">
        <v>2020</v>
      </c>
      <c r="C1647" s="7" t="s">
        <v>39</v>
      </c>
      <c r="D1647" s="7" t="s">
        <v>49</v>
      </c>
      <c r="E1647">
        <v>188.7</v>
      </c>
    </row>
    <row r="1648" spans="1:5" x14ac:dyDescent="0.25">
      <c r="A1648" s="7" t="s">
        <v>30</v>
      </c>
      <c r="B1648">
        <v>2020</v>
      </c>
      <c r="C1648" s="7" t="s">
        <v>39</v>
      </c>
      <c r="D1648" s="7" t="s">
        <v>50</v>
      </c>
      <c r="E1648">
        <v>434.6</v>
      </c>
    </row>
    <row r="1649" spans="1:5" x14ac:dyDescent="0.25">
      <c r="A1649" s="7" t="s">
        <v>30</v>
      </c>
      <c r="B1649">
        <v>2020</v>
      </c>
      <c r="C1649" s="7" t="s">
        <v>39</v>
      </c>
      <c r="D1649" s="7" t="s">
        <v>19</v>
      </c>
      <c r="E1649">
        <v>156.30000000000001</v>
      </c>
    </row>
    <row r="1650" spans="1:5" x14ac:dyDescent="0.25">
      <c r="A1650" s="7" t="s">
        <v>30</v>
      </c>
      <c r="B1650">
        <v>2020</v>
      </c>
      <c r="C1650" s="7" t="s">
        <v>39</v>
      </c>
      <c r="D1650" s="7" t="s">
        <v>51</v>
      </c>
      <c r="E1650">
        <v>137.19999999999999</v>
      </c>
    </row>
    <row r="1651" spans="1:5" x14ac:dyDescent="0.25">
      <c r="A1651" s="7" t="s">
        <v>30</v>
      </c>
      <c r="B1651">
        <v>2020</v>
      </c>
      <c r="C1651" s="7" t="s">
        <v>39</v>
      </c>
      <c r="D1651" s="7" t="s">
        <v>26</v>
      </c>
      <c r="E1651">
        <v>1033</v>
      </c>
    </row>
    <row r="1652" spans="1:5" x14ac:dyDescent="0.25">
      <c r="A1652" s="7" t="s">
        <v>31</v>
      </c>
      <c r="B1652">
        <v>2020</v>
      </c>
      <c r="C1652" s="7" t="s">
        <v>39</v>
      </c>
      <c r="D1652" s="7" t="s">
        <v>48</v>
      </c>
      <c r="E1652">
        <v>2007</v>
      </c>
    </row>
    <row r="1653" spans="1:5" x14ac:dyDescent="0.25">
      <c r="A1653" s="7" t="s">
        <v>31</v>
      </c>
      <c r="B1653">
        <v>2020</v>
      </c>
      <c r="C1653" s="7" t="s">
        <v>39</v>
      </c>
      <c r="D1653" s="7" t="s">
        <v>49</v>
      </c>
      <c r="E1653">
        <v>184.4</v>
      </c>
    </row>
    <row r="1654" spans="1:5" x14ac:dyDescent="0.25">
      <c r="A1654" s="7" t="s">
        <v>31</v>
      </c>
      <c r="B1654">
        <v>2020</v>
      </c>
      <c r="C1654" s="7" t="s">
        <v>39</v>
      </c>
      <c r="D1654" s="7" t="s">
        <v>50</v>
      </c>
      <c r="E1654">
        <v>449.70000000000005</v>
      </c>
    </row>
    <row r="1655" spans="1:5" x14ac:dyDescent="0.25">
      <c r="A1655" s="7" t="s">
        <v>31</v>
      </c>
      <c r="B1655">
        <v>2020</v>
      </c>
      <c r="C1655" s="7" t="s">
        <v>39</v>
      </c>
      <c r="D1655" s="7" t="s">
        <v>19</v>
      </c>
      <c r="E1655">
        <v>156.30000000000001</v>
      </c>
    </row>
    <row r="1656" spans="1:5" x14ac:dyDescent="0.25">
      <c r="A1656" s="7" t="s">
        <v>31</v>
      </c>
      <c r="B1656">
        <v>2020</v>
      </c>
      <c r="C1656" s="7" t="s">
        <v>39</v>
      </c>
      <c r="D1656" s="7" t="s">
        <v>51</v>
      </c>
      <c r="E1656">
        <v>142.9</v>
      </c>
    </row>
    <row r="1657" spans="1:5" x14ac:dyDescent="0.25">
      <c r="A1657" s="7" t="s">
        <v>31</v>
      </c>
      <c r="B1657">
        <v>2020</v>
      </c>
      <c r="C1657" s="7" t="s">
        <v>39</v>
      </c>
      <c r="D1657" s="7" t="s">
        <v>26</v>
      </c>
      <c r="E1657">
        <v>1056.4000000000001</v>
      </c>
    </row>
    <row r="1658" spans="1:5" x14ac:dyDescent="0.25">
      <c r="A1658" s="7" t="s">
        <v>28</v>
      </c>
      <c r="B1658">
        <v>2020</v>
      </c>
      <c r="C1658" s="7" t="s">
        <v>40</v>
      </c>
      <c r="D1658" s="7" t="s">
        <v>48</v>
      </c>
      <c r="E1658">
        <v>2030.9</v>
      </c>
    </row>
    <row r="1659" spans="1:5" x14ac:dyDescent="0.25">
      <c r="A1659" s="7" t="s">
        <v>28</v>
      </c>
      <c r="B1659">
        <v>2020</v>
      </c>
      <c r="C1659" s="7" t="s">
        <v>40</v>
      </c>
      <c r="D1659" s="7" t="s">
        <v>49</v>
      </c>
      <c r="E1659">
        <v>182.7</v>
      </c>
    </row>
    <row r="1660" spans="1:5" x14ac:dyDescent="0.25">
      <c r="A1660" s="7" t="s">
        <v>28</v>
      </c>
      <c r="B1660">
        <v>2020</v>
      </c>
      <c r="C1660" s="7" t="s">
        <v>40</v>
      </c>
      <c r="D1660" s="7" t="s">
        <v>50</v>
      </c>
      <c r="E1660">
        <v>461.29999999999995</v>
      </c>
    </row>
    <row r="1661" spans="1:5" x14ac:dyDescent="0.25">
      <c r="A1661" s="7" t="s">
        <v>28</v>
      </c>
      <c r="B1661">
        <v>2020</v>
      </c>
      <c r="C1661" s="7" t="s">
        <v>40</v>
      </c>
      <c r="D1661" s="7" t="s">
        <v>19</v>
      </c>
      <c r="E1661">
        <v>157.30000000000001</v>
      </c>
    </row>
    <row r="1662" spans="1:5" x14ac:dyDescent="0.25">
      <c r="A1662" s="7" t="s">
        <v>28</v>
      </c>
      <c r="B1662">
        <v>2020</v>
      </c>
      <c r="C1662" s="7" t="s">
        <v>40</v>
      </c>
      <c r="D1662" s="7" t="s">
        <v>51</v>
      </c>
      <c r="E1662">
        <v>146.80000000000001</v>
      </c>
    </row>
    <row r="1663" spans="1:5" x14ac:dyDescent="0.25">
      <c r="A1663" s="7" t="s">
        <v>28</v>
      </c>
      <c r="B1663">
        <v>2020</v>
      </c>
      <c r="C1663" s="7" t="s">
        <v>40</v>
      </c>
      <c r="D1663" s="7" t="s">
        <v>26</v>
      </c>
      <c r="E1663">
        <v>1083.3</v>
      </c>
    </row>
    <row r="1664" spans="1:5" x14ac:dyDescent="0.25">
      <c r="A1664" s="7" t="s">
        <v>30</v>
      </c>
      <c r="B1664">
        <v>2020</v>
      </c>
      <c r="C1664" s="7" t="s">
        <v>40</v>
      </c>
      <c r="D1664" s="7" t="s">
        <v>48</v>
      </c>
      <c r="E1664">
        <v>2080.1999999999998</v>
      </c>
    </row>
    <row r="1665" spans="1:5" x14ac:dyDescent="0.25">
      <c r="A1665" s="7" t="s">
        <v>30</v>
      </c>
      <c r="B1665">
        <v>2020</v>
      </c>
      <c r="C1665" s="7" t="s">
        <v>40</v>
      </c>
      <c r="D1665" s="7" t="s">
        <v>49</v>
      </c>
      <c r="E1665">
        <v>188.7</v>
      </c>
    </row>
    <row r="1666" spans="1:5" x14ac:dyDescent="0.25">
      <c r="A1666" s="7" t="s">
        <v>30</v>
      </c>
      <c r="B1666">
        <v>2020</v>
      </c>
      <c r="C1666" s="7" t="s">
        <v>40</v>
      </c>
      <c r="D1666" s="7" t="s">
        <v>50</v>
      </c>
      <c r="E1666">
        <v>434.90000000000003</v>
      </c>
    </row>
    <row r="1667" spans="1:5" x14ac:dyDescent="0.25">
      <c r="A1667" s="7" t="s">
        <v>30</v>
      </c>
      <c r="B1667">
        <v>2020</v>
      </c>
      <c r="C1667" s="7" t="s">
        <v>40</v>
      </c>
      <c r="D1667" s="7" t="s">
        <v>19</v>
      </c>
      <c r="E1667">
        <v>156.5</v>
      </c>
    </row>
    <row r="1668" spans="1:5" x14ac:dyDescent="0.25">
      <c r="A1668" s="7" t="s">
        <v>30</v>
      </c>
      <c r="B1668">
        <v>2020</v>
      </c>
      <c r="C1668" s="7" t="s">
        <v>40</v>
      </c>
      <c r="D1668" s="7" t="s">
        <v>51</v>
      </c>
      <c r="E1668">
        <v>137.1</v>
      </c>
    </row>
    <row r="1669" spans="1:5" x14ac:dyDescent="0.25">
      <c r="A1669" s="7" t="s">
        <v>30</v>
      </c>
      <c r="B1669">
        <v>2020</v>
      </c>
      <c r="C1669" s="7" t="s">
        <v>40</v>
      </c>
      <c r="D1669" s="7" t="s">
        <v>26</v>
      </c>
      <c r="E1669">
        <v>1033.5</v>
      </c>
    </row>
    <row r="1670" spans="1:5" x14ac:dyDescent="0.25">
      <c r="A1670" s="7" t="s">
        <v>31</v>
      </c>
      <c r="B1670">
        <v>2020</v>
      </c>
      <c r="C1670" s="7" t="s">
        <v>40</v>
      </c>
      <c r="D1670" s="7" t="s">
        <v>48</v>
      </c>
      <c r="E1670">
        <v>2048.6000000000004</v>
      </c>
    </row>
    <row r="1671" spans="1:5" x14ac:dyDescent="0.25">
      <c r="A1671" s="7" t="s">
        <v>31</v>
      </c>
      <c r="B1671">
        <v>2020</v>
      </c>
      <c r="C1671" s="7" t="s">
        <v>40</v>
      </c>
      <c r="D1671" s="7" t="s">
        <v>49</v>
      </c>
      <c r="E1671">
        <v>184.3</v>
      </c>
    </row>
    <row r="1672" spans="1:5" x14ac:dyDescent="0.25">
      <c r="A1672" s="7" t="s">
        <v>31</v>
      </c>
      <c r="B1672">
        <v>2020</v>
      </c>
      <c r="C1672" s="7" t="s">
        <v>40</v>
      </c>
      <c r="D1672" s="7" t="s">
        <v>50</v>
      </c>
      <c r="E1672">
        <v>450.59999999999997</v>
      </c>
    </row>
    <row r="1673" spans="1:5" x14ac:dyDescent="0.25">
      <c r="A1673" s="7" t="s">
        <v>31</v>
      </c>
      <c r="B1673">
        <v>2020</v>
      </c>
      <c r="C1673" s="7" t="s">
        <v>40</v>
      </c>
      <c r="D1673" s="7" t="s">
        <v>19</v>
      </c>
      <c r="E1673">
        <v>156.5</v>
      </c>
    </row>
    <row r="1674" spans="1:5" x14ac:dyDescent="0.25">
      <c r="A1674" s="7" t="s">
        <v>31</v>
      </c>
      <c r="B1674">
        <v>2020</v>
      </c>
      <c r="C1674" s="7" t="s">
        <v>40</v>
      </c>
      <c r="D1674" s="7" t="s">
        <v>51</v>
      </c>
      <c r="E1674">
        <v>143.1</v>
      </c>
    </row>
    <row r="1675" spans="1:5" x14ac:dyDescent="0.25">
      <c r="A1675" s="7" t="s">
        <v>31</v>
      </c>
      <c r="B1675">
        <v>2020</v>
      </c>
      <c r="C1675" s="7" t="s">
        <v>40</v>
      </c>
      <c r="D1675" s="7" t="s">
        <v>26</v>
      </c>
      <c r="E1675">
        <v>1058</v>
      </c>
    </row>
    <row r="1676" spans="1:5" x14ac:dyDescent="0.25">
      <c r="A1676" s="7" t="s">
        <v>28</v>
      </c>
      <c r="B1676">
        <v>2020</v>
      </c>
      <c r="C1676" s="7" t="s">
        <v>42</v>
      </c>
      <c r="D1676" s="7" t="s">
        <v>48</v>
      </c>
      <c r="E1676">
        <v>2082.4</v>
      </c>
    </row>
    <row r="1677" spans="1:5" x14ac:dyDescent="0.25">
      <c r="A1677" s="7" t="s">
        <v>28</v>
      </c>
      <c r="B1677">
        <v>2020</v>
      </c>
      <c r="C1677" s="7" t="s">
        <v>42</v>
      </c>
      <c r="D1677" s="7" t="s">
        <v>49</v>
      </c>
      <c r="E1677">
        <v>183.4</v>
      </c>
    </row>
    <row r="1678" spans="1:5" x14ac:dyDescent="0.25">
      <c r="A1678" s="7" t="s">
        <v>28</v>
      </c>
      <c r="B1678">
        <v>2020</v>
      </c>
      <c r="C1678" s="7" t="s">
        <v>42</v>
      </c>
      <c r="D1678" s="7" t="s">
        <v>50</v>
      </c>
      <c r="E1678">
        <v>462.8</v>
      </c>
    </row>
    <row r="1679" spans="1:5" x14ac:dyDescent="0.25">
      <c r="A1679" s="7" t="s">
        <v>28</v>
      </c>
      <c r="B1679">
        <v>2020</v>
      </c>
      <c r="C1679" s="7" t="s">
        <v>42</v>
      </c>
      <c r="D1679" s="7" t="s">
        <v>19</v>
      </c>
      <c r="E1679">
        <v>158.19999999999999</v>
      </c>
    </row>
    <row r="1680" spans="1:5" x14ac:dyDescent="0.25">
      <c r="A1680" s="7" t="s">
        <v>28</v>
      </c>
      <c r="B1680">
        <v>2020</v>
      </c>
      <c r="C1680" s="7" t="s">
        <v>42</v>
      </c>
      <c r="D1680" s="7" t="s">
        <v>51</v>
      </c>
      <c r="E1680">
        <v>147.5</v>
      </c>
    </row>
    <row r="1681" spans="1:5" x14ac:dyDescent="0.25">
      <c r="A1681" s="7" t="s">
        <v>28</v>
      </c>
      <c r="B1681">
        <v>2020</v>
      </c>
      <c r="C1681" s="7" t="s">
        <v>42</v>
      </c>
      <c r="D1681" s="7" t="s">
        <v>26</v>
      </c>
      <c r="E1681">
        <v>1085.2</v>
      </c>
    </row>
    <row r="1682" spans="1:5" x14ac:dyDescent="0.25">
      <c r="A1682" s="7" t="s">
        <v>30</v>
      </c>
      <c r="B1682">
        <v>2020</v>
      </c>
      <c r="C1682" s="7" t="s">
        <v>42</v>
      </c>
      <c r="D1682" s="7" t="s">
        <v>48</v>
      </c>
      <c r="E1682">
        <v>2120.6999999999998</v>
      </c>
    </row>
    <row r="1683" spans="1:5" x14ac:dyDescent="0.25">
      <c r="A1683" s="7" t="s">
        <v>30</v>
      </c>
      <c r="B1683">
        <v>2020</v>
      </c>
      <c r="C1683" s="7" t="s">
        <v>42</v>
      </c>
      <c r="D1683" s="7" t="s">
        <v>49</v>
      </c>
      <c r="E1683">
        <v>188.8</v>
      </c>
    </row>
    <row r="1684" spans="1:5" x14ac:dyDescent="0.25">
      <c r="A1684" s="7" t="s">
        <v>30</v>
      </c>
      <c r="B1684">
        <v>2020</v>
      </c>
      <c r="C1684" s="7" t="s">
        <v>42</v>
      </c>
      <c r="D1684" s="7" t="s">
        <v>50</v>
      </c>
      <c r="E1684">
        <v>436.3</v>
      </c>
    </row>
    <row r="1685" spans="1:5" x14ac:dyDescent="0.25">
      <c r="A1685" s="7" t="s">
        <v>30</v>
      </c>
      <c r="B1685">
        <v>2020</v>
      </c>
      <c r="C1685" s="7" t="s">
        <v>42</v>
      </c>
      <c r="D1685" s="7" t="s">
        <v>19</v>
      </c>
      <c r="E1685">
        <v>158</v>
      </c>
    </row>
    <row r="1686" spans="1:5" x14ac:dyDescent="0.25">
      <c r="A1686" s="7" t="s">
        <v>30</v>
      </c>
      <c r="B1686">
        <v>2020</v>
      </c>
      <c r="C1686" s="7" t="s">
        <v>42</v>
      </c>
      <c r="D1686" s="7" t="s">
        <v>51</v>
      </c>
      <c r="E1686">
        <v>137.30000000000001</v>
      </c>
    </row>
    <row r="1687" spans="1:5" x14ac:dyDescent="0.25">
      <c r="A1687" s="7" t="s">
        <v>30</v>
      </c>
      <c r="B1687">
        <v>2020</v>
      </c>
      <c r="C1687" s="7" t="s">
        <v>42</v>
      </c>
      <c r="D1687" s="7" t="s">
        <v>26</v>
      </c>
      <c r="E1687">
        <v>1037.5999999999999</v>
      </c>
    </row>
    <row r="1688" spans="1:5" x14ac:dyDescent="0.25">
      <c r="A1688" s="7" t="s">
        <v>31</v>
      </c>
      <c r="B1688">
        <v>2020</v>
      </c>
      <c r="C1688" s="7" t="s">
        <v>42</v>
      </c>
      <c r="D1688" s="7" t="s">
        <v>48</v>
      </c>
      <c r="E1688">
        <v>2095.6</v>
      </c>
    </row>
    <row r="1689" spans="1:5" x14ac:dyDescent="0.25">
      <c r="A1689" s="7" t="s">
        <v>31</v>
      </c>
      <c r="B1689">
        <v>2020</v>
      </c>
      <c r="C1689" s="7" t="s">
        <v>42</v>
      </c>
      <c r="D1689" s="7" t="s">
        <v>49</v>
      </c>
      <c r="E1689">
        <v>184.8</v>
      </c>
    </row>
    <row r="1690" spans="1:5" x14ac:dyDescent="0.25">
      <c r="A1690" s="7" t="s">
        <v>31</v>
      </c>
      <c r="B1690">
        <v>2020</v>
      </c>
      <c r="C1690" s="7" t="s">
        <v>42</v>
      </c>
      <c r="D1690" s="7" t="s">
        <v>50</v>
      </c>
      <c r="E1690">
        <v>452.00000000000006</v>
      </c>
    </row>
    <row r="1691" spans="1:5" x14ac:dyDescent="0.25">
      <c r="A1691" s="7" t="s">
        <v>31</v>
      </c>
      <c r="B1691">
        <v>2020</v>
      </c>
      <c r="C1691" s="7" t="s">
        <v>42</v>
      </c>
      <c r="D1691" s="7" t="s">
        <v>19</v>
      </c>
      <c r="E1691">
        <v>158</v>
      </c>
    </row>
    <row r="1692" spans="1:5" x14ac:dyDescent="0.25">
      <c r="A1692" s="7" t="s">
        <v>31</v>
      </c>
      <c r="B1692">
        <v>2020</v>
      </c>
      <c r="C1692" s="7" t="s">
        <v>42</v>
      </c>
      <c r="D1692" s="7" t="s">
        <v>51</v>
      </c>
      <c r="E1692">
        <v>143.6</v>
      </c>
    </row>
    <row r="1693" spans="1:5" x14ac:dyDescent="0.25">
      <c r="A1693" s="7" t="s">
        <v>31</v>
      </c>
      <c r="B1693">
        <v>2020</v>
      </c>
      <c r="C1693" s="7" t="s">
        <v>42</v>
      </c>
      <c r="D1693" s="7" t="s">
        <v>26</v>
      </c>
      <c r="E1693">
        <v>1061.3999999999999</v>
      </c>
    </row>
    <row r="1694" spans="1:5" x14ac:dyDescent="0.25">
      <c r="A1694" s="7" t="s">
        <v>28</v>
      </c>
      <c r="B1694">
        <v>2020</v>
      </c>
      <c r="C1694" s="7" t="s">
        <v>43</v>
      </c>
      <c r="D1694" s="7" t="s">
        <v>48</v>
      </c>
      <c r="E1694">
        <v>2100.5</v>
      </c>
    </row>
    <row r="1695" spans="1:5" x14ac:dyDescent="0.25">
      <c r="A1695" s="7" t="s">
        <v>28</v>
      </c>
      <c r="B1695">
        <v>2020</v>
      </c>
      <c r="C1695" s="7" t="s">
        <v>43</v>
      </c>
      <c r="D1695" s="7" t="s">
        <v>49</v>
      </c>
      <c r="E1695">
        <v>183.6</v>
      </c>
    </row>
    <row r="1696" spans="1:5" x14ac:dyDescent="0.25">
      <c r="A1696" s="7" t="s">
        <v>28</v>
      </c>
      <c r="B1696">
        <v>2020</v>
      </c>
      <c r="C1696" s="7" t="s">
        <v>43</v>
      </c>
      <c r="D1696" s="7" t="s">
        <v>50</v>
      </c>
      <c r="E1696">
        <v>464.90000000000003</v>
      </c>
    </row>
    <row r="1697" spans="1:5" x14ac:dyDescent="0.25">
      <c r="A1697" s="7" t="s">
        <v>28</v>
      </c>
      <c r="B1697">
        <v>2020</v>
      </c>
      <c r="C1697" s="7" t="s">
        <v>43</v>
      </c>
      <c r="D1697" s="7" t="s">
        <v>19</v>
      </c>
      <c r="E1697">
        <v>158.1</v>
      </c>
    </row>
    <row r="1698" spans="1:5" x14ac:dyDescent="0.25">
      <c r="A1698" s="7" t="s">
        <v>28</v>
      </c>
      <c r="B1698">
        <v>2020</v>
      </c>
      <c r="C1698" s="7" t="s">
        <v>43</v>
      </c>
      <c r="D1698" s="7" t="s">
        <v>51</v>
      </c>
      <c r="E1698">
        <v>148.69999999999999</v>
      </c>
    </row>
    <row r="1699" spans="1:5" x14ac:dyDescent="0.25">
      <c r="A1699" s="7" t="s">
        <v>28</v>
      </c>
      <c r="B1699">
        <v>2020</v>
      </c>
      <c r="C1699" s="7" t="s">
        <v>43</v>
      </c>
      <c r="D1699" s="7" t="s">
        <v>26</v>
      </c>
      <c r="E1699">
        <v>1090</v>
      </c>
    </row>
    <row r="1700" spans="1:5" x14ac:dyDescent="0.25">
      <c r="A1700" s="7" t="s">
        <v>30</v>
      </c>
      <c r="B1700">
        <v>2020</v>
      </c>
      <c r="C1700" s="7" t="s">
        <v>43</v>
      </c>
      <c r="D1700" s="7" t="s">
        <v>48</v>
      </c>
      <c r="E1700">
        <v>2125.4</v>
      </c>
    </row>
    <row r="1701" spans="1:5" x14ac:dyDescent="0.25">
      <c r="A1701" s="7" t="s">
        <v>30</v>
      </c>
      <c r="B1701">
        <v>2020</v>
      </c>
      <c r="C1701" s="7" t="s">
        <v>43</v>
      </c>
      <c r="D1701" s="7" t="s">
        <v>49</v>
      </c>
      <c r="E1701">
        <v>190.2</v>
      </c>
    </row>
    <row r="1702" spans="1:5" x14ac:dyDescent="0.25">
      <c r="A1702" s="7" t="s">
        <v>30</v>
      </c>
      <c r="B1702">
        <v>2020</v>
      </c>
      <c r="C1702" s="7" t="s">
        <v>43</v>
      </c>
      <c r="D1702" s="7" t="s">
        <v>50</v>
      </c>
      <c r="E1702">
        <v>438.20000000000005</v>
      </c>
    </row>
    <row r="1703" spans="1:5" x14ac:dyDescent="0.25">
      <c r="A1703" s="7" t="s">
        <v>30</v>
      </c>
      <c r="B1703">
        <v>2020</v>
      </c>
      <c r="C1703" s="7" t="s">
        <v>43</v>
      </c>
      <c r="D1703" s="7" t="s">
        <v>19</v>
      </c>
      <c r="E1703">
        <v>158.4</v>
      </c>
    </row>
    <row r="1704" spans="1:5" x14ac:dyDescent="0.25">
      <c r="A1704" s="7" t="s">
        <v>30</v>
      </c>
      <c r="B1704">
        <v>2020</v>
      </c>
      <c r="C1704" s="7" t="s">
        <v>43</v>
      </c>
      <c r="D1704" s="7" t="s">
        <v>51</v>
      </c>
      <c r="E1704">
        <v>137.9</v>
      </c>
    </row>
    <row r="1705" spans="1:5" x14ac:dyDescent="0.25">
      <c r="A1705" s="7" t="s">
        <v>30</v>
      </c>
      <c r="B1705">
        <v>2020</v>
      </c>
      <c r="C1705" s="7" t="s">
        <v>43</v>
      </c>
      <c r="D1705" s="7" t="s">
        <v>26</v>
      </c>
      <c r="E1705">
        <v>1039.9000000000001</v>
      </c>
    </row>
    <row r="1706" spans="1:5" x14ac:dyDescent="0.25">
      <c r="A1706" s="7" t="s">
        <v>31</v>
      </c>
      <c r="B1706">
        <v>2020</v>
      </c>
      <c r="C1706" s="7" t="s">
        <v>43</v>
      </c>
      <c r="D1706" s="7" t="s">
        <v>48</v>
      </c>
      <c r="E1706">
        <v>2109.1</v>
      </c>
    </row>
    <row r="1707" spans="1:5" x14ac:dyDescent="0.25">
      <c r="A1707" s="7" t="s">
        <v>31</v>
      </c>
      <c r="B1707">
        <v>2020</v>
      </c>
      <c r="C1707" s="7" t="s">
        <v>43</v>
      </c>
      <c r="D1707" s="7" t="s">
        <v>49</v>
      </c>
      <c r="E1707">
        <v>185.4</v>
      </c>
    </row>
    <row r="1708" spans="1:5" x14ac:dyDescent="0.25">
      <c r="A1708" s="7" t="s">
        <v>31</v>
      </c>
      <c r="B1708">
        <v>2020</v>
      </c>
      <c r="C1708" s="7" t="s">
        <v>43</v>
      </c>
      <c r="D1708" s="7" t="s">
        <v>50</v>
      </c>
      <c r="E1708">
        <v>454</v>
      </c>
    </row>
    <row r="1709" spans="1:5" x14ac:dyDescent="0.25">
      <c r="A1709" s="7" t="s">
        <v>31</v>
      </c>
      <c r="B1709">
        <v>2020</v>
      </c>
      <c r="C1709" s="7" t="s">
        <v>43</v>
      </c>
      <c r="D1709" s="7" t="s">
        <v>19</v>
      </c>
      <c r="E1709">
        <v>158.4</v>
      </c>
    </row>
    <row r="1710" spans="1:5" x14ac:dyDescent="0.25">
      <c r="A1710" s="7" t="s">
        <v>31</v>
      </c>
      <c r="B1710">
        <v>2020</v>
      </c>
      <c r="C1710" s="7" t="s">
        <v>43</v>
      </c>
      <c r="D1710" s="7" t="s">
        <v>51</v>
      </c>
      <c r="E1710">
        <v>144.6</v>
      </c>
    </row>
    <row r="1711" spans="1:5" x14ac:dyDescent="0.25">
      <c r="A1711" s="7" t="s">
        <v>31</v>
      </c>
      <c r="B1711">
        <v>2020</v>
      </c>
      <c r="C1711" s="7" t="s">
        <v>43</v>
      </c>
      <c r="D1711" s="7" t="s">
        <v>26</v>
      </c>
      <c r="E1711">
        <v>1064.9000000000001</v>
      </c>
    </row>
    <row r="1712" spans="1:5" x14ac:dyDescent="0.25">
      <c r="A1712" s="7" t="s">
        <v>28</v>
      </c>
      <c r="B1712">
        <v>2021</v>
      </c>
      <c r="C1712" s="7" t="s">
        <v>29</v>
      </c>
      <c r="D1712" s="7" t="s">
        <v>48</v>
      </c>
      <c r="E1712">
        <v>2065.6999999999998</v>
      </c>
    </row>
    <row r="1713" spans="1:5" x14ac:dyDescent="0.25">
      <c r="A1713" s="7" t="s">
        <v>28</v>
      </c>
      <c r="B1713">
        <v>2021</v>
      </c>
      <c r="C1713" s="7" t="s">
        <v>29</v>
      </c>
      <c r="D1713" s="7" t="s">
        <v>49</v>
      </c>
      <c r="E1713">
        <v>184.6</v>
      </c>
    </row>
    <row r="1714" spans="1:5" x14ac:dyDescent="0.25">
      <c r="A1714" s="7" t="s">
        <v>28</v>
      </c>
      <c r="B1714">
        <v>2021</v>
      </c>
      <c r="C1714" s="7" t="s">
        <v>29</v>
      </c>
      <c r="D1714" s="7" t="s">
        <v>50</v>
      </c>
      <c r="E1714">
        <v>466.7</v>
      </c>
    </row>
    <row r="1715" spans="1:5" x14ac:dyDescent="0.25">
      <c r="A1715" s="7" t="s">
        <v>28</v>
      </c>
      <c r="B1715">
        <v>2021</v>
      </c>
      <c r="C1715" s="7" t="s">
        <v>29</v>
      </c>
      <c r="D1715" s="7" t="s">
        <v>19</v>
      </c>
      <c r="E1715">
        <v>158.80000000000001</v>
      </c>
    </row>
    <row r="1716" spans="1:5" x14ac:dyDescent="0.25">
      <c r="A1716" s="7" t="s">
        <v>28</v>
      </c>
      <c r="B1716">
        <v>2021</v>
      </c>
      <c r="C1716" s="7" t="s">
        <v>29</v>
      </c>
      <c r="D1716" s="7" t="s">
        <v>51</v>
      </c>
      <c r="E1716">
        <v>150.9</v>
      </c>
    </row>
    <row r="1717" spans="1:5" x14ac:dyDescent="0.25">
      <c r="A1717" s="7" t="s">
        <v>28</v>
      </c>
      <c r="B1717">
        <v>2021</v>
      </c>
      <c r="C1717" s="7" t="s">
        <v>29</v>
      </c>
      <c r="D1717" s="7" t="s">
        <v>26</v>
      </c>
      <c r="E1717">
        <v>1094.6000000000001</v>
      </c>
    </row>
    <row r="1718" spans="1:5" x14ac:dyDescent="0.25">
      <c r="A1718" s="7" t="s">
        <v>30</v>
      </c>
      <c r="B1718">
        <v>2021</v>
      </c>
      <c r="C1718" s="7" t="s">
        <v>29</v>
      </c>
      <c r="D1718" s="7" t="s">
        <v>48</v>
      </c>
      <c r="E1718">
        <v>2097</v>
      </c>
    </row>
    <row r="1719" spans="1:5" x14ac:dyDescent="0.25">
      <c r="A1719" s="7" t="s">
        <v>30</v>
      </c>
      <c r="B1719">
        <v>2021</v>
      </c>
      <c r="C1719" s="7" t="s">
        <v>29</v>
      </c>
      <c r="D1719" s="7" t="s">
        <v>49</v>
      </c>
      <c r="E1719">
        <v>191.8</v>
      </c>
    </row>
    <row r="1720" spans="1:5" x14ac:dyDescent="0.25">
      <c r="A1720" s="7" t="s">
        <v>30</v>
      </c>
      <c r="B1720">
        <v>2021</v>
      </c>
      <c r="C1720" s="7" t="s">
        <v>29</v>
      </c>
      <c r="D1720" s="7" t="s">
        <v>50</v>
      </c>
      <c r="E1720">
        <v>440</v>
      </c>
    </row>
    <row r="1721" spans="1:5" x14ac:dyDescent="0.25">
      <c r="A1721" s="7" t="s">
        <v>30</v>
      </c>
      <c r="B1721">
        <v>2021</v>
      </c>
      <c r="C1721" s="7" t="s">
        <v>29</v>
      </c>
      <c r="D1721" s="7" t="s">
        <v>19</v>
      </c>
      <c r="E1721">
        <v>157.69999999999999</v>
      </c>
    </row>
    <row r="1722" spans="1:5" x14ac:dyDescent="0.25">
      <c r="A1722" s="7" t="s">
        <v>30</v>
      </c>
      <c r="B1722">
        <v>2021</v>
      </c>
      <c r="C1722" s="7" t="s">
        <v>29</v>
      </c>
      <c r="D1722" s="7" t="s">
        <v>51</v>
      </c>
      <c r="E1722">
        <v>142.9</v>
      </c>
    </row>
    <row r="1723" spans="1:5" x14ac:dyDescent="0.25">
      <c r="A1723" s="7" t="s">
        <v>30</v>
      </c>
      <c r="B1723">
        <v>2021</v>
      </c>
      <c r="C1723" s="7" t="s">
        <v>29</v>
      </c>
      <c r="D1723" s="7" t="s">
        <v>26</v>
      </c>
      <c r="E1723">
        <v>1043.4999999999998</v>
      </c>
    </row>
    <row r="1724" spans="1:5" x14ac:dyDescent="0.25">
      <c r="A1724" s="7" t="s">
        <v>31</v>
      </c>
      <c r="B1724">
        <v>2021</v>
      </c>
      <c r="C1724" s="7" t="s">
        <v>29</v>
      </c>
      <c r="D1724" s="7" t="s">
        <v>48</v>
      </c>
      <c r="E1724">
        <v>2076.5</v>
      </c>
    </row>
    <row r="1725" spans="1:5" x14ac:dyDescent="0.25">
      <c r="A1725" s="7" t="s">
        <v>31</v>
      </c>
      <c r="B1725">
        <v>2021</v>
      </c>
      <c r="C1725" s="7" t="s">
        <v>29</v>
      </c>
      <c r="D1725" s="7" t="s">
        <v>49</v>
      </c>
      <c r="E1725">
        <v>186.5</v>
      </c>
    </row>
    <row r="1726" spans="1:5" x14ac:dyDescent="0.25">
      <c r="A1726" s="7" t="s">
        <v>31</v>
      </c>
      <c r="B1726">
        <v>2021</v>
      </c>
      <c r="C1726" s="7" t="s">
        <v>29</v>
      </c>
      <c r="D1726" s="7" t="s">
        <v>50</v>
      </c>
      <c r="E1726">
        <v>455.8</v>
      </c>
    </row>
    <row r="1727" spans="1:5" x14ac:dyDescent="0.25">
      <c r="A1727" s="7" t="s">
        <v>31</v>
      </c>
      <c r="B1727">
        <v>2021</v>
      </c>
      <c r="C1727" s="7" t="s">
        <v>29</v>
      </c>
      <c r="D1727" s="7" t="s">
        <v>19</v>
      </c>
      <c r="E1727">
        <v>157.69999999999999</v>
      </c>
    </row>
    <row r="1728" spans="1:5" x14ac:dyDescent="0.25">
      <c r="A1728" s="7" t="s">
        <v>31</v>
      </c>
      <c r="B1728">
        <v>2021</v>
      </c>
      <c r="C1728" s="7" t="s">
        <v>29</v>
      </c>
      <c r="D1728" s="7" t="s">
        <v>51</v>
      </c>
      <c r="E1728">
        <v>147.9</v>
      </c>
    </row>
    <row r="1729" spans="1:5" x14ac:dyDescent="0.25">
      <c r="A1729" s="7" t="s">
        <v>31</v>
      </c>
      <c r="B1729">
        <v>2021</v>
      </c>
      <c r="C1729" s="7" t="s">
        <v>29</v>
      </c>
      <c r="D1729" s="7" t="s">
        <v>26</v>
      </c>
      <c r="E1729">
        <v>1068.7</v>
      </c>
    </row>
    <row r="1730" spans="1:5" x14ac:dyDescent="0.25">
      <c r="A1730" s="7" t="s">
        <v>28</v>
      </c>
      <c r="B1730">
        <v>2021</v>
      </c>
      <c r="C1730" s="7" t="s">
        <v>32</v>
      </c>
      <c r="D1730" s="7" t="s">
        <v>48</v>
      </c>
      <c r="E1730">
        <v>2025.3</v>
      </c>
    </row>
    <row r="1731" spans="1:5" x14ac:dyDescent="0.25">
      <c r="A1731" s="7" t="s">
        <v>28</v>
      </c>
      <c r="B1731">
        <v>2021</v>
      </c>
      <c r="C1731" s="7" t="s">
        <v>32</v>
      </c>
      <c r="D1731" s="7" t="s">
        <v>49</v>
      </c>
      <c r="E1731">
        <v>186.5</v>
      </c>
    </row>
    <row r="1732" spans="1:5" x14ac:dyDescent="0.25">
      <c r="A1732" s="7" t="s">
        <v>28</v>
      </c>
      <c r="B1732">
        <v>2021</v>
      </c>
      <c r="C1732" s="7" t="s">
        <v>32</v>
      </c>
      <c r="D1732" s="7" t="s">
        <v>50</v>
      </c>
      <c r="E1732">
        <v>471.4</v>
      </c>
    </row>
    <row r="1733" spans="1:5" x14ac:dyDescent="0.25">
      <c r="A1733" s="7" t="s">
        <v>28</v>
      </c>
      <c r="B1733">
        <v>2021</v>
      </c>
      <c r="C1733" s="7" t="s">
        <v>32</v>
      </c>
      <c r="D1733" s="7" t="s">
        <v>19</v>
      </c>
      <c r="E1733">
        <v>159.9</v>
      </c>
    </row>
    <row r="1734" spans="1:5" x14ac:dyDescent="0.25">
      <c r="A1734" s="7" t="s">
        <v>28</v>
      </c>
      <c r="B1734">
        <v>2021</v>
      </c>
      <c r="C1734" s="7" t="s">
        <v>32</v>
      </c>
      <c r="D1734" s="7" t="s">
        <v>51</v>
      </c>
      <c r="E1734">
        <v>154.4</v>
      </c>
    </row>
    <row r="1735" spans="1:5" x14ac:dyDescent="0.25">
      <c r="A1735" s="7" t="s">
        <v>28</v>
      </c>
      <c r="B1735">
        <v>2021</v>
      </c>
      <c r="C1735" s="7" t="s">
        <v>32</v>
      </c>
      <c r="D1735" s="7" t="s">
        <v>26</v>
      </c>
      <c r="E1735">
        <v>1102.3</v>
      </c>
    </row>
    <row r="1736" spans="1:5" x14ac:dyDescent="0.25">
      <c r="A1736" s="7" t="s">
        <v>30</v>
      </c>
      <c r="B1736">
        <v>2021</v>
      </c>
      <c r="C1736" s="7" t="s">
        <v>32</v>
      </c>
      <c r="D1736" s="7" t="s">
        <v>48</v>
      </c>
      <c r="E1736">
        <v>2066</v>
      </c>
    </row>
    <row r="1737" spans="1:5" x14ac:dyDescent="0.25">
      <c r="A1737" s="7" t="s">
        <v>30</v>
      </c>
      <c r="B1737">
        <v>2021</v>
      </c>
      <c r="C1737" s="7" t="s">
        <v>32</v>
      </c>
      <c r="D1737" s="7" t="s">
        <v>49</v>
      </c>
      <c r="E1737">
        <v>193.3</v>
      </c>
    </row>
    <row r="1738" spans="1:5" x14ac:dyDescent="0.25">
      <c r="A1738" s="7" t="s">
        <v>30</v>
      </c>
      <c r="B1738">
        <v>2021</v>
      </c>
      <c r="C1738" s="7" t="s">
        <v>32</v>
      </c>
      <c r="D1738" s="7" t="s">
        <v>50</v>
      </c>
      <c r="E1738">
        <v>444.2</v>
      </c>
    </row>
    <row r="1739" spans="1:5" x14ac:dyDescent="0.25">
      <c r="A1739" s="7" t="s">
        <v>30</v>
      </c>
      <c r="B1739">
        <v>2021</v>
      </c>
      <c r="C1739" s="7" t="s">
        <v>32</v>
      </c>
      <c r="D1739" s="7" t="s">
        <v>19</v>
      </c>
      <c r="E1739">
        <v>159.80000000000001</v>
      </c>
    </row>
    <row r="1740" spans="1:5" x14ac:dyDescent="0.25">
      <c r="A1740" s="7" t="s">
        <v>30</v>
      </c>
      <c r="B1740">
        <v>2021</v>
      </c>
      <c r="C1740" s="7" t="s">
        <v>32</v>
      </c>
      <c r="D1740" s="7" t="s">
        <v>51</v>
      </c>
      <c r="E1740">
        <v>149.1</v>
      </c>
    </row>
    <row r="1741" spans="1:5" x14ac:dyDescent="0.25">
      <c r="A1741" s="7" t="s">
        <v>30</v>
      </c>
      <c r="B1741">
        <v>2021</v>
      </c>
      <c r="C1741" s="7" t="s">
        <v>32</v>
      </c>
      <c r="D1741" s="7" t="s">
        <v>26</v>
      </c>
      <c r="E1741">
        <v>1053.2</v>
      </c>
    </row>
    <row r="1742" spans="1:5" x14ac:dyDescent="0.25">
      <c r="A1742" s="7" t="s">
        <v>31</v>
      </c>
      <c r="B1742">
        <v>2021</v>
      </c>
      <c r="C1742" s="7" t="s">
        <v>32</v>
      </c>
      <c r="D1742" s="7" t="s">
        <v>48</v>
      </c>
      <c r="E1742">
        <v>2039.3000000000002</v>
      </c>
    </row>
    <row r="1743" spans="1:5" x14ac:dyDescent="0.25">
      <c r="A1743" s="7" t="s">
        <v>31</v>
      </c>
      <c r="B1743">
        <v>2021</v>
      </c>
      <c r="C1743" s="7" t="s">
        <v>32</v>
      </c>
      <c r="D1743" s="7" t="s">
        <v>49</v>
      </c>
      <c r="E1743">
        <v>188.3</v>
      </c>
    </row>
    <row r="1744" spans="1:5" x14ac:dyDescent="0.25">
      <c r="A1744" s="7" t="s">
        <v>31</v>
      </c>
      <c r="B1744">
        <v>2021</v>
      </c>
      <c r="C1744" s="7" t="s">
        <v>32</v>
      </c>
      <c r="D1744" s="7" t="s">
        <v>50</v>
      </c>
      <c r="E1744">
        <v>460.40000000000003</v>
      </c>
    </row>
    <row r="1745" spans="1:5" x14ac:dyDescent="0.25">
      <c r="A1745" s="7" t="s">
        <v>31</v>
      </c>
      <c r="B1745">
        <v>2021</v>
      </c>
      <c r="C1745" s="7" t="s">
        <v>32</v>
      </c>
      <c r="D1745" s="7" t="s">
        <v>19</v>
      </c>
      <c r="E1745">
        <v>159.80000000000001</v>
      </c>
    </row>
    <row r="1746" spans="1:5" x14ac:dyDescent="0.25">
      <c r="A1746" s="7" t="s">
        <v>31</v>
      </c>
      <c r="B1746">
        <v>2021</v>
      </c>
      <c r="C1746" s="7" t="s">
        <v>32</v>
      </c>
      <c r="D1746" s="7" t="s">
        <v>51</v>
      </c>
      <c r="E1746">
        <v>152.4</v>
      </c>
    </row>
    <row r="1747" spans="1:5" x14ac:dyDescent="0.25">
      <c r="A1747" s="7" t="s">
        <v>31</v>
      </c>
      <c r="B1747">
        <v>2021</v>
      </c>
      <c r="C1747" s="7" t="s">
        <v>32</v>
      </c>
      <c r="D1747" s="7" t="s">
        <v>26</v>
      </c>
      <c r="E1747">
        <v>1077.5000000000002</v>
      </c>
    </row>
    <row r="1748" spans="1:5" x14ac:dyDescent="0.25">
      <c r="A1748" s="7" t="s">
        <v>28</v>
      </c>
      <c r="B1748">
        <v>2021</v>
      </c>
      <c r="C1748" s="7" t="s">
        <v>33</v>
      </c>
      <c r="D1748" s="7" t="s">
        <v>48</v>
      </c>
      <c r="E1748">
        <v>2025.7</v>
      </c>
    </row>
    <row r="1749" spans="1:5" x14ac:dyDescent="0.25">
      <c r="A1749" s="7" t="s">
        <v>28</v>
      </c>
      <c r="B1749">
        <v>2021</v>
      </c>
      <c r="C1749" s="7" t="s">
        <v>33</v>
      </c>
      <c r="D1749" s="7" t="s">
        <v>49</v>
      </c>
      <c r="E1749">
        <v>186.1</v>
      </c>
    </row>
    <row r="1750" spans="1:5" x14ac:dyDescent="0.25">
      <c r="A1750" s="7" t="s">
        <v>28</v>
      </c>
      <c r="B1750">
        <v>2021</v>
      </c>
      <c r="C1750" s="7" t="s">
        <v>33</v>
      </c>
      <c r="D1750" s="7" t="s">
        <v>50</v>
      </c>
      <c r="E1750">
        <v>472.9</v>
      </c>
    </row>
    <row r="1751" spans="1:5" x14ac:dyDescent="0.25">
      <c r="A1751" s="7" t="s">
        <v>28</v>
      </c>
      <c r="B1751">
        <v>2021</v>
      </c>
      <c r="C1751" s="7" t="s">
        <v>33</v>
      </c>
      <c r="D1751" s="7" t="s">
        <v>19</v>
      </c>
      <c r="E1751">
        <v>0</v>
      </c>
    </row>
    <row r="1752" spans="1:5" x14ac:dyDescent="0.25">
      <c r="A1752" s="7" t="s">
        <v>28</v>
      </c>
      <c r="B1752">
        <v>2021</v>
      </c>
      <c r="C1752" s="7" t="s">
        <v>33</v>
      </c>
      <c r="D1752" s="7" t="s">
        <v>51</v>
      </c>
      <c r="E1752">
        <v>156</v>
      </c>
    </row>
    <row r="1753" spans="1:5" x14ac:dyDescent="0.25">
      <c r="A1753" s="7" t="s">
        <v>28</v>
      </c>
      <c r="B1753">
        <v>2021</v>
      </c>
      <c r="C1753" s="7" t="s">
        <v>33</v>
      </c>
      <c r="D1753" s="7" t="s">
        <v>26</v>
      </c>
      <c r="E1753">
        <v>1102.7</v>
      </c>
    </row>
    <row r="1754" spans="1:5" x14ac:dyDescent="0.25">
      <c r="A1754" s="7" t="s">
        <v>30</v>
      </c>
      <c r="B1754">
        <v>2021</v>
      </c>
      <c r="C1754" s="7" t="s">
        <v>33</v>
      </c>
      <c r="D1754" s="7" t="s">
        <v>48</v>
      </c>
      <c r="E1754">
        <v>2064.4999999999995</v>
      </c>
    </row>
    <row r="1755" spans="1:5" x14ac:dyDescent="0.25">
      <c r="A1755" s="7" t="s">
        <v>30</v>
      </c>
      <c r="B1755">
        <v>2021</v>
      </c>
      <c r="C1755" s="7" t="s">
        <v>33</v>
      </c>
      <c r="D1755" s="7" t="s">
        <v>49</v>
      </c>
      <c r="E1755">
        <v>193.5</v>
      </c>
    </row>
    <row r="1756" spans="1:5" x14ac:dyDescent="0.25">
      <c r="A1756" s="7" t="s">
        <v>30</v>
      </c>
      <c r="B1756">
        <v>2021</v>
      </c>
      <c r="C1756" s="7" t="s">
        <v>33</v>
      </c>
      <c r="D1756" s="7" t="s">
        <v>50</v>
      </c>
      <c r="E1756">
        <v>446.4</v>
      </c>
    </row>
    <row r="1757" spans="1:5" x14ac:dyDescent="0.25">
      <c r="A1757" s="7" t="s">
        <v>30</v>
      </c>
      <c r="B1757">
        <v>2021</v>
      </c>
      <c r="C1757" s="7" t="s">
        <v>33</v>
      </c>
      <c r="D1757" s="7" t="s">
        <v>19</v>
      </c>
      <c r="E1757">
        <v>159.9</v>
      </c>
    </row>
    <row r="1758" spans="1:5" x14ac:dyDescent="0.25">
      <c r="A1758" s="7" t="s">
        <v>30</v>
      </c>
      <c r="B1758">
        <v>2021</v>
      </c>
      <c r="C1758" s="7" t="s">
        <v>33</v>
      </c>
      <c r="D1758" s="7" t="s">
        <v>51</v>
      </c>
      <c r="E1758">
        <v>154.80000000000001</v>
      </c>
    </row>
    <row r="1759" spans="1:5" x14ac:dyDescent="0.25">
      <c r="A1759" s="7" t="s">
        <v>30</v>
      </c>
      <c r="B1759">
        <v>2021</v>
      </c>
      <c r="C1759" s="7" t="s">
        <v>33</v>
      </c>
      <c r="D1759" s="7" t="s">
        <v>26</v>
      </c>
      <c r="E1759">
        <v>1056.9000000000001</v>
      </c>
    </row>
    <row r="1760" spans="1:5" x14ac:dyDescent="0.25">
      <c r="A1760" s="7" t="s">
        <v>31</v>
      </c>
      <c r="B1760">
        <v>2021</v>
      </c>
      <c r="C1760" s="7" t="s">
        <v>33</v>
      </c>
      <c r="D1760" s="7" t="s">
        <v>48</v>
      </c>
      <c r="E1760">
        <v>2039.3999999999999</v>
      </c>
    </row>
    <row r="1761" spans="1:5" x14ac:dyDescent="0.25">
      <c r="A1761" s="7" t="s">
        <v>31</v>
      </c>
      <c r="B1761">
        <v>2021</v>
      </c>
      <c r="C1761" s="7" t="s">
        <v>33</v>
      </c>
      <c r="D1761" s="7" t="s">
        <v>49</v>
      </c>
      <c r="E1761">
        <v>188.1</v>
      </c>
    </row>
    <row r="1762" spans="1:5" x14ac:dyDescent="0.25">
      <c r="A1762" s="7" t="s">
        <v>31</v>
      </c>
      <c r="B1762">
        <v>2021</v>
      </c>
      <c r="C1762" s="7" t="s">
        <v>33</v>
      </c>
      <c r="D1762" s="7" t="s">
        <v>50</v>
      </c>
      <c r="E1762">
        <v>462.1</v>
      </c>
    </row>
    <row r="1763" spans="1:5" x14ac:dyDescent="0.25">
      <c r="A1763" s="7" t="s">
        <v>31</v>
      </c>
      <c r="B1763">
        <v>2021</v>
      </c>
      <c r="C1763" s="7" t="s">
        <v>33</v>
      </c>
      <c r="D1763" s="7" t="s">
        <v>19</v>
      </c>
      <c r="E1763">
        <v>159.9</v>
      </c>
    </row>
    <row r="1764" spans="1:5" x14ac:dyDescent="0.25">
      <c r="A1764" s="7" t="s">
        <v>31</v>
      </c>
      <c r="B1764">
        <v>2021</v>
      </c>
      <c r="C1764" s="7" t="s">
        <v>33</v>
      </c>
      <c r="D1764" s="7" t="s">
        <v>51</v>
      </c>
      <c r="E1764">
        <v>155.5</v>
      </c>
    </row>
    <row r="1765" spans="1:5" x14ac:dyDescent="0.25">
      <c r="A1765" s="7" t="s">
        <v>31</v>
      </c>
      <c r="B1765">
        <v>2021</v>
      </c>
      <c r="C1765" s="7" t="s">
        <v>33</v>
      </c>
      <c r="D1765" s="7" t="s">
        <v>26</v>
      </c>
      <c r="E1765">
        <v>1079.4999999999998</v>
      </c>
    </row>
    <row r="1766" spans="1:5" x14ac:dyDescent="0.25">
      <c r="A1766" s="7" t="s">
        <v>28</v>
      </c>
      <c r="B1766">
        <v>2021</v>
      </c>
      <c r="C1766" s="7" t="s">
        <v>34</v>
      </c>
      <c r="D1766" s="7" t="s">
        <v>48</v>
      </c>
      <c r="E1766">
        <v>2049.5</v>
      </c>
    </row>
    <row r="1767" spans="1:5" x14ac:dyDescent="0.25">
      <c r="A1767" s="7" t="s">
        <v>28</v>
      </c>
      <c r="B1767">
        <v>2021</v>
      </c>
      <c r="C1767" s="7" t="s">
        <v>34</v>
      </c>
      <c r="D1767" s="7" t="s">
        <v>49</v>
      </c>
      <c r="E1767">
        <v>186.8</v>
      </c>
    </row>
    <row r="1768" spans="1:5" x14ac:dyDescent="0.25">
      <c r="A1768" s="7" t="s">
        <v>28</v>
      </c>
      <c r="B1768">
        <v>2021</v>
      </c>
      <c r="C1768" s="7" t="s">
        <v>34</v>
      </c>
      <c r="D1768" s="7" t="s">
        <v>50</v>
      </c>
      <c r="E1768">
        <v>475.69999999999993</v>
      </c>
    </row>
    <row r="1769" spans="1:5" x14ac:dyDescent="0.25">
      <c r="A1769" s="7" t="s">
        <v>28</v>
      </c>
      <c r="B1769">
        <v>2021</v>
      </c>
      <c r="C1769" s="7" t="s">
        <v>34</v>
      </c>
      <c r="D1769" s="7" t="s">
        <v>19</v>
      </c>
      <c r="E1769">
        <v>0</v>
      </c>
    </row>
    <row r="1770" spans="1:5" x14ac:dyDescent="0.25">
      <c r="A1770" s="7" t="s">
        <v>28</v>
      </c>
      <c r="B1770">
        <v>2021</v>
      </c>
      <c r="C1770" s="7" t="s">
        <v>34</v>
      </c>
      <c r="D1770" s="7" t="s">
        <v>51</v>
      </c>
      <c r="E1770">
        <v>156</v>
      </c>
    </row>
    <row r="1771" spans="1:5" x14ac:dyDescent="0.25">
      <c r="A1771" s="7" t="s">
        <v>28</v>
      </c>
      <c r="B1771">
        <v>2021</v>
      </c>
      <c r="C1771" s="7" t="s">
        <v>34</v>
      </c>
      <c r="D1771" s="7" t="s">
        <v>26</v>
      </c>
      <c r="E1771">
        <v>1107.8000000000002</v>
      </c>
    </row>
    <row r="1772" spans="1:5" x14ac:dyDescent="0.25">
      <c r="A1772" s="7" t="s">
        <v>30</v>
      </c>
      <c r="B1772">
        <v>2021</v>
      </c>
      <c r="C1772" s="7" t="s">
        <v>34</v>
      </c>
      <c r="D1772" s="7" t="s">
        <v>48</v>
      </c>
      <c r="E1772">
        <v>2089.6</v>
      </c>
    </row>
    <row r="1773" spans="1:5" x14ac:dyDescent="0.25">
      <c r="A1773" s="7" t="s">
        <v>30</v>
      </c>
      <c r="B1773">
        <v>2021</v>
      </c>
      <c r="C1773" s="7" t="s">
        <v>34</v>
      </c>
      <c r="D1773" s="7" t="s">
        <v>49</v>
      </c>
      <c r="E1773">
        <v>194.4</v>
      </c>
    </row>
    <row r="1774" spans="1:5" x14ac:dyDescent="0.25">
      <c r="A1774" s="7" t="s">
        <v>30</v>
      </c>
      <c r="B1774">
        <v>2021</v>
      </c>
      <c r="C1774" s="7" t="s">
        <v>34</v>
      </c>
      <c r="D1774" s="7" t="s">
        <v>50</v>
      </c>
      <c r="E1774">
        <v>448.6</v>
      </c>
    </row>
    <row r="1775" spans="1:5" x14ac:dyDescent="0.25">
      <c r="A1775" s="7" t="s">
        <v>30</v>
      </c>
      <c r="B1775">
        <v>2021</v>
      </c>
      <c r="C1775" s="7" t="s">
        <v>34</v>
      </c>
      <c r="D1775" s="7" t="s">
        <v>19</v>
      </c>
      <c r="E1775">
        <v>161.4</v>
      </c>
    </row>
    <row r="1776" spans="1:5" x14ac:dyDescent="0.25">
      <c r="A1776" s="7" t="s">
        <v>30</v>
      </c>
      <c r="B1776">
        <v>2021</v>
      </c>
      <c r="C1776" s="7" t="s">
        <v>34</v>
      </c>
      <c r="D1776" s="7" t="s">
        <v>51</v>
      </c>
      <c r="E1776">
        <v>154.9</v>
      </c>
    </row>
    <row r="1777" spans="1:5" x14ac:dyDescent="0.25">
      <c r="A1777" s="7" t="s">
        <v>30</v>
      </c>
      <c r="B1777">
        <v>2021</v>
      </c>
      <c r="C1777" s="7" t="s">
        <v>34</v>
      </c>
      <c r="D1777" s="7" t="s">
        <v>26</v>
      </c>
      <c r="E1777">
        <v>1061</v>
      </c>
    </row>
    <row r="1778" spans="1:5" x14ac:dyDescent="0.25">
      <c r="A1778" s="7" t="s">
        <v>31</v>
      </c>
      <c r="B1778">
        <v>2021</v>
      </c>
      <c r="C1778" s="7" t="s">
        <v>34</v>
      </c>
      <c r="D1778" s="7" t="s">
        <v>48</v>
      </c>
      <c r="E1778">
        <v>2064.1</v>
      </c>
    </row>
    <row r="1779" spans="1:5" x14ac:dyDescent="0.25">
      <c r="A1779" s="7" t="s">
        <v>31</v>
      </c>
      <c r="B1779">
        <v>2021</v>
      </c>
      <c r="C1779" s="7" t="s">
        <v>34</v>
      </c>
      <c r="D1779" s="7" t="s">
        <v>49</v>
      </c>
      <c r="E1779">
        <v>188.8</v>
      </c>
    </row>
    <row r="1780" spans="1:5" x14ac:dyDescent="0.25">
      <c r="A1780" s="7" t="s">
        <v>31</v>
      </c>
      <c r="B1780">
        <v>2021</v>
      </c>
      <c r="C1780" s="7" t="s">
        <v>34</v>
      </c>
      <c r="D1780" s="7" t="s">
        <v>50</v>
      </c>
      <c r="E1780">
        <v>464.6</v>
      </c>
    </row>
    <row r="1781" spans="1:5" x14ac:dyDescent="0.25">
      <c r="A1781" s="7" t="s">
        <v>31</v>
      </c>
      <c r="B1781">
        <v>2021</v>
      </c>
      <c r="C1781" s="7" t="s">
        <v>34</v>
      </c>
      <c r="D1781" s="7" t="s">
        <v>19</v>
      </c>
      <c r="E1781">
        <v>161.4</v>
      </c>
    </row>
    <row r="1782" spans="1:5" x14ac:dyDescent="0.25">
      <c r="A1782" s="7" t="s">
        <v>31</v>
      </c>
      <c r="B1782">
        <v>2021</v>
      </c>
      <c r="C1782" s="7" t="s">
        <v>34</v>
      </c>
      <c r="D1782" s="7" t="s">
        <v>51</v>
      </c>
      <c r="E1782">
        <v>155.6</v>
      </c>
    </row>
    <row r="1783" spans="1:5" x14ac:dyDescent="0.25">
      <c r="A1783" s="7" t="s">
        <v>31</v>
      </c>
      <c r="B1783">
        <v>2021</v>
      </c>
      <c r="C1783" s="7" t="s">
        <v>34</v>
      </c>
      <c r="D1783" s="7" t="s">
        <v>26</v>
      </c>
      <c r="E1783">
        <v>1084</v>
      </c>
    </row>
    <row r="1784" spans="1:5" x14ac:dyDescent="0.25">
      <c r="A1784" s="7" t="s">
        <v>28</v>
      </c>
      <c r="B1784">
        <v>2021</v>
      </c>
      <c r="C1784" s="7" t="s">
        <v>35</v>
      </c>
      <c r="D1784" s="7" t="s">
        <v>48</v>
      </c>
      <c r="E1784">
        <v>2095.2999999999997</v>
      </c>
    </row>
    <row r="1785" spans="1:5" x14ac:dyDescent="0.25">
      <c r="A1785" s="7" t="s">
        <v>28</v>
      </c>
      <c r="B1785">
        <v>2021</v>
      </c>
      <c r="C1785" s="7" t="s">
        <v>35</v>
      </c>
      <c r="D1785" s="7" t="s">
        <v>49</v>
      </c>
      <c r="E1785">
        <v>189.6</v>
      </c>
    </row>
    <row r="1786" spans="1:5" x14ac:dyDescent="0.25">
      <c r="A1786" s="7" t="s">
        <v>28</v>
      </c>
      <c r="B1786">
        <v>2021</v>
      </c>
      <c r="C1786" s="7" t="s">
        <v>35</v>
      </c>
      <c r="D1786" s="7" t="s">
        <v>50</v>
      </c>
      <c r="E1786">
        <v>490.4</v>
      </c>
    </row>
    <row r="1787" spans="1:5" x14ac:dyDescent="0.25">
      <c r="A1787" s="7" t="s">
        <v>28</v>
      </c>
      <c r="B1787">
        <v>2021</v>
      </c>
      <c r="C1787" s="7" t="s">
        <v>35</v>
      </c>
      <c r="D1787" s="7" t="s">
        <v>19</v>
      </c>
      <c r="E1787">
        <v>161.1</v>
      </c>
    </row>
    <row r="1788" spans="1:5" x14ac:dyDescent="0.25">
      <c r="A1788" s="7" t="s">
        <v>28</v>
      </c>
      <c r="B1788">
        <v>2021</v>
      </c>
      <c r="C1788" s="7" t="s">
        <v>35</v>
      </c>
      <c r="D1788" s="7" t="s">
        <v>51</v>
      </c>
      <c r="E1788">
        <v>161.69999999999999</v>
      </c>
    </row>
    <row r="1789" spans="1:5" x14ac:dyDescent="0.25">
      <c r="A1789" s="7" t="s">
        <v>28</v>
      </c>
      <c r="B1789">
        <v>2021</v>
      </c>
      <c r="C1789" s="7" t="s">
        <v>35</v>
      </c>
      <c r="D1789" s="7" t="s">
        <v>26</v>
      </c>
      <c r="E1789">
        <v>1129.0999999999999</v>
      </c>
    </row>
    <row r="1790" spans="1:5" x14ac:dyDescent="0.25">
      <c r="A1790" s="7" t="s">
        <v>30</v>
      </c>
      <c r="B1790">
        <v>2021</v>
      </c>
      <c r="C1790" s="7" t="s">
        <v>35</v>
      </c>
      <c r="D1790" s="7" t="s">
        <v>48</v>
      </c>
      <c r="E1790">
        <v>2124.7000000000003</v>
      </c>
    </row>
    <row r="1791" spans="1:5" x14ac:dyDescent="0.25">
      <c r="A1791" s="7" t="s">
        <v>30</v>
      </c>
      <c r="B1791">
        <v>2021</v>
      </c>
      <c r="C1791" s="7" t="s">
        <v>35</v>
      </c>
      <c r="D1791" s="7" t="s">
        <v>49</v>
      </c>
      <c r="E1791">
        <v>198.2</v>
      </c>
    </row>
    <row r="1792" spans="1:5" x14ac:dyDescent="0.25">
      <c r="A1792" s="7" t="s">
        <v>30</v>
      </c>
      <c r="B1792">
        <v>2021</v>
      </c>
      <c r="C1792" s="7" t="s">
        <v>35</v>
      </c>
      <c r="D1792" s="7" t="s">
        <v>50</v>
      </c>
      <c r="E1792">
        <v>450.79999999999995</v>
      </c>
    </row>
    <row r="1793" spans="1:5" x14ac:dyDescent="0.25">
      <c r="A1793" s="7" t="s">
        <v>30</v>
      </c>
      <c r="B1793">
        <v>2021</v>
      </c>
      <c r="C1793" s="7" t="s">
        <v>35</v>
      </c>
      <c r="D1793" s="7" t="s">
        <v>19</v>
      </c>
      <c r="E1793">
        <v>161.6</v>
      </c>
    </row>
    <row r="1794" spans="1:5" x14ac:dyDescent="0.25">
      <c r="A1794" s="7" t="s">
        <v>30</v>
      </c>
      <c r="B1794">
        <v>2021</v>
      </c>
      <c r="C1794" s="7" t="s">
        <v>35</v>
      </c>
      <c r="D1794" s="7" t="s">
        <v>51</v>
      </c>
      <c r="E1794">
        <v>155.5</v>
      </c>
    </row>
    <row r="1795" spans="1:5" x14ac:dyDescent="0.25">
      <c r="A1795" s="7" t="s">
        <v>30</v>
      </c>
      <c r="B1795">
        <v>2021</v>
      </c>
      <c r="C1795" s="7" t="s">
        <v>35</v>
      </c>
      <c r="D1795" s="7" t="s">
        <v>26</v>
      </c>
      <c r="E1795">
        <v>1074.5</v>
      </c>
    </row>
    <row r="1796" spans="1:5" x14ac:dyDescent="0.25">
      <c r="A1796" s="7" t="s">
        <v>31</v>
      </c>
      <c r="B1796">
        <v>2021</v>
      </c>
      <c r="C1796" s="7" t="s">
        <v>35</v>
      </c>
      <c r="D1796" s="7" t="s">
        <v>48</v>
      </c>
      <c r="E1796">
        <v>2105.7000000000003</v>
      </c>
    </row>
    <row r="1797" spans="1:5" x14ac:dyDescent="0.25">
      <c r="A1797" s="7" t="s">
        <v>31</v>
      </c>
      <c r="B1797">
        <v>2021</v>
      </c>
      <c r="C1797" s="7" t="s">
        <v>35</v>
      </c>
      <c r="D1797" s="7" t="s">
        <v>49</v>
      </c>
      <c r="E1797">
        <v>191.9</v>
      </c>
    </row>
    <row r="1798" spans="1:5" x14ac:dyDescent="0.25">
      <c r="A1798" s="7" t="s">
        <v>31</v>
      </c>
      <c r="B1798">
        <v>2021</v>
      </c>
      <c r="C1798" s="7" t="s">
        <v>35</v>
      </c>
      <c r="D1798" s="7" t="s">
        <v>50</v>
      </c>
      <c r="E1798">
        <v>474.29999999999995</v>
      </c>
    </row>
    <row r="1799" spans="1:5" x14ac:dyDescent="0.25">
      <c r="A1799" s="7" t="s">
        <v>31</v>
      </c>
      <c r="B1799">
        <v>2021</v>
      </c>
      <c r="C1799" s="7" t="s">
        <v>35</v>
      </c>
      <c r="D1799" s="7" t="s">
        <v>19</v>
      </c>
      <c r="E1799">
        <v>161.6</v>
      </c>
    </row>
    <row r="1800" spans="1:5" x14ac:dyDescent="0.25">
      <c r="A1800" s="7" t="s">
        <v>31</v>
      </c>
      <c r="B1800">
        <v>2021</v>
      </c>
      <c r="C1800" s="7" t="s">
        <v>35</v>
      </c>
      <c r="D1800" s="7" t="s">
        <v>51</v>
      </c>
      <c r="E1800">
        <v>159.4</v>
      </c>
    </row>
    <row r="1801" spans="1:5" x14ac:dyDescent="0.25">
      <c r="A1801" s="7" t="s">
        <v>31</v>
      </c>
      <c r="B1801">
        <v>2021</v>
      </c>
      <c r="C1801" s="7" t="s">
        <v>35</v>
      </c>
      <c r="D1801" s="7" t="s">
        <v>26</v>
      </c>
      <c r="E1801">
        <v>1101.8000000000002</v>
      </c>
    </row>
    <row r="1802" spans="1:5" x14ac:dyDescent="0.25">
      <c r="A1802" s="7" t="s">
        <v>28</v>
      </c>
      <c r="B1802">
        <v>2021</v>
      </c>
      <c r="C1802" s="7" t="s">
        <v>36</v>
      </c>
      <c r="D1802" s="7" t="s">
        <v>48</v>
      </c>
      <c r="E1802">
        <v>2122.6</v>
      </c>
    </row>
    <row r="1803" spans="1:5" x14ac:dyDescent="0.25">
      <c r="A1803" s="7" t="s">
        <v>28</v>
      </c>
      <c r="B1803">
        <v>2021</v>
      </c>
      <c r="C1803" s="7" t="s">
        <v>36</v>
      </c>
      <c r="D1803" s="7" t="s">
        <v>49</v>
      </c>
      <c r="E1803">
        <v>189.1</v>
      </c>
    </row>
    <row r="1804" spans="1:5" x14ac:dyDescent="0.25">
      <c r="A1804" s="7" t="s">
        <v>28</v>
      </c>
      <c r="B1804">
        <v>2021</v>
      </c>
      <c r="C1804" s="7" t="s">
        <v>36</v>
      </c>
      <c r="D1804" s="7" t="s">
        <v>50</v>
      </c>
      <c r="E1804">
        <v>489.80000000000007</v>
      </c>
    </row>
    <row r="1805" spans="1:5" x14ac:dyDescent="0.25">
      <c r="A1805" s="7" t="s">
        <v>28</v>
      </c>
      <c r="B1805">
        <v>2021</v>
      </c>
      <c r="C1805" s="7" t="s">
        <v>36</v>
      </c>
      <c r="D1805" s="7" t="s">
        <v>19</v>
      </c>
      <c r="E1805">
        <v>161</v>
      </c>
    </row>
    <row r="1806" spans="1:5" x14ac:dyDescent="0.25">
      <c r="A1806" s="7" t="s">
        <v>28</v>
      </c>
      <c r="B1806">
        <v>2021</v>
      </c>
      <c r="C1806" s="7" t="s">
        <v>36</v>
      </c>
      <c r="D1806" s="7" t="s">
        <v>51</v>
      </c>
      <c r="E1806">
        <v>162.1</v>
      </c>
    </row>
    <row r="1807" spans="1:5" x14ac:dyDescent="0.25">
      <c r="A1807" s="7" t="s">
        <v>28</v>
      </c>
      <c r="B1807">
        <v>2021</v>
      </c>
      <c r="C1807" s="7" t="s">
        <v>36</v>
      </c>
      <c r="D1807" s="7" t="s">
        <v>26</v>
      </c>
      <c r="E1807">
        <v>1131.1999999999998</v>
      </c>
    </row>
    <row r="1808" spans="1:5" x14ac:dyDescent="0.25">
      <c r="A1808" s="7" t="s">
        <v>30</v>
      </c>
      <c r="B1808">
        <v>2021</v>
      </c>
      <c r="C1808" s="7" t="s">
        <v>36</v>
      </c>
      <c r="D1808" s="7" t="s">
        <v>48</v>
      </c>
      <c r="E1808">
        <v>2154.1999999999998</v>
      </c>
    </row>
    <row r="1809" spans="1:5" x14ac:dyDescent="0.25">
      <c r="A1809" s="7" t="s">
        <v>30</v>
      </c>
      <c r="B1809">
        <v>2021</v>
      </c>
      <c r="C1809" s="7" t="s">
        <v>36</v>
      </c>
      <c r="D1809" s="7" t="s">
        <v>49</v>
      </c>
      <c r="E1809">
        <v>195.6</v>
      </c>
    </row>
    <row r="1810" spans="1:5" x14ac:dyDescent="0.25">
      <c r="A1810" s="7" t="s">
        <v>30</v>
      </c>
      <c r="B1810">
        <v>2021</v>
      </c>
      <c r="C1810" s="7" t="s">
        <v>36</v>
      </c>
      <c r="D1810" s="7" t="s">
        <v>50</v>
      </c>
      <c r="E1810">
        <v>452.6</v>
      </c>
    </row>
    <row r="1811" spans="1:5" x14ac:dyDescent="0.25">
      <c r="A1811" s="7" t="s">
        <v>30</v>
      </c>
      <c r="B1811">
        <v>2021</v>
      </c>
      <c r="C1811" s="7" t="s">
        <v>36</v>
      </c>
      <c r="D1811" s="7" t="s">
        <v>19</v>
      </c>
      <c r="E1811">
        <v>160.5</v>
      </c>
    </row>
    <row r="1812" spans="1:5" x14ac:dyDescent="0.25">
      <c r="A1812" s="7" t="s">
        <v>30</v>
      </c>
      <c r="B1812">
        <v>2021</v>
      </c>
      <c r="C1812" s="7" t="s">
        <v>36</v>
      </c>
      <c r="D1812" s="7" t="s">
        <v>51</v>
      </c>
      <c r="E1812">
        <v>156.1</v>
      </c>
    </row>
    <row r="1813" spans="1:5" x14ac:dyDescent="0.25">
      <c r="A1813" s="7" t="s">
        <v>30</v>
      </c>
      <c r="B1813">
        <v>2021</v>
      </c>
      <c r="C1813" s="7" t="s">
        <v>36</v>
      </c>
      <c r="D1813" s="7" t="s">
        <v>26</v>
      </c>
      <c r="E1813">
        <v>1078.3</v>
      </c>
    </row>
    <row r="1814" spans="1:5" x14ac:dyDescent="0.25">
      <c r="A1814" s="7" t="s">
        <v>31</v>
      </c>
      <c r="B1814">
        <v>2021</v>
      </c>
      <c r="C1814" s="7" t="s">
        <v>36</v>
      </c>
      <c r="D1814" s="7" t="s">
        <v>48</v>
      </c>
      <c r="E1814">
        <v>2133.9</v>
      </c>
    </row>
    <row r="1815" spans="1:5" x14ac:dyDescent="0.25">
      <c r="A1815" s="7" t="s">
        <v>31</v>
      </c>
      <c r="B1815">
        <v>2021</v>
      </c>
      <c r="C1815" s="7" t="s">
        <v>36</v>
      </c>
      <c r="D1815" s="7" t="s">
        <v>49</v>
      </c>
      <c r="E1815">
        <v>190.8</v>
      </c>
    </row>
    <row r="1816" spans="1:5" x14ac:dyDescent="0.25">
      <c r="A1816" s="7" t="s">
        <v>31</v>
      </c>
      <c r="B1816">
        <v>2021</v>
      </c>
      <c r="C1816" s="7" t="s">
        <v>36</v>
      </c>
      <c r="D1816" s="7" t="s">
        <v>50</v>
      </c>
      <c r="E1816">
        <v>474.7</v>
      </c>
    </row>
    <row r="1817" spans="1:5" x14ac:dyDescent="0.25">
      <c r="A1817" s="7" t="s">
        <v>31</v>
      </c>
      <c r="B1817">
        <v>2021</v>
      </c>
      <c r="C1817" s="7" t="s">
        <v>36</v>
      </c>
      <c r="D1817" s="7" t="s">
        <v>19</v>
      </c>
      <c r="E1817">
        <v>160.5</v>
      </c>
    </row>
    <row r="1818" spans="1:5" x14ac:dyDescent="0.25">
      <c r="A1818" s="7" t="s">
        <v>31</v>
      </c>
      <c r="B1818">
        <v>2021</v>
      </c>
      <c r="C1818" s="7" t="s">
        <v>36</v>
      </c>
      <c r="D1818" s="7" t="s">
        <v>51</v>
      </c>
      <c r="E1818">
        <v>159.80000000000001</v>
      </c>
    </row>
    <row r="1819" spans="1:5" x14ac:dyDescent="0.25">
      <c r="A1819" s="7" t="s">
        <v>31</v>
      </c>
      <c r="B1819">
        <v>2021</v>
      </c>
      <c r="C1819" s="7" t="s">
        <v>36</v>
      </c>
      <c r="D1819" s="7" t="s">
        <v>26</v>
      </c>
      <c r="E1819">
        <v>1104.8</v>
      </c>
    </row>
    <row r="1820" spans="1:5" x14ac:dyDescent="0.25">
      <c r="A1820" s="7" t="s">
        <v>28</v>
      </c>
      <c r="B1820">
        <v>2021</v>
      </c>
      <c r="C1820" s="7" t="s">
        <v>37</v>
      </c>
      <c r="D1820" s="7" t="s">
        <v>48</v>
      </c>
      <c r="E1820">
        <v>2132.4</v>
      </c>
    </row>
    <row r="1821" spans="1:5" x14ac:dyDescent="0.25">
      <c r="A1821" s="7" t="s">
        <v>28</v>
      </c>
      <c r="B1821">
        <v>2021</v>
      </c>
      <c r="C1821" s="7" t="s">
        <v>37</v>
      </c>
      <c r="D1821" s="7" t="s">
        <v>49</v>
      </c>
      <c r="E1821">
        <v>189.7</v>
      </c>
    </row>
    <row r="1822" spans="1:5" x14ac:dyDescent="0.25">
      <c r="A1822" s="7" t="s">
        <v>28</v>
      </c>
      <c r="B1822">
        <v>2021</v>
      </c>
      <c r="C1822" s="7" t="s">
        <v>37</v>
      </c>
      <c r="D1822" s="7" t="s">
        <v>50</v>
      </c>
      <c r="E1822">
        <v>492.40000000000003</v>
      </c>
    </row>
    <row r="1823" spans="1:5" x14ac:dyDescent="0.25">
      <c r="A1823" s="7" t="s">
        <v>28</v>
      </c>
      <c r="B1823">
        <v>2021</v>
      </c>
      <c r="C1823" s="7" t="s">
        <v>37</v>
      </c>
      <c r="D1823" s="7" t="s">
        <v>19</v>
      </c>
      <c r="E1823">
        <v>161.80000000000001</v>
      </c>
    </row>
    <row r="1824" spans="1:5" x14ac:dyDescent="0.25">
      <c r="A1824" s="7" t="s">
        <v>28</v>
      </c>
      <c r="B1824">
        <v>2021</v>
      </c>
      <c r="C1824" s="7" t="s">
        <v>37</v>
      </c>
      <c r="D1824" s="7" t="s">
        <v>51</v>
      </c>
      <c r="E1824">
        <v>162.5</v>
      </c>
    </row>
    <row r="1825" spans="1:5" x14ac:dyDescent="0.25">
      <c r="A1825" s="7" t="s">
        <v>28</v>
      </c>
      <c r="B1825">
        <v>2021</v>
      </c>
      <c r="C1825" s="7" t="s">
        <v>37</v>
      </c>
      <c r="D1825" s="7" t="s">
        <v>26</v>
      </c>
      <c r="E1825">
        <v>1138.9000000000001</v>
      </c>
    </row>
    <row r="1826" spans="1:5" x14ac:dyDescent="0.25">
      <c r="A1826" s="7" t="s">
        <v>30</v>
      </c>
      <c r="B1826">
        <v>2021</v>
      </c>
      <c r="C1826" s="7" t="s">
        <v>37</v>
      </c>
      <c r="D1826" s="7" t="s">
        <v>48</v>
      </c>
      <c r="E1826">
        <v>2171.8000000000002</v>
      </c>
    </row>
    <row r="1827" spans="1:5" x14ac:dyDescent="0.25">
      <c r="A1827" s="7" t="s">
        <v>30</v>
      </c>
      <c r="B1827">
        <v>2021</v>
      </c>
      <c r="C1827" s="7" t="s">
        <v>37</v>
      </c>
      <c r="D1827" s="7" t="s">
        <v>49</v>
      </c>
      <c r="E1827">
        <v>195.5</v>
      </c>
    </row>
    <row r="1828" spans="1:5" x14ac:dyDescent="0.25">
      <c r="A1828" s="7" t="s">
        <v>30</v>
      </c>
      <c r="B1828">
        <v>2021</v>
      </c>
      <c r="C1828" s="7" t="s">
        <v>37</v>
      </c>
      <c r="D1828" s="7" t="s">
        <v>50</v>
      </c>
      <c r="E1828">
        <v>455.3</v>
      </c>
    </row>
    <row r="1829" spans="1:5" x14ac:dyDescent="0.25">
      <c r="A1829" s="7" t="s">
        <v>30</v>
      </c>
      <c r="B1829">
        <v>2021</v>
      </c>
      <c r="C1829" s="7" t="s">
        <v>37</v>
      </c>
      <c r="D1829" s="7" t="s">
        <v>19</v>
      </c>
      <c r="E1829">
        <v>161.5</v>
      </c>
    </row>
    <row r="1830" spans="1:5" x14ac:dyDescent="0.25">
      <c r="A1830" s="7" t="s">
        <v>30</v>
      </c>
      <c r="B1830">
        <v>2021</v>
      </c>
      <c r="C1830" s="7" t="s">
        <v>37</v>
      </c>
      <c r="D1830" s="7" t="s">
        <v>51</v>
      </c>
      <c r="E1830">
        <v>157.69999999999999</v>
      </c>
    </row>
    <row r="1831" spans="1:5" x14ac:dyDescent="0.25">
      <c r="A1831" s="7" t="s">
        <v>30</v>
      </c>
      <c r="B1831">
        <v>2021</v>
      </c>
      <c r="C1831" s="7" t="s">
        <v>37</v>
      </c>
      <c r="D1831" s="7" t="s">
        <v>26</v>
      </c>
      <c r="E1831">
        <v>1087.8000000000002</v>
      </c>
    </row>
    <row r="1832" spans="1:5" x14ac:dyDescent="0.25">
      <c r="A1832" s="7" t="s">
        <v>31</v>
      </c>
      <c r="B1832">
        <v>2021</v>
      </c>
      <c r="C1832" s="7" t="s">
        <v>37</v>
      </c>
      <c r="D1832" s="7" t="s">
        <v>48</v>
      </c>
      <c r="E1832">
        <v>2147</v>
      </c>
    </row>
    <row r="1833" spans="1:5" x14ac:dyDescent="0.25">
      <c r="A1833" s="7" t="s">
        <v>31</v>
      </c>
      <c r="B1833">
        <v>2021</v>
      </c>
      <c r="C1833" s="7" t="s">
        <v>37</v>
      </c>
      <c r="D1833" s="7" t="s">
        <v>49</v>
      </c>
      <c r="E1833">
        <v>191.2</v>
      </c>
    </row>
    <row r="1834" spans="1:5" x14ac:dyDescent="0.25">
      <c r="A1834" s="7" t="s">
        <v>31</v>
      </c>
      <c r="B1834">
        <v>2021</v>
      </c>
      <c r="C1834" s="7" t="s">
        <v>37</v>
      </c>
      <c r="D1834" s="7" t="s">
        <v>50</v>
      </c>
      <c r="E1834">
        <v>477.29999999999995</v>
      </c>
    </row>
    <row r="1835" spans="1:5" x14ac:dyDescent="0.25">
      <c r="A1835" s="7" t="s">
        <v>31</v>
      </c>
      <c r="B1835">
        <v>2021</v>
      </c>
      <c r="C1835" s="7" t="s">
        <v>37</v>
      </c>
      <c r="D1835" s="7" t="s">
        <v>19</v>
      </c>
      <c r="E1835">
        <v>161.5</v>
      </c>
    </row>
    <row r="1836" spans="1:5" x14ac:dyDescent="0.25">
      <c r="A1836" s="7" t="s">
        <v>31</v>
      </c>
      <c r="B1836">
        <v>2021</v>
      </c>
      <c r="C1836" s="7" t="s">
        <v>37</v>
      </c>
      <c r="D1836" s="7" t="s">
        <v>51</v>
      </c>
      <c r="E1836">
        <v>160.69999999999999</v>
      </c>
    </row>
    <row r="1837" spans="1:5" x14ac:dyDescent="0.25">
      <c r="A1837" s="7" t="s">
        <v>31</v>
      </c>
      <c r="B1837">
        <v>2021</v>
      </c>
      <c r="C1837" s="7" t="s">
        <v>37</v>
      </c>
      <c r="D1837" s="7" t="s">
        <v>26</v>
      </c>
      <c r="E1837">
        <v>1113.5</v>
      </c>
    </row>
    <row r="1838" spans="1:5" x14ac:dyDescent="0.25">
      <c r="A1838" s="7" t="s">
        <v>28</v>
      </c>
      <c r="B1838">
        <v>2021</v>
      </c>
      <c r="C1838" s="7" t="s">
        <v>38</v>
      </c>
      <c r="D1838" s="7" t="s">
        <v>48</v>
      </c>
      <c r="E1838">
        <v>2130.8000000000002</v>
      </c>
    </row>
    <row r="1839" spans="1:5" x14ac:dyDescent="0.25">
      <c r="A1839" s="7" t="s">
        <v>28</v>
      </c>
      <c r="B1839">
        <v>2021</v>
      </c>
      <c r="C1839" s="7" t="s">
        <v>38</v>
      </c>
      <c r="D1839" s="7" t="s">
        <v>49</v>
      </c>
      <c r="E1839">
        <v>190.2</v>
      </c>
    </row>
    <row r="1840" spans="1:5" x14ac:dyDescent="0.25">
      <c r="A1840" s="7" t="s">
        <v>28</v>
      </c>
      <c r="B1840">
        <v>2021</v>
      </c>
      <c r="C1840" s="7" t="s">
        <v>38</v>
      </c>
      <c r="D1840" s="7" t="s">
        <v>50</v>
      </c>
      <c r="E1840">
        <v>495.90000000000003</v>
      </c>
    </row>
    <row r="1841" spans="1:5" x14ac:dyDescent="0.25">
      <c r="A1841" s="7" t="s">
        <v>28</v>
      </c>
      <c r="B1841">
        <v>2021</v>
      </c>
      <c r="C1841" s="7" t="s">
        <v>38</v>
      </c>
      <c r="D1841" s="7" t="s">
        <v>19</v>
      </c>
      <c r="E1841">
        <v>162.1</v>
      </c>
    </row>
    <row r="1842" spans="1:5" x14ac:dyDescent="0.25">
      <c r="A1842" s="7" t="s">
        <v>28</v>
      </c>
      <c r="B1842">
        <v>2021</v>
      </c>
      <c r="C1842" s="7" t="s">
        <v>38</v>
      </c>
      <c r="D1842" s="7" t="s">
        <v>51</v>
      </c>
      <c r="E1842">
        <v>163.1</v>
      </c>
    </row>
    <row r="1843" spans="1:5" x14ac:dyDescent="0.25">
      <c r="A1843" s="7" t="s">
        <v>28</v>
      </c>
      <c r="B1843">
        <v>2021</v>
      </c>
      <c r="C1843" s="7" t="s">
        <v>38</v>
      </c>
      <c r="D1843" s="7" t="s">
        <v>26</v>
      </c>
      <c r="E1843">
        <v>1141.8999999999999</v>
      </c>
    </row>
    <row r="1844" spans="1:5" x14ac:dyDescent="0.25">
      <c r="A1844" s="7" t="s">
        <v>30</v>
      </c>
      <c r="B1844">
        <v>2021</v>
      </c>
      <c r="C1844" s="7" t="s">
        <v>38</v>
      </c>
      <c r="D1844" s="7" t="s">
        <v>48</v>
      </c>
      <c r="E1844">
        <v>2157.9</v>
      </c>
    </row>
    <row r="1845" spans="1:5" x14ac:dyDescent="0.25">
      <c r="A1845" s="7" t="s">
        <v>30</v>
      </c>
      <c r="B1845">
        <v>2021</v>
      </c>
      <c r="C1845" s="7" t="s">
        <v>38</v>
      </c>
      <c r="D1845" s="7" t="s">
        <v>49</v>
      </c>
      <c r="E1845">
        <v>196.5</v>
      </c>
    </row>
    <row r="1846" spans="1:5" x14ac:dyDescent="0.25">
      <c r="A1846" s="7" t="s">
        <v>30</v>
      </c>
      <c r="B1846">
        <v>2021</v>
      </c>
      <c r="C1846" s="7" t="s">
        <v>38</v>
      </c>
      <c r="D1846" s="7" t="s">
        <v>50</v>
      </c>
      <c r="E1846">
        <v>460.7</v>
      </c>
    </row>
    <row r="1847" spans="1:5" x14ac:dyDescent="0.25">
      <c r="A1847" s="7" t="s">
        <v>30</v>
      </c>
      <c r="B1847">
        <v>2021</v>
      </c>
      <c r="C1847" s="7" t="s">
        <v>38</v>
      </c>
      <c r="D1847" s="7" t="s">
        <v>19</v>
      </c>
      <c r="E1847">
        <v>162.1</v>
      </c>
    </row>
    <row r="1848" spans="1:5" x14ac:dyDescent="0.25">
      <c r="A1848" s="7" t="s">
        <v>30</v>
      </c>
      <c r="B1848">
        <v>2021</v>
      </c>
      <c r="C1848" s="7" t="s">
        <v>38</v>
      </c>
      <c r="D1848" s="7" t="s">
        <v>51</v>
      </c>
      <c r="E1848">
        <v>160.69999999999999</v>
      </c>
    </row>
    <row r="1849" spans="1:5" x14ac:dyDescent="0.25">
      <c r="A1849" s="7" t="s">
        <v>30</v>
      </c>
      <c r="B1849">
        <v>2021</v>
      </c>
      <c r="C1849" s="7" t="s">
        <v>38</v>
      </c>
      <c r="D1849" s="7" t="s">
        <v>26</v>
      </c>
      <c r="E1849">
        <v>1096.0999999999999</v>
      </c>
    </row>
    <row r="1850" spans="1:5" x14ac:dyDescent="0.25">
      <c r="A1850" s="7" t="s">
        <v>31</v>
      </c>
      <c r="B1850">
        <v>2021</v>
      </c>
      <c r="C1850" s="7" t="s">
        <v>38</v>
      </c>
      <c r="D1850" s="7" t="s">
        <v>48</v>
      </c>
      <c r="E1850">
        <v>2142</v>
      </c>
    </row>
    <row r="1851" spans="1:5" x14ac:dyDescent="0.25">
      <c r="A1851" s="7" t="s">
        <v>31</v>
      </c>
      <c r="B1851">
        <v>2021</v>
      </c>
      <c r="C1851" s="7" t="s">
        <v>38</v>
      </c>
      <c r="D1851" s="7" t="s">
        <v>49</v>
      </c>
      <c r="E1851">
        <v>192.1</v>
      </c>
    </row>
    <row r="1852" spans="1:5" x14ac:dyDescent="0.25">
      <c r="A1852" s="7" t="s">
        <v>31</v>
      </c>
      <c r="B1852">
        <v>2021</v>
      </c>
      <c r="C1852" s="7" t="s">
        <v>38</v>
      </c>
      <c r="D1852" s="7" t="s">
        <v>50</v>
      </c>
      <c r="E1852">
        <v>483</v>
      </c>
    </row>
    <row r="1853" spans="1:5" x14ac:dyDescent="0.25">
      <c r="A1853" s="7" t="s">
        <v>31</v>
      </c>
      <c r="B1853">
        <v>2021</v>
      </c>
      <c r="C1853" s="7" t="s">
        <v>38</v>
      </c>
      <c r="D1853" s="7" t="s">
        <v>19</v>
      </c>
      <c r="E1853">
        <v>162.1</v>
      </c>
    </row>
    <row r="1854" spans="1:5" x14ac:dyDescent="0.25">
      <c r="A1854" s="7" t="s">
        <v>31</v>
      </c>
      <c r="B1854">
        <v>2021</v>
      </c>
      <c r="C1854" s="7" t="s">
        <v>38</v>
      </c>
      <c r="D1854" s="7" t="s">
        <v>51</v>
      </c>
      <c r="E1854">
        <v>162.6</v>
      </c>
    </row>
    <row r="1855" spans="1:5" x14ac:dyDescent="0.25">
      <c r="A1855" s="7" t="s">
        <v>31</v>
      </c>
      <c r="B1855">
        <v>2021</v>
      </c>
      <c r="C1855" s="7" t="s">
        <v>38</v>
      </c>
      <c r="D1855" s="7" t="s">
        <v>26</v>
      </c>
      <c r="E1855">
        <v>1121.3</v>
      </c>
    </row>
    <row r="1856" spans="1:5" x14ac:dyDescent="0.25">
      <c r="A1856" s="7" t="s">
        <v>28</v>
      </c>
      <c r="B1856">
        <v>2021</v>
      </c>
      <c r="C1856" s="7" t="s">
        <v>39</v>
      </c>
      <c r="D1856" s="7" t="s">
        <v>48</v>
      </c>
      <c r="E1856">
        <v>2133.6</v>
      </c>
    </row>
    <row r="1857" spans="1:5" x14ac:dyDescent="0.25">
      <c r="A1857" s="7" t="s">
        <v>28</v>
      </c>
      <c r="B1857">
        <v>2021</v>
      </c>
      <c r="C1857" s="7" t="s">
        <v>39</v>
      </c>
      <c r="D1857" s="7" t="s">
        <v>49</v>
      </c>
      <c r="E1857">
        <v>190.5</v>
      </c>
    </row>
    <row r="1858" spans="1:5" x14ac:dyDescent="0.25">
      <c r="A1858" s="7" t="s">
        <v>28</v>
      </c>
      <c r="B1858">
        <v>2021</v>
      </c>
      <c r="C1858" s="7" t="s">
        <v>39</v>
      </c>
      <c r="D1858" s="7" t="s">
        <v>50</v>
      </c>
      <c r="E1858">
        <v>498.4</v>
      </c>
    </row>
    <row r="1859" spans="1:5" x14ac:dyDescent="0.25">
      <c r="A1859" s="7" t="s">
        <v>28</v>
      </c>
      <c r="B1859">
        <v>2021</v>
      </c>
      <c r="C1859" s="7" t="s">
        <v>39</v>
      </c>
      <c r="D1859" s="7" t="s">
        <v>19</v>
      </c>
      <c r="E1859">
        <v>162.9</v>
      </c>
    </row>
    <row r="1860" spans="1:5" x14ac:dyDescent="0.25">
      <c r="A1860" s="7" t="s">
        <v>28</v>
      </c>
      <c r="B1860">
        <v>2021</v>
      </c>
      <c r="C1860" s="7" t="s">
        <v>39</v>
      </c>
      <c r="D1860" s="7" t="s">
        <v>51</v>
      </c>
      <c r="E1860">
        <v>163.69999999999999</v>
      </c>
    </row>
    <row r="1861" spans="1:5" x14ac:dyDescent="0.25">
      <c r="A1861" s="7" t="s">
        <v>28</v>
      </c>
      <c r="B1861">
        <v>2021</v>
      </c>
      <c r="C1861" s="7" t="s">
        <v>39</v>
      </c>
      <c r="D1861" s="7" t="s">
        <v>26</v>
      </c>
      <c r="E1861">
        <v>1146.2</v>
      </c>
    </row>
    <row r="1862" spans="1:5" x14ac:dyDescent="0.25">
      <c r="A1862" s="7" t="s">
        <v>30</v>
      </c>
      <c r="B1862">
        <v>2021</v>
      </c>
      <c r="C1862" s="7" t="s">
        <v>39</v>
      </c>
      <c r="D1862" s="7" t="s">
        <v>48</v>
      </c>
      <c r="E1862">
        <v>2157.9</v>
      </c>
    </row>
    <row r="1863" spans="1:5" x14ac:dyDescent="0.25">
      <c r="A1863" s="7" t="s">
        <v>30</v>
      </c>
      <c r="B1863">
        <v>2021</v>
      </c>
      <c r="C1863" s="7" t="s">
        <v>39</v>
      </c>
      <c r="D1863" s="7" t="s">
        <v>49</v>
      </c>
      <c r="E1863">
        <v>196.5</v>
      </c>
    </row>
    <row r="1864" spans="1:5" x14ac:dyDescent="0.25">
      <c r="A1864" s="7" t="s">
        <v>30</v>
      </c>
      <c r="B1864">
        <v>2021</v>
      </c>
      <c r="C1864" s="7" t="s">
        <v>39</v>
      </c>
      <c r="D1864" s="7" t="s">
        <v>50</v>
      </c>
      <c r="E1864">
        <v>460.79999999999995</v>
      </c>
    </row>
    <row r="1865" spans="1:5" x14ac:dyDescent="0.25">
      <c r="A1865" s="7" t="s">
        <v>30</v>
      </c>
      <c r="B1865">
        <v>2021</v>
      </c>
      <c r="C1865" s="7" t="s">
        <v>39</v>
      </c>
      <c r="D1865" s="7" t="s">
        <v>19</v>
      </c>
      <c r="E1865">
        <v>162.1</v>
      </c>
    </row>
    <row r="1866" spans="1:5" x14ac:dyDescent="0.25">
      <c r="A1866" s="7" t="s">
        <v>30</v>
      </c>
      <c r="B1866">
        <v>2021</v>
      </c>
      <c r="C1866" s="7" t="s">
        <v>39</v>
      </c>
      <c r="D1866" s="7" t="s">
        <v>51</v>
      </c>
      <c r="E1866">
        <v>160.80000000000001</v>
      </c>
    </row>
    <row r="1867" spans="1:5" x14ac:dyDescent="0.25">
      <c r="A1867" s="7" t="s">
        <v>30</v>
      </c>
      <c r="B1867">
        <v>2021</v>
      </c>
      <c r="C1867" s="7" t="s">
        <v>39</v>
      </c>
      <c r="D1867" s="7" t="s">
        <v>26</v>
      </c>
      <c r="E1867">
        <v>1096.4000000000001</v>
      </c>
    </row>
    <row r="1868" spans="1:5" x14ac:dyDescent="0.25">
      <c r="A1868" s="7" t="s">
        <v>31</v>
      </c>
      <c r="B1868">
        <v>2021</v>
      </c>
      <c r="C1868" s="7" t="s">
        <v>39</v>
      </c>
      <c r="D1868" s="7" t="s">
        <v>48</v>
      </c>
      <c r="E1868">
        <v>2142</v>
      </c>
    </row>
    <row r="1869" spans="1:5" x14ac:dyDescent="0.25">
      <c r="A1869" s="7" t="s">
        <v>31</v>
      </c>
      <c r="B1869">
        <v>2021</v>
      </c>
      <c r="C1869" s="7" t="s">
        <v>39</v>
      </c>
      <c r="D1869" s="7" t="s">
        <v>49</v>
      </c>
      <c r="E1869">
        <v>192.1</v>
      </c>
    </row>
    <row r="1870" spans="1:5" x14ac:dyDescent="0.25">
      <c r="A1870" s="7" t="s">
        <v>31</v>
      </c>
      <c r="B1870">
        <v>2021</v>
      </c>
      <c r="C1870" s="7" t="s">
        <v>39</v>
      </c>
      <c r="D1870" s="7" t="s">
        <v>50</v>
      </c>
      <c r="E1870">
        <v>483.2</v>
      </c>
    </row>
    <row r="1871" spans="1:5" x14ac:dyDescent="0.25">
      <c r="A1871" s="7" t="s">
        <v>31</v>
      </c>
      <c r="B1871">
        <v>2021</v>
      </c>
      <c r="C1871" s="7" t="s">
        <v>39</v>
      </c>
      <c r="D1871" s="7" t="s">
        <v>19</v>
      </c>
      <c r="E1871">
        <v>162.1</v>
      </c>
    </row>
    <row r="1872" spans="1:5" x14ac:dyDescent="0.25">
      <c r="A1872" s="7" t="s">
        <v>31</v>
      </c>
      <c r="B1872">
        <v>2021</v>
      </c>
      <c r="C1872" s="7" t="s">
        <v>39</v>
      </c>
      <c r="D1872" s="7" t="s">
        <v>51</v>
      </c>
      <c r="E1872">
        <v>162.6</v>
      </c>
    </row>
    <row r="1873" spans="1:5" x14ac:dyDescent="0.25">
      <c r="A1873" s="7" t="s">
        <v>31</v>
      </c>
      <c r="B1873">
        <v>2021</v>
      </c>
      <c r="C1873" s="7" t="s">
        <v>39</v>
      </c>
      <c r="D1873" s="7" t="s">
        <v>26</v>
      </c>
      <c r="E1873">
        <v>1121.3</v>
      </c>
    </row>
    <row r="1874" spans="1:5" x14ac:dyDescent="0.25">
      <c r="A1874" s="7" t="s">
        <v>28</v>
      </c>
      <c r="B1874">
        <v>2021</v>
      </c>
      <c r="C1874" s="7" t="s">
        <v>40</v>
      </c>
      <c r="D1874" s="7" t="s">
        <v>48</v>
      </c>
      <c r="E1874">
        <v>2164.1999999999998</v>
      </c>
    </row>
    <row r="1875" spans="1:5" x14ac:dyDescent="0.25">
      <c r="A1875" s="7" t="s">
        <v>28</v>
      </c>
      <c r="B1875">
        <v>2021</v>
      </c>
      <c r="C1875" s="7" t="s">
        <v>40</v>
      </c>
      <c r="D1875" s="7" t="s">
        <v>49</v>
      </c>
      <c r="E1875">
        <v>191.2</v>
      </c>
    </row>
    <row r="1876" spans="1:5" x14ac:dyDescent="0.25">
      <c r="A1876" s="7" t="s">
        <v>28</v>
      </c>
      <c r="B1876">
        <v>2021</v>
      </c>
      <c r="C1876" s="7" t="s">
        <v>40</v>
      </c>
      <c r="D1876" s="7" t="s">
        <v>50</v>
      </c>
      <c r="E1876">
        <v>502.00000000000006</v>
      </c>
    </row>
    <row r="1877" spans="1:5" x14ac:dyDescent="0.25">
      <c r="A1877" s="7" t="s">
        <v>28</v>
      </c>
      <c r="B1877">
        <v>2021</v>
      </c>
      <c r="C1877" s="7" t="s">
        <v>40</v>
      </c>
      <c r="D1877" s="7" t="s">
        <v>19</v>
      </c>
      <c r="E1877">
        <v>163.9</v>
      </c>
    </row>
    <row r="1878" spans="1:5" x14ac:dyDescent="0.25">
      <c r="A1878" s="7" t="s">
        <v>28</v>
      </c>
      <c r="B1878">
        <v>2021</v>
      </c>
      <c r="C1878" s="7" t="s">
        <v>40</v>
      </c>
      <c r="D1878" s="7" t="s">
        <v>51</v>
      </c>
      <c r="E1878">
        <v>165.5</v>
      </c>
    </row>
    <row r="1879" spans="1:5" x14ac:dyDescent="0.25">
      <c r="A1879" s="7" t="s">
        <v>28</v>
      </c>
      <c r="B1879">
        <v>2021</v>
      </c>
      <c r="C1879" s="7" t="s">
        <v>40</v>
      </c>
      <c r="D1879" s="7" t="s">
        <v>26</v>
      </c>
      <c r="E1879">
        <v>1152</v>
      </c>
    </row>
    <row r="1880" spans="1:5" x14ac:dyDescent="0.25">
      <c r="A1880" s="7" t="s">
        <v>30</v>
      </c>
      <c r="B1880">
        <v>2021</v>
      </c>
      <c r="C1880" s="7" t="s">
        <v>40</v>
      </c>
      <c r="D1880" s="7" t="s">
        <v>48</v>
      </c>
      <c r="E1880">
        <v>2198.4000000000005</v>
      </c>
    </row>
    <row r="1881" spans="1:5" x14ac:dyDescent="0.25">
      <c r="A1881" s="7" t="s">
        <v>30</v>
      </c>
      <c r="B1881">
        <v>2021</v>
      </c>
      <c r="C1881" s="7" t="s">
        <v>40</v>
      </c>
      <c r="D1881" s="7" t="s">
        <v>49</v>
      </c>
      <c r="E1881">
        <v>197</v>
      </c>
    </row>
    <row r="1882" spans="1:5" x14ac:dyDescent="0.25">
      <c r="A1882" s="7" t="s">
        <v>30</v>
      </c>
      <c r="B1882">
        <v>2021</v>
      </c>
      <c r="C1882" s="7" t="s">
        <v>40</v>
      </c>
      <c r="D1882" s="7" t="s">
        <v>50</v>
      </c>
      <c r="E1882">
        <v>463.50000000000006</v>
      </c>
    </row>
    <row r="1883" spans="1:5" x14ac:dyDescent="0.25">
      <c r="A1883" s="7" t="s">
        <v>30</v>
      </c>
      <c r="B1883">
        <v>2021</v>
      </c>
      <c r="C1883" s="7" t="s">
        <v>40</v>
      </c>
      <c r="D1883" s="7" t="s">
        <v>19</v>
      </c>
      <c r="E1883">
        <v>163.6</v>
      </c>
    </row>
    <row r="1884" spans="1:5" x14ac:dyDescent="0.25">
      <c r="A1884" s="7" t="s">
        <v>30</v>
      </c>
      <c r="B1884">
        <v>2021</v>
      </c>
      <c r="C1884" s="7" t="s">
        <v>40</v>
      </c>
      <c r="D1884" s="7" t="s">
        <v>51</v>
      </c>
      <c r="E1884">
        <v>162.19999999999999</v>
      </c>
    </row>
    <row r="1885" spans="1:5" x14ac:dyDescent="0.25">
      <c r="A1885" s="7" t="s">
        <v>30</v>
      </c>
      <c r="B1885">
        <v>2021</v>
      </c>
      <c r="C1885" s="7" t="s">
        <v>40</v>
      </c>
      <c r="D1885" s="7" t="s">
        <v>26</v>
      </c>
      <c r="E1885">
        <v>1102.7</v>
      </c>
    </row>
    <row r="1886" spans="1:5" x14ac:dyDescent="0.25">
      <c r="A1886" s="7" t="s">
        <v>31</v>
      </c>
      <c r="B1886">
        <v>2021</v>
      </c>
      <c r="C1886" s="7" t="s">
        <v>40</v>
      </c>
      <c r="D1886" s="7" t="s">
        <v>48</v>
      </c>
      <c r="E1886">
        <v>2175.5</v>
      </c>
    </row>
    <row r="1887" spans="1:5" x14ac:dyDescent="0.25">
      <c r="A1887" s="7" t="s">
        <v>31</v>
      </c>
      <c r="B1887">
        <v>2021</v>
      </c>
      <c r="C1887" s="7" t="s">
        <v>40</v>
      </c>
      <c r="D1887" s="7" t="s">
        <v>49</v>
      </c>
      <c r="E1887">
        <v>192.7</v>
      </c>
    </row>
    <row r="1888" spans="1:5" x14ac:dyDescent="0.25">
      <c r="A1888" s="7" t="s">
        <v>31</v>
      </c>
      <c r="B1888">
        <v>2021</v>
      </c>
      <c r="C1888" s="7" t="s">
        <v>40</v>
      </c>
      <c r="D1888" s="7" t="s">
        <v>50</v>
      </c>
      <c r="E1888">
        <v>486.3</v>
      </c>
    </row>
    <row r="1889" spans="1:5" x14ac:dyDescent="0.25">
      <c r="A1889" s="7" t="s">
        <v>31</v>
      </c>
      <c r="B1889">
        <v>2021</v>
      </c>
      <c r="C1889" s="7" t="s">
        <v>40</v>
      </c>
      <c r="D1889" s="7" t="s">
        <v>19</v>
      </c>
      <c r="E1889">
        <v>163.6</v>
      </c>
    </row>
    <row r="1890" spans="1:5" x14ac:dyDescent="0.25">
      <c r="A1890" s="7" t="s">
        <v>31</v>
      </c>
      <c r="B1890">
        <v>2021</v>
      </c>
      <c r="C1890" s="7" t="s">
        <v>40</v>
      </c>
      <c r="D1890" s="7" t="s">
        <v>51</v>
      </c>
      <c r="E1890">
        <v>164.2</v>
      </c>
    </row>
    <row r="1891" spans="1:5" x14ac:dyDescent="0.25">
      <c r="A1891" s="7" t="s">
        <v>31</v>
      </c>
      <c r="B1891">
        <v>2021</v>
      </c>
      <c r="C1891" s="7" t="s">
        <v>40</v>
      </c>
      <c r="D1891" s="7" t="s">
        <v>26</v>
      </c>
      <c r="E1891">
        <v>1127.5</v>
      </c>
    </row>
    <row r="1892" spans="1:5" x14ac:dyDescent="0.25">
      <c r="A1892" s="7" t="s">
        <v>28</v>
      </c>
      <c r="B1892">
        <v>2021</v>
      </c>
      <c r="C1892" s="7" t="s">
        <v>42</v>
      </c>
      <c r="D1892" s="7" t="s">
        <v>48</v>
      </c>
      <c r="E1892">
        <v>2182</v>
      </c>
    </row>
    <row r="1893" spans="1:5" x14ac:dyDescent="0.25">
      <c r="A1893" s="7" t="s">
        <v>28</v>
      </c>
      <c r="B1893">
        <v>2021</v>
      </c>
      <c r="C1893" s="7" t="s">
        <v>42</v>
      </c>
      <c r="D1893" s="7" t="s">
        <v>49</v>
      </c>
      <c r="E1893">
        <v>191.4</v>
      </c>
    </row>
    <row r="1894" spans="1:5" x14ac:dyDescent="0.25">
      <c r="A1894" s="7" t="s">
        <v>28</v>
      </c>
      <c r="B1894">
        <v>2021</v>
      </c>
      <c r="C1894" s="7" t="s">
        <v>42</v>
      </c>
      <c r="D1894" s="7" t="s">
        <v>50</v>
      </c>
      <c r="E1894">
        <v>506.2</v>
      </c>
    </row>
    <row r="1895" spans="1:5" x14ac:dyDescent="0.25">
      <c r="A1895" s="7" t="s">
        <v>28</v>
      </c>
      <c r="B1895">
        <v>2021</v>
      </c>
      <c r="C1895" s="7" t="s">
        <v>42</v>
      </c>
      <c r="D1895" s="7" t="s">
        <v>19</v>
      </c>
      <c r="E1895">
        <v>163.80000000000001</v>
      </c>
    </row>
    <row r="1896" spans="1:5" x14ac:dyDescent="0.25">
      <c r="A1896" s="7" t="s">
        <v>28</v>
      </c>
      <c r="B1896">
        <v>2021</v>
      </c>
      <c r="C1896" s="7" t="s">
        <v>42</v>
      </c>
      <c r="D1896" s="7" t="s">
        <v>51</v>
      </c>
      <c r="E1896">
        <v>165.3</v>
      </c>
    </row>
    <row r="1897" spans="1:5" x14ac:dyDescent="0.25">
      <c r="A1897" s="7" t="s">
        <v>28</v>
      </c>
      <c r="B1897">
        <v>2021</v>
      </c>
      <c r="C1897" s="7" t="s">
        <v>42</v>
      </c>
      <c r="D1897" s="7" t="s">
        <v>26</v>
      </c>
      <c r="E1897">
        <v>1155.8999999999999</v>
      </c>
    </row>
    <row r="1898" spans="1:5" x14ac:dyDescent="0.25">
      <c r="A1898" s="7" t="s">
        <v>30</v>
      </c>
      <c r="B1898">
        <v>2021</v>
      </c>
      <c r="C1898" s="7" t="s">
        <v>42</v>
      </c>
      <c r="D1898" s="7" t="s">
        <v>48</v>
      </c>
      <c r="E1898">
        <v>2217.8999999999996</v>
      </c>
    </row>
    <row r="1899" spans="1:5" x14ac:dyDescent="0.25">
      <c r="A1899" s="7" t="s">
        <v>30</v>
      </c>
      <c r="B1899">
        <v>2021</v>
      </c>
      <c r="C1899" s="7" t="s">
        <v>42</v>
      </c>
      <c r="D1899" s="7" t="s">
        <v>49</v>
      </c>
      <c r="E1899">
        <v>197</v>
      </c>
    </row>
    <row r="1900" spans="1:5" x14ac:dyDescent="0.25">
      <c r="A1900" s="7" t="s">
        <v>30</v>
      </c>
      <c r="B1900">
        <v>2021</v>
      </c>
      <c r="C1900" s="7" t="s">
        <v>42</v>
      </c>
      <c r="D1900" s="7" t="s">
        <v>50</v>
      </c>
      <c r="E1900">
        <v>467.3</v>
      </c>
    </row>
    <row r="1901" spans="1:5" x14ac:dyDescent="0.25">
      <c r="A1901" s="7" t="s">
        <v>30</v>
      </c>
      <c r="B1901">
        <v>2021</v>
      </c>
      <c r="C1901" s="7" t="s">
        <v>42</v>
      </c>
      <c r="D1901" s="7" t="s">
        <v>19</v>
      </c>
      <c r="E1901">
        <v>164.2</v>
      </c>
    </row>
    <row r="1902" spans="1:5" x14ac:dyDescent="0.25">
      <c r="A1902" s="7" t="s">
        <v>30</v>
      </c>
      <c r="B1902">
        <v>2021</v>
      </c>
      <c r="C1902" s="7" t="s">
        <v>42</v>
      </c>
      <c r="D1902" s="7" t="s">
        <v>51</v>
      </c>
      <c r="E1902">
        <v>161.6</v>
      </c>
    </row>
    <row r="1903" spans="1:5" x14ac:dyDescent="0.25">
      <c r="A1903" s="7" t="s">
        <v>30</v>
      </c>
      <c r="B1903">
        <v>2021</v>
      </c>
      <c r="C1903" s="7" t="s">
        <v>42</v>
      </c>
      <c r="D1903" s="7" t="s">
        <v>26</v>
      </c>
      <c r="E1903">
        <v>1107.1999999999998</v>
      </c>
    </row>
    <row r="1904" spans="1:5" x14ac:dyDescent="0.25">
      <c r="A1904" s="7" t="s">
        <v>31</v>
      </c>
      <c r="B1904">
        <v>2021</v>
      </c>
      <c r="C1904" s="7" t="s">
        <v>42</v>
      </c>
      <c r="D1904" s="7" t="s">
        <v>48</v>
      </c>
      <c r="E1904">
        <v>2194.1</v>
      </c>
    </row>
    <row r="1905" spans="1:5" x14ac:dyDescent="0.25">
      <c r="A1905" s="7" t="s">
        <v>31</v>
      </c>
      <c r="B1905">
        <v>2021</v>
      </c>
      <c r="C1905" s="7" t="s">
        <v>42</v>
      </c>
      <c r="D1905" s="7" t="s">
        <v>49</v>
      </c>
      <c r="E1905">
        <v>192.9</v>
      </c>
    </row>
    <row r="1906" spans="1:5" x14ac:dyDescent="0.25">
      <c r="A1906" s="7" t="s">
        <v>31</v>
      </c>
      <c r="B1906">
        <v>2021</v>
      </c>
      <c r="C1906" s="7" t="s">
        <v>42</v>
      </c>
      <c r="D1906" s="7" t="s">
        <v>50</v>
      </c>
      <c r="E1906">
        <v>490.40000000000003</v>
      </c>
    </row>
    <row r="1907" spans="1:5" x14ac:dyDescent="0.25">
      <c r="A1907" s="7" t="s">
        <v>31</v>
      </c>
      <c r="B1907">
        <v>2021</v>
      </c>
      <c r="C1907" s="7" t="s">
        <v>42</v>
      </c>
      <c r="D1907" s="7" t="s">
        <v>19</v>
      </c>
      <c r="E1907">
        <v>164.2</v>
      </c>
    </row>
    <row r="1908" spans="1:5" x14ac:dyDescent="0.25">
      <c r="A1908" s="7" t="s">
        <v>31</v>
      </c>
      <c r="B1908">
        <v>2021</v>
      </c>
      <c r="C1908" s="7" t="s">
        <v>42</v>
      </c>
      <c r="D1908" s="7" t="s">
        <v>51</v>
      </c>
      <c r="E1908">
        <v>163.9</v>
      </c>
    </row>
    <row r="1909" spans="1:5" x14ac:dyDescent="0.25">
      <c r="A1909" s="7" t="s">
        <v>31</v>
      </c>
      <c r="B1909">
        <v>2021</v>
      </c>
      <c r="C1909" s="7" t="s">
        <v>42</v>
      </c>
      <c r="D1909" s="7" t="s">
        <v>26</v>
      </c>
      <c r="E1909">
        <v>1131.7000000000003</v>
      </c>
    </row>
    <row r="1910" spans="1:5" x14ac:dyDescent="0.25">
      <c r="A1910" s="7" t="s">
        <v>28</v>
      </c>
      <c r="B1910">
        <v>2021</v>
      </c>
      <c r="C1910" s="7" t="s">
        <v>43</v>
      </c>
      <c r="D1910" s="7" t="s">
        <v>48</v>
      </c>
      <c r="E1910">
        <v>2168.1999999999998</v>
      </c>
    </row>
    <row r="1911" spans="1:5" x14ac:dyDescent="0.25">
      <c r="A1911" s="7" t="s">
        <v>28</v>
      </c>
      <c r="B1911">
        <v>2021</v>
      </c>
      <c r="C1911" s="7" t="s">
        <v>43</v>
      </c>
      <c r="D1911" s="7" t="s">
        <v>49</v>
      </c>
      <c r="E1911">
        <v>190.8</v>
      </c>
    </row>
    <row r="1912" spans="1:5" x14ac:dyDescent="0.25">
      <c r="A1912" s="7" t="s">
        <v>28</v>
      </c>
      <c r="B1912">
        <v>2021</v>
      </c>
      <c r="C1912" s="7" t="s">
        <v>43</v>
      </c>
      <c r="D1912" s="7" t="s">
        <v>50</v>
      </c>
      <c r="E1912">
        <v>510.3</v>
      </c>
    </row>
    <row r="1913" spans="1:5" x14ac:dyDescent="0.25">
      <c r="A1913" s="7" t="s">
        <v>28</v>
      </c>
      <c r="B1913">
        <v>2021</v>
      </c>
      <c r="C1913" s="7" t="s">
        <v>43</v>
      </c>
      <c r="D1913" s="7" t="s">
        <v>19</v>
      </c>
      <c r="E1913">
        <v>164</v>
      </c>
    </row>
    <row r="1914" spans="1:5" x14ac:dyDescent="0.25">
      <c r="A1914" s="7" t="s">
        <v>28</v>
      </c>
      <c r="B1914">
        <v>2021</v>
      </c>
      <c r="C1914" s="7" t="s">
        <v>43</v>
      </c>
      <c r="D1914" s="7" t="s">
        <v>51</v>
      </c>
      <c r="E1914">
        <v>165.6</v>
      </c>
    </row>
    <row r="1915" spans="1:5" x14ac:dyDescent="0.25">
      <c r="A1915" s="7" t="s">
        <v>28</v>
      </c>
      <c r="B1915">
        <v>2021</v>
      </c>
      <c r="C1915" s="7" t="s">
        <v>43</v>
      </c>
      <c r="D1915" s="7" t="s">
        <v>26</v>
      </c>
      <c r="E1915">
        <v>1161</v>
      </c>
    </row>
    <row r="1916" spans="1:5" x14ac:dyDescent="0.25">
      <c r="A1916" s="7" t="s">
        <v>30</v>
      </c>
      <c r="B1916">
        <v>2021</v>
      </c>
      <c r="C1916" s="7" t="s">
        <v>43</v>
      </c>
      <c r="D1916" s="7" t="s">
        <v>48</v>
      </c>
      <c r="E1916">
        <v>2206.3000000000002</v>
      </c>
    </row>
    <row r="1917" spans="1:5" x14ac:dyDescent="0.25">
      <c r="A1917" s="7" t="s">
        <v>30</v>
      </c>
      <c r="B1917">
        <v>2021</v>
      </c>
      <c r="C1917" s="7" t="s">
        <v>43</v>
      </c>
      <c r="D1917" s="7" t="s">
        <v>49</v>
      </c>
      <c r="E1917">
        <v>196.8</v>
      </c>
    </row>
    <row r="1918" spans="1:5" x14ac:dyDescent="0.25">
      <c r="A1918" s="7" t="s">
        <v>30</v>
      </c>
      <c r="B1918">
        <v>2021</v>
      </c>
      <c r="C1918" s="7" t="s">
        <v>43</v>
      </c>
      <c r="D1918" s="7" t="s">
        <v>50</v>
      </c>
      <c r="E1918">
        <v>470.7</v>
      </c>
    </row>
    <row r="1919" spans="1:5" x14ac:dyDescent="0.25">
      <c r="A1919" s="7" t="s">
        <v>30</v>
      </c>
      <c r="B1919">
        <v>2021</v>
      </c>
      <c r="C1919" s="7" t="s">
        <v>43</v>
      </c>
      <c r="D1919" s="7" t="s">
        <v>19</v>
      </c>
      <c r="E1919">
        <v>163.4</v>
      </c>
    </row>
    <row r="1920" spans="1:5" x14ac:dyDescent="0.25">
      <c r="A1920" s="7" t="s">
        <v>30</v>
      </c>
      <c r="B1920">
        <v>2021</v>
      </c>
      <c r="C1920" s="7" t="s">
        <v>43</v>
      </c>
      <c r="D1920" s="7" t="s">
        <v>51</v>
      </c>
      <c r="E1920">
        <v>161.69999999999999</v>
      </c>
    </row>
    <row r="1921" spans="1:5" x14ac:dyDescent="0.25">
      <c r="A1921" s="7" t="s">
        <v>30</v>
      </c>
      <c r="B1921">
        <v>2021</v>
      </c>
      <c r="C1921" s="7" t="s">
        <v>43</v>
      </c>
      <c r="D1921" s="7" t="s">
        <v>26</v>
      </c>
      <c r="E1921">
        <v>1111.3</v>
      </c>
    </row>
    <row r="1922" spans="1:5" x14ac:dyDescent="0.25">
      <c r="A1922" s="7" t="s">
        <v>31</v>
      </c>
      <c r="B1922">
        <v>2021</v>
      </c>
      <c r="C1922" s="7" t="s">
        <v>43</v>
      </c>
      <c r="D1922" s="7" t="s">
        <v>48</v>
      </c>
      <c r="E1922">
        <v>2180.9</v>
      </c>
    </row>
    <row r="1923" spans="1:5" x14ac:dyDescent="0.25">
      <c r="A1923" s="7" t="s">
        <v>31</v>
      </c>
      <c r="B1923">
        <v>2021</v>
      </c>
      <c r="C1923" s="7" t="s">
        <v>43</v>
      </c>
      <c r="D1923" s="7" t="s">
        <v>49</v>
      </c>
      <c r="E1923">
        <v>192.4</v>
      </c>
    </row>
    <row r="1924" spans="1:5" x14ac:dyDescent="0.25">
      <c r="A1924" s="7" t="s">
        <v>31</v>
      </c>
      <c r="B1924">
        <v>2021</v>
      </c>
      <c r="C1924" s="7" t="s">
        <v>43</v>
      </c>
      <c r="D1924" s="7" t="s">
        <v>50</v>
      </c>
      <c r="E1924">
        <v>494.2</v>
      </c>
    </row>
    <row r="1925" spans="1:5" x14ac:dyDescent="0.25">
      <c r="A1925" s="7" t="s">
        <v>31</v>
      </c>
      <c r="B1925">
        <v>2021</v>
      </c>
      <c r="C1925" s="7" t="s">
        <v>43</v>
      </c>
      <c r="D1925" s="7" t="s">
        <v>19</v>
      </c>
      <c r="E1925">
        <v>163.4</v>
      </c>
    </row>
    <row r="1926" spans="1:5" x14ac:dyDescent="0.25">
      <c r="A1926" s="7" t="s">
        <v>31</v>
      </c>
      <c r="B1926">
        <v>2021</v>
      </c>
      <c r="C1926" s="7" t="s">
        <v>43</v>
      </c>
      <c r="D1926" s="7" t="s">
        <v>51</v>
      </c>
      <c r="E1926">
        <v>164.1</v>
      </c>
    </row>
    <row r="1927" spans="1:5" x14ac:dyDescent="0.25">
      <c r="A1927" s="7" t="s">
        <v>31</v>
      </c>
      <c r="B1927">
        <v>2021</v>
      </c>
      <c r="C1927" s="7" t="s">
        <v>43</v>
      </c>
      <c r="D1927" s="7" t="s">
        <v>26</v>
      </c>
      <c r="E1927">
        <v>1136.0999999999999</v>
      </c>
    </row>
    <row r="1928" spans="1:5" x14ac:dyDescent="0.25">
      <c r="A1928" s="7" t="s">
        <v>28</v>
      </c>
      <c r="B1928">
        <v>2022</v>
      </c>
      <c r="C1928" s="7" t="s">
        <v>29</v>
      </c>
      <c r="D1928" s="7" t="s">
        <v>48</v>
      </c>
      <c r="E1928">
        <v>2153</v>
      </c>
    </row>
    <row r="1929" spans="1:5" x14ac:dyDescent="0.25">
      <c r="A1929" s="7" t="s">
        <v>28</v>
      </c>
      <c r="B1929">
        <v>2022</v>
      </c>
      <c r="C1929" s="7" t="s">
        <v>29</v>
      </c>
      <c r="D1929" s="7" t="s">
        <v>49</v>
      </c>
      <c r="E1929">
        <v>190.7</v>
      </c>
    </row>
    <row r="1930" spans="1:5" x14ac:dyDescent="0.25">
      <c r="A1930" s="7" t="s">
        <v>28</v>
      </c>
      <c r="B1930">
        <v>2022</v>
      </c>
      <c r="C1930" s="7" t="s">
        <v>29</v>
      </c>
      <c r="D1930" s="7" t="s">
        <v>50</v>
      </c>
      <c r="E1930">
        <v>515.20000000000005</v>
      </c>
    </row>
    <row r="1931" spans="1:5" x14ac:dyDescent="0.25">
      <c r="A1931" s="7" t="s">
        <v>28</v>
      </c>
      <c r="B1931">
        <v>2022</v>
      </c>
      <c r="C1931" s="7" t="s">
        <v>29</v>
      </c>
      <c r="D1931" s="7" t="s">
        <v>19</v>
      </c>
      <c r="E1931">
        <v>165</v>
      </c>
    </row>
    <row r="1932" spans="1:5" x14ac:dyDescent="0.25">
      <c r="A1932" s="7" t="s">
        <v>28</v>
      </c>
      <c r="B1932">
        <v>2022</v>
      </c>
      <c r="C1932" s="7" t="s">
        <v>29</v>
      </c>
      <c r="D1932" s="7" t="s">
        <v>51</v>
      </c>
      <c r="E1932">
        <v>165.8</v>
      </c>
    </row>
    <row r="1933" spans="1:5" x14ac:dyDescent="0.25">
      <c r="A1933" s="7" t="s">
        <v>28</v>
      </c>
      <c r="B1933">
        <v>2022</v>
      </c>
      <c r="C1933" s="7" t="s">
        <v>29</v>
      </c>
      <c r="D1933" s="7" t="s">
        <v>26</v>
      </c>
      <c r="E1933">
        <v>1165</v>
      </c>
    </row>
    <row r="1934" spans="1:5" x14ac:dyDescent="0.25">
      <c r="A1934" s="7" t="s">
        <v>30</v>
      </c>
      <c r="B1934">
        <v>2022</v>
      </c>
      <c r="C1934" s="7" t="s">
        <v>29</v>
      </c>
      <c r="D1934" s="7" t="s">
        <v>48</v>
      </c>
      <c r="E1934">
        <v>2186.6999999999998</v>
      </c>
    </row>
    <row r="1935" spans="1:5" x14ac:dyDescent="0.25">
      <c r="A1935" s="7" t="s">
        <v>30</v>
      </c>
      <c r="B1935">
        <v>2022</v>
      </c>
      <c r="C1935" s="7" t="s">
        <v>29</v>
      </c>
      <c r="D1935" s="7" t="s">
        <v>49</v>
      </c>
      <c r="E1935">
        <v>196.4</v>
      </c>
    </row>
    <row r="1936" spans="1:5" x14ac:dyDescent="0.25">
      <c r="A1936" s="7" t="s">
        <v>30</v>
      </c>
      <c r="B1936">
        <v>2022</v>
      </c>
      <c r="C1936" s="7" t="s">
        <v>29</v>
      </c>
      <c r="D1936" s="7" t="s">
        <v>50</v>
      </c>
      <c r="E1936">
        <v>475.4</v>
      </c>
    </row>
    <row r="1937" spans="1:5" x14ac:dyDescent="0.25">
      <c r="A1937" s="7" t="s">
        <v>30</v>
      </c>
      <c r="B1937">
        <v>2022</v>
      </c>
      <c r="C1937" s="7" t="s">
        <v>29</v>
      </c>
      <c r="D1937" s="7" t="s">
        <v>19</v>
      </c>
      <c r="E1937">
        <v>164.5</v>
      </c>
    </row>
    <row r="1938" spans="1:5" x14ac:dyDescent="0.25">
      <c r="A1938" s="7" t="s">
        <v>30</v>
      </c>
      <c r="B1938">
        <v>2022</v>
      </c>
      <c r="C1938" s="7" t="s">
        <v>29</v>
      </c>
      <c r="D1938" s="7" t="s">
        <v>51</v>
      </c>
      <c r="E1938">
        <v>161.6</v>
      </c>
    </row>
    <row r="1939" spans="1:5" x14ac:dyDescent="0.25">
      <c r="A1939" s="7" t="s">
        <v>30</v>
      </c>
      <c r="B1939">
        <v>2022</v>
      </c>
      <c r="C1939" s="7" t="s">
        <v>29</v>
      </c>
      <c r="D1939" s="7" t="s">
        <v>26</v>
      </c>
      <c r="E1939">
        <v>1116.3999999999999</v>
      </c>
    </row>
    <row r="1940" spans="1:5" x14ac:dyDescent="0.25">
      <c r="A1940" s="7" t="s">
        <v>31</v>
      </c>
      <c r="B1940">
        <v>2022</v>
      </c>
      <c r="C1940" s="7" t="s">
        <v>29</v>
      </c>
      <c r="D1940" s="7" t="s">
        <v>48</v>
      </c>
      <c r="E1940">
        <v>2164.1999999999998</v>
      </c>
    </row>
    <row r="1941" spans="1:5" x14ac:dyDescent="0.25">
      <c r="A1941" s="7" t="s">
        <v>31</v>
      </c>
      <c r="B1941">
        <v>2022</v>
      </c>
      <c r="C1941" s="7" t="s">
        <v>29</v>
      </c>
      <c r="D1941" s="7" t="s">
        <v>49</v>
      </c>
      <c r="E1941">
        <v>192.2</v>
      </c>
    </row>
    <row r="1942" spans="1:5" x14ac:dyDescent="0.25">
      <c r="A1942" s="7" t="s">
        <v>31</v>
      </c>
      <c r="B1942">
        <v>2022</v>
      </c>
      <c r="C1942" s="7" t="s">
        <v>29</v>
      </c>
      <c r="D1942" s="7" t="s">
        <v>50</v>
      </c>
      <c r="E1942">
        <v>499.1</v>
      </c>
    </row>
    <row r="1943" spans="1:5" x14ac:dyDescent="0.25">
      <c r="A1943" s="7" t="s">
        <v>31</v>
      </c>
      <c r="B1943">
        <v>2022</v>
      </c>
      <c r="C1943" s="7" t="s">
        <v>29</v>
      </c>
      <c r="D1943" s="7" t="s">
        <v>19</v>
      </c>
      <c r="E1943">
        <v>164.5</v>
      </c>
    </row>
    <row r="1944" spans="1:5" x14ac:dyDescent="0.25">
      <c r="A1944" s="7" t="s">
        <v>31</v>
      </c>
      <c r="B1944">
        <v>2022</v>
      </c>
      <c r="C1944" s="7" t="s">
        <v>29</v>
      </c>
      <c r="D1944" s="7" t="s">
        <v>51</v>
      </c>
      <c r="E1944">
        <v>164.2</v>
      </c>
    </row>
    <row r="1945" spans="1:5" x14ac:dyDescent="0.25">
      <c r="A1945" s="7" t="s">
        <v>31</v>
      </c>
      <c r="B1945">
        <v>2022</v>
      </c>
      <c r="C1945" s="7" t="s">
        <v>29</v>
      </c>
      <c r="D1945" s="7" t="s">
        <v>26</v>
      </c>
      <c r="E1945">
        <v>1140.6000000000001</v>
      </c>
    </row>
    <row r="1946" spans="1:5" x14ac:dyDescent="0.25">
      <c r="A1946" s="7" t="s">
        <v>28</v>
      </c>
      <c r="B1946">
        <v>2022</v>
      </c>
      <c r="C1946" s="7" t="s">
        <v>32</v>
      </c>
      <c r="D1946" s="7" t="s">
        <v>48</v>
      </c>
      <c r="E1946">
        <v>2150.4</v>
      </c>
    </row>
    <row r="1947" spans="1:5" x14ac:dyDescent="0.25">
      <c r="A1947" s="7" t="s">
        <v>28</v>
      </c>
      <c r="B1947">
        <v>2022</v>
      </c>
      <c r="C1947" s="7" t="s">
        <v>32</v>
      </c>
      <c r="D1947" s="7" t="s">
        <v>49</v>
      </c>
      <c r="E1947">
        <v>191.5</v>
      </c>
    </row>
    <row r="1948" spans="1:5" x14ac:dyDescent="0.25">
      <c r="A1948" s="7" t="s">
        <v>28</v>
      </c>
      <c r="B1948">
        <v>2022</v>
      </c>
      <c r="C1948" s="7" t="s">
        <v>32</v>
      </c>
      <c r="D1948" s="7" t="s">
        <v>50</v>
      </c>
      <c r="E1948">
        <v>518.79999999999995</v>
      </c>
    </row>
    <row r="1949" spans="1:5" x14ac:dyDescent="0.25">
      <c r="A1949" s="7" t="s">
        <v>28</v>
      </c>
      <c r="B1949">
        <v>2022</v>
      </c>
      <c r="C1949" s="7" t="s">
        <v>32</v>
      </c>
      <c r="D1949" s="7" t="s">
        <v>19</v>
      </c>
      <c r="E1949">
        <v>165.4</v>
      </c>
    </row>
    <row r="1950" spans="1:5" x14ac:dyDescent="0.25">
      <c r="A1950" s="7" t="s">
        <v>28</v>
      </c>
      <c r="B1950">
        <v>2022</v>
      </c>
      <c r="C1950" s="7" t="s">
        <v>32</v>
      </c>
      <c r="D1950" s="7" t="s">
        <v>51</v>
      </c>
      <c r="E1950">
        <v>167.4</v>
      </c>
    </row>
    <row r="1951" spans="1:5" x14ac:dyDescent="0.25">
      <c r="A1951" s="7" t="s">
        <v>28</v>
      </c>
      <c r="B1951">
        <v>2022</v>
      </c>
      <c r="C1951" s="7" t="s">
        <v>32</v>
      </c>
      <c r="D1951" s="7" t="s">
        <v>26</v>
      </c>
      <c r="E1951">
        <v>1169.8</v>
      </c>
    </row>
    <row r="1952" spans="1:5" x14ac:dyDescent="0.25">
      <c r="A1952" s="7" t="s">
        <v>30</v>
      </c>
      <c r="B1952">
        <v>2022</v>
      </c>
      <c r="C1952" s="7" t="s">
        <v>32</v>
      </c>
      <c r="D1952" s="7" t="s">
        <v>48</v>
      </c>
      <c r="E1952">
        <v>2183.5</v>
      </c>
    </row>
    <row r="1953" spans="1:5" x14ac:dyDescent="0.25">
      <c r="A1953" s="7" t="s">
        <v>30</v>
      </c>
      <c r="B1953">
        <v>2022</v>
      </c>
      <c r="C1953" s="7" t="s">
        <v>32</v>
      </c>
      <c r="D1953" s="7" t="s">
        <v>49</v>
      </c>
      <c r="E1953">
        <v>196.5</v>
      </c>
    </row>
    <row r="1954" spans="1:5" x14ac:dyDescent="0.25">
      <c r="A1954" s="7" t="s">
        <v>30</v>
      </c>
      <c r="B1954">
        <v>2022</v>
      </c>
      <c r="C1954" s="7" t="s">
        <v>32</v>
      </c>
      <c r="D1954" s="7" t="s">
        <v>50</v>
      </c>
      <c r="E1954">
        <v>479.5</v>
      </c>
    </row>
    <row r="1955" spans="1:5" x14ac:dyDescent="0.25">
      <c r="A1955" s="7" t="s">
        <v>30</v>
      </c>
      <c r="B1955">
        <v>2022</v>
      </c>
      <c r="C1955" s="7" t="s">
        <v>32</v>
      </c>
      <c r="D1955" s="7" t="s">
        <v>19</v>
      </c>
      <c r="E1955">
        <v>165.5</v>
      </c>
    </row>
    <row r="1956" spans="1:5" x14ac:dyDescent="0.25">
      <c r="A1956" s="7" t="s">
        <v>30</v>
      </c>
      <c r="B1956">
        <v>2022</v>
      </c>
      <c r="C1956" s="7" t="s">
        <v>32</v>
      </c>
      <c r="D1956" s="7" t="s">
        <v>51</v>
      </c>
      <c r="E1956">
        <v>163</v>
      </c>
    </row>
    <row r="1957" spans="1:5" x14ac:dyDescent="0.25">
      <c r="A1957" s="7" t="s">
        <v>30</v>
      </c>
      <c r="B1957">
        <v>2022</v>
      </c>
      <c r="C1957" s="7" t="s">
        <v>32</v>
      </c>
      <c r="D1957" s="7" t="s">
        <v>26</v>
      </c>
      <c r="E1957">
        <v>1122.8000000000002</v>
      </c>
    </row>
    <row r="1958" spans="1:5" x14ac:dyDescent="0.25">
      <c r="A1958" s="7" t="s">
        <v>31</v>
      </c>
      <c r="B1958">
        <v>2022</v>
      </c>
      <c r="C1958" s="7" t="s">
        <v>32</v>
      </c>
      <c r="D1958" s="7" t="s">
        <v>48</v>
      </c>
      <c r="E1958">
        <v>2161.2000000000003</v>
      </c>
    </row>
    <row r="1959" spans="1:5" x14ac:dyDescent="0.25">
      <c r="A1959" s="7" t="s">
        <v>31</v>
      </c>
      <c r="B1959">
        <v>2022</v>
      </c>
      <c r="C1959" s="7" t="s">
        <v>32</v>
      </c>
      <c r="D1959" s="7" t="s">
        <v>49</v>
      </c>
      <c r="E1959">
        <v>192.8</v>
      </c>
    </row>
    <row r="1960" spans="1:5" x14ac:dyDescent="0.25">
      <c r="A1960" s="7" t="s">
        <v>31</v>
      </c>
      <c r="B1960">
        <v>2022</v>
      </c>
      <c r="C1960" s="7" t="s">
        <v>32</v>
      </c>
      <c r="D1960" s="7" t="s">
        <v>50</v>
      </c>
      <c r="E1960">
        <v>502.80000000000007</v>
      </c>
    </row>
    <row r="1961" spans="1:5" x14ac:dyDescent="0.25">
      <c r="A1961" s="7" t="s">
        <v>31</v>
      </c>
      <c r="B1961">
        <v>2022</v>
      </c>
      <c r="C1961" s="7" t="s">
        <v>32</v>
      </c>
      <c r="D1961" s="7" t="s">
        <v>19</v>
      </c>
      <c r="E1961">
        <v>165.5</v>
      </c>
    </row>
    <row r="1962" spans="1:5" x14ac:dyDescent="0.25">
      <c r="A1962" s="7" t="s">
        <v>31</v>
      </c>
      <c r="B1962">
        <v>2022</v>
      </c>
      <c r="C1962" s="7" t="s">
        <v>32</v>
      </c>
      <c r="D1962" s="7" t="s">
        <v>51</v>
      </c>
      <c r="E1962">
        <v>165.7</v>
      </c>
    </row>
    <row r="1963" spans="1:5" x14ac:dyDescent="0.25">
      <c r="A1963" s="7" t="s">
        <v>31</v>
      </c>
      <c r="B1963">
        <v>2022</v>
      </c>
      <c r="C1963" s="7" t="s">
        <v>32</v>
      </c>
      <c r="D1963" s="7" t="s">
        <v>26</v>
      </c>
      <c r="E1963">
        <v>1146.3</v>
      </c>
    </row>
    <row r="1964" spans="1:5" x14ac:dyDescent="0.25">
      <c r="A1964" s="7" t="s">
        <v>28</v>
      </c>
      <c r="B1964">
        <v>2022</v>
      </c>
      <c r="C1964" s="7" t="s">
        <v>33</v>
      </c>
      <c r="D1964" s="7" t="s">
        <v>48</v>
      </c>
      <c r="E1964">
        <v>2179.1000000000004</v>
      </c>
    </row>
    <row r="1965" spans="1:5" x14ac:dyDescent="0.25">
      <c r="A1965" s="7" t="s">
        <v>28</v>
      </c>
      <c r="B1965">
        <v>2022</v>
      </c>
      <c r="C1965" s="7" t="s">
        <v>33</v>
      </c>
      <c r="D1965" s="7" t="s">
        <v>49</v>
      </c>
      <c r="E1965">
        <v>192.3</v>
      </c>
    </row>
    <row r="1966" spans="1:5" x14ac:dyDescent="0.25">
      <c r="A1966" s="7" t="s">
        <v>28</v>
      </c>
      <c r="B1966">
        <v>2022</v>
      </c>
      <c r="C1966" s="7" t="s">
        <v>33</v>
      </c>
      <c r="D1966" s="7" t="s">
        <v>50</v>
      </c>
      <c r="E1966">
        <v>523.70000000000005</v>
      </c>
    </row>
    <row r="1967" spans="1:5" x14ac:dyDescent="0.25">
      <c r="A1967" s="7" t="s">
        <v>28</v>
      </c>
      <c r="B1967">
        <v>2022</v>
      </c>
      <c r="C1967" s="7" t="s">
        <v>33</v>
      </c>
      <c r="D1967" s="7" t="s">
        <v>19</v>
      </c>
      <c r="E1967">
        <v>166.2</v>
      </c>
    </row>
    <row r="1968" spans="1:5" x14ac:dyDescent="0.25">
      <c r="A1968" s="7" t="s">
        <v>28</v>
      </c>
      <c r="B1968">
        <v>2022</v>
      </c>
      <c r="C1968" s="7" t="s">
        <v>33</v>
      </c>
      <c r="D1968" s="7" t="s">
        <v>51</v>
      </c>
      <c r="E1968">
        <v>168.9</v>
      </c>
    </row>
    <row r="1969" spans="1:5" x14ac:dyDescent="0.25">
      <c r="A1969" s="7" t="s">
        <v>28</v>
      </c>
      <c r="B1969">
        <v>2022</v>
      </c>
      <c r="C1969" s="7" t="s">
        <v>33</v>
      </c>
      <c r="D1969" s="7" t="s">
        <v>26</v>
      </c>
      <c r="E1969">
        <v>1177.4000000000001</v>
      </c>
    </row>
    <row r="1970" spans="1:5" x14ac:dyDescent="0.25">
      <c r="A1970" s="7" t="s">
        <v>30</v>
      </c>
      <c r="B1970">
        <v>2022</v>
      </c>
      <c r="C1970" s="7" t="s">
        <v>33</v>
      </c>
      <c r="D1970" s="7" t="s">
        <v>48</v>
      </c>
      <c r="E1970">
        <v>2196.3000000000002</v>
      </c>
    </row>
    <row r="1971" spans="1:5" x14ac:dyDescent="0.25">
      <c r="A1971" s="7" t="s">
        <v>30</v>
      </c>
      <c r="B1971">
        <v>2022</v>
      </c>
      <c r="C1971" s="7" t="s">
        <v>33</v>
      </c>
      <c r="D1971" s="7" t="s">
        <v>49</v>
      </c>
      <c r="E1971">
        <v>197.5</v>
      </c>
    </row>
    <row r="1972" spans="1:5" x14ac:dyDescent="0.25">
      <c r="A1972" s="7" t="s">
        <v>30</v>
      </c>
      <c r="B1972">
        <v>2022</v>
      </c>
      <c r="C1972" s="7" t="s">
        <v>33</v>
      </c>
      <c r="D1972" s="7" t="s">
        <v>50</v>
      </c>
      <c r="E1972">
        <v>484.6</v>
      </c>
    </row>
    <row r="1973" spans="1:5" x14ac:dyDescent="0.25">
      <c r="A1973" s="7" t="s">
        <v>30</v>
      </c>
      <c r="B1973">
        <v>2022</v>
      </c>
      <c r="C1973" s="7" t="s">
        <v>33</v>
      </c>
      <c r="D1973" s="7" t="s">
        <v>19</v>
      </c>
      <c r="E1973">
        <v>165.3</v>
      </c>
    </row>
    <row r="1974" spans="1:5" x14ac:dyDescent="0.25">
      <c r="A1974" s="7" t="s">
        <v>30</v>
      </c>
      <c r="B1974">
        <v>2022</v>
      </c>
      <c r="C1974" s="7" t="s">
        <v>33</v>
      </c>
      <c r="D1974" s="7" t="s">
        <v>51</v>
      </c>
      <c r="E1974">
        <v>164.5</v>
      </c>
    </row>
    <row r="1975" spans="1:5" x14ac:dyDescent="0.25">
      <c r="A1975" s="7" t="s">
        <v>30</v>
      </c>
      <c r="B1975">
        <v>2022</v>
      </c>
      <c r="C1975" s="7" t="s">
        <v>33</v>
      </c>
      <c r="D1975" s="7" t="s">
        <v>26</v>
      </c>
      <c r="E1975">
        <v>1131.8999999999999</v>
      </c>
    </row>
    <row r="1976" spans="1:5" x14ac:dyDescent="0.25">
      <c r="A1976" s="7" t="s">
        <v>31</v>
      </c>
      <c r="B1976">
        <v>2022</v>
      </c>
      <c r="C1976" s="7" t="s">
        <v>33</v>
      </c>
      <c r="D1976" s="7" t="s">
        <v>48</v>
      </c>
      <c r="E1976">
        <v>2184.2000000000003</v>
      </c>
    </row>
    <row r="1977" spans="1:5" x14ac:dyDescent="0.25">
      <c r="A1977" s="7" t="s">
        <v>31</v>
      </c>
      <c r="B1977">
        <v>2022</v>
      </c>
      <c r="C1977" s="7" t="s">
        <v>33</v>
      </c>
      <c r="D1977" s="7" t="s">
        <v>49</v>
      </c>
      <c r="E1977">
        <v>193.7</v>
      </c>
    </row>
    <row r="1978" spans="1:5" x14ac:dyDescent="0.25">
      <c r="A1978" s="7" t="s">
        <v>31</v>
      </c>
      <c r="B1978">
        <v>2022</v>
      </c>
      <c r="C1978" s="7" t="s">
        <v>33</v>
      </c>
      <c r="D1978" s="7" t="s">
        <v>50</v>
      </c>
      <c r="E1978">
        <v>507.79999999999995</v>
      </c>
    </row>
    <row r="1979" spans="1:5" x14ac:dyDescent="0.25">
      <c r="A1979" s="7" t="s">
        <v>31</v>
      </c>
      <c r="B1979">
        <v>2022</v>
      </c>
      <c r="C1979" s="7" t="s">
        <v>33</v>
      </c>
      <c r="D1979" s="7" t="s">
        <v>19</v>
      </c>
      <c r="E1979">
        <v>165.3</v>
      </c>
    </row>
    <row r="1980" spans="1:5" x14ac:dyDescent="0.25">
      <c r="A1980" s="7" t="s">
        <v>31</v>
      </c>
      <c r="B1980">
        <v>2022</v>
      </c>
      <c r="C1980" s="7" t="s">
        <v>33</v>
      </c>
      <c r="D1980" s="7" t="s">
        <v>51</v>
      </c>
      <c r="E1980">
        <v>167.2</v>
      </c>
    </row>
    <row r="1981" spans="1:5" x14ac:dyDescent="0.25">
      <c r="A1981" s="7" t="s">
        <v>31</v>
      </c>
      <c r="B1981">
        <v>2022</v>
      </c>
      <c r="C1981" s="7" t="s">
        <v>33</v>
      </c>
      <c r="D1981" s="7" t="s">
        <v>26</v>
      </c>
      <c r="E1981">
        <v>1154.8</v>
      </c>
    </row>
    <row r="1982" spans="1:5" x14ac:dyDescent="0.25">
      <c r="A1982" s="7" t="s">
        <v>28</v>
      </c>
      <c r="B1982">
        <v>2022</v>
      </c>
      <c r="C1982" s="7" t="s">
        <v>34</v>
      </c>
      <c r="D1982" s="7" t="s">
        <v>48</v>
      </c>
      <c r="E1982">
        <v>2206.6</v>
      </c>
    </row>
    <row r="1983" spans="1:5" x14ac:dyDescent="0.25">
      <c r="A1983" s="7" t="s">
        <v>28</v>
      </c>
      <c r="B1983">
        <v>2022</v>
      </c>
      <c r="C1983" s="7" t="s">
        <v>34</v>
      </c>
      <c r="D1983" s="7" t="s">
        <v>49</v>
      </c>
      <c r="E1983">
        <v>192.8</v>
      </c>
    </row>
    <row r="1984" spans="1:5" x14ac:dyDescent="0.25">
      <c r="A1984" s="7" t="s">
        <v>28</v>
      </c>
      <c r="B1984">
        <v>2022</v>
      </c>
      <c r="C1984" s="7" t="s">
        <v>34</v>
      </c>
      <c r="D1984" s="7" t="s">
        <v>50</v>
      </c>
      <c r="E1984">
        <v>529.70000000000005</v>
      </c>
    </row>
    <row r="1985" spans="1:5" x14ac:dyDescent="0.25">
      <c r="A1985" s="7" t="s">
        <v>28</v>
      </c>
      <c r="B1985">
        <v>2022</v>
      </c>
      <c r="C1985" s="7" t="s">
        <v>34</v>
      </c>
      <c r="D1985" s="7" t="s">
        <v>19</v>
      </c>
      <c r="E1985">
        <v>167.3</v>
      </c>
    </row>
    <row r="1986" spans="1:5" x14ac:dyDescent="0.25">
      <c r="A1986" s="7" t="s">
        <v>28</v>
      </c>
      <c r="B1986">
        <v>2022</v>
      </c>
      <c r="C1986" s="7" t="s">
        <v>34</v>
      </c>
      <c r="D1986" s="7" t="s">
        <v>51</v>
      </c>
      <c r="E1986">
        <v>173.3</v>
      </c>
    </row>
    <row r="1987" spans="1:5" x14ac:dyDescent="0.25">
      <c r="A1987" s="7" t="s">
        <v>28</v>
      </c>
      <c r="B1987">
        <v>2022</v>
      </c>
      <c r="C1987" s="7" t="s">
        <v>34</v>
      </c>
      <c r="D1987" s="7" t="s">
        <v>26</v>
      </c>
      <c r="E1987">
        <v>1188.1999999999998</v>
      </c>
    </row>
    <row r="1988" spans="1:5" x14ac:dyDescent="0.25">
      <c r="A1988" s="7" t="s">
        <v>30</v>
      </c>
      <c r="B1988">
        <v>2022</v>
      </c>
      <c r="C1988" s="7" t="s">
        <v>34</v>
      </c>
      <c r="D1988" s="7" t="s">
        <v>48</v>
      </c>
      <c r="E1988">
        <v>2230.4</v>
      </c>
    </row>
    <row r="1989" spans="1:5" x14ac:dyDescent="0.25">
      <c r="A1989" s="7" t="s">
        <v>30</v>
      </c>
      <c r="B1989">
        <v>2022</v>
      </c>
      <c r="C1989" s="7" t="s">
        <v>34</v>
      </c>
      <c r="D1989" s="7" t="s">
        <v>49</v>
      </c>
      <c r="E1989">
        <v>197.1</v>
      </c>
    </row>
    <row r="1990" spans="1:5" x14ac:dyDescent="0.25">
      <c r="A1990" s="7" t="s">
        <v>30</v>
      </c>
      <c r="B1990">
        <v>2022</v>
      </c>
      <c r="C1990" s="7" t="s">
        <v>34</v>
      </c>
      <c r="D1990" s="7" t="s">
        <v>50</v>
      </c>
      <c r="E1990">
        <v>489.2</v>
      </c>
    </row>
    <row r="1991" spans="1:5" x14ac:dyDescent="0.25">
      <c r="A1991" s="7" t="s">
        <v>30</v>
      </c>
      <c r="B1991">
        <v>2022</v>
      </c>
      <c r="C1991" s="7" t="s">
        <v>34</v>
      </c>
      <c r="D1991" s="7" t="s">
        <v>19</v>
      </c>
      <c r="E1991">
        <v>167</v>
      </c>
    </row>
    <row r="1992" spans="1:5" x14ac:dyDescent="0.25">
      <c r="A1992" s="7" t="s">
        <v>30</v>
      </c>
      <c r="B1992">
        <v>2022</v>
      </c>
      <c r="C1992" s="7" t="s">
        <v>34</v>
      </c>
      <c r="D1992" s="7" t="s">
        <v>51</v>
      </c>
      <c r="E1992">
        <v>170.5</v>
      </c>
    </row>
    <row r="1993" spans="1:5" x14ac:dyDescent="0.25">
      <c r="A1993" s="7" t="s">
        <v>30</v>
      </c>
      <c r="B1993">
        <v>2022</v>
      </c>
      <c r="C1993" s="7" t="s">
        <v>34</v>
      </c>
      <c r="D1993" s="7" t="s">
        <v>26</v>
      </c>
      <c r="E1993">
        <v>1145.8</v>
      </c>
    </row>
    <row r="1994" spans="1:5" x14ac:dyDescent="0.25">
      <c r="A1994" s="7" t="s">
        <v>31</v>
      </c>
      <c r="B1994">
        <v>2022</v>
      </c>
      <c r="C1994" s="7" t="s">
        <v>34</v>
      </c>
      <c r="D1994" s="7" t="s">
        <v>48</v>
      </c>
      <c r="E1994">
        <v>2214.3000000000002</v>
      </c>
    </row>
    <row r="1995" spans="1:5" x14ac:dyDescent="0.25">
      <c r="A1995" s="7" t="s">
        <v>31</v>
      </c>
      <c r="B1995">
        <v>2022</v>
      </c>
      <c r="C1995" s="7" t="s">
        <v>34</v>
      </c>
      <c r="D1995" s="7" t="s">
        <v>49</v>
      </c>
      <c r="E1995">
        <v>193.9</v>
      </c>
    </row>
    <row r="1996" spans="1:5" x14ac:dyDescent="0.25">
      <c r="A1996" s="7" t="s">
        <v>31</v>
      </c>
      <c r="B1996">
        <v>2022</v>
      </c>
      <c r="C1996" s="7" t="s">
        <v>34</v>
      </c>
      <c r="D1996" s="7" t="s">
        <v>50</v>
      </c>
      <c r="E1996">
        <v>513.20000000000005</v>
      </c>
    </row>
    <row r="1997" spans="1:5" x14ac:dyDescent="0.25">
      <c r="A1997" s="7" t="s">
        <v>31</v>
      </c>
      <c r="B1997">
        <v>2022</v>
      </c>
      <c r="C1997" s="7" t="s">
        <v>34</v>
      </c>
      <c r="D1997" s="7" t="s">
        <v>19</v>
      </c>
      <c r="E1997">
        <v>167</v>
      </c>
    </row>
    <row r="1998" spans="1:5" x14ac:dyDescent="0.25">
      <c r="A1998" s="7" t="s">
        <v>31</v>
      </c>
      <c r="B1998">
        <v>2022</v>
      </c>
      <c r="C1998" s="7" t="s">
        <v>34</v>
      </c>
      <c r="D1998" s="7" t="s">
        <v>51</v>
      </c>
      <c r="E1998">
        <v>172.2</v>
      </c>
    </row>
    <row r="1999" spans="1:5" x14ac:dyDescent="0.25">
      <c r="A1999" s="7" t="s">
        <v>31</v>
      </c>
      <c r="B1999">
        <v>2022</v>
      </c>
      <c r="C1999" s="7" t="s">
        <v>34</v>
      </c>
      <c r="D1999" s="7" t="s">
        <v>26</v>
      </c>
      <c r="E1999">
        <v>1167.5</v>
      </c>
    </row>
    <row r="2000" spans="1:5" x14ac:dyDescent="0.25">
      <c r="A2000" s="7" t="s">
        <v>28</v>
      </c>
      <c r="B2000">
        <v>2022</v>
      </c>
      <c r="C2000" s="7" t="s">
        <v>35</v>
      </c>
      <c r="D2000" s="7" t="s">
        <v>48</v>
      </c>
      <c r="E2000">
        <v>2226.8000000000002</v>
      </c>
    </row>
    <row r="2001" spans="1:5" x14ac:dyDescent="0.25">
      <c r="A2001" s="7" t="s">
        <v>28</v>
      </c>
      <c r="B2001">
        <v>2022</v>
      </c>
      <c r="C2001" s="7" t="s">
        <v>35</v>
      </c>
      <c r="D2001" s="7" t="s">
        <v>49</v>
      </c>
      <c r="E2001">
        <v>192.9</v>
      </c>
    </row>
    <row r="2002" spans="1:5" x14ac:dyDescent="0.25">
      <c r="A2002" s="7" t="s">
        <v>28</v>
      </c>
      <c r="B2002">
        <v>2022</v>
      </c>
      <c r="C2002" s="7" t="s">
        <v>35</v>
      </c>
      <c r="D2002" s="7" t="s">
        <v>50</v>
      </c>
      <c r="E2002">
        <v>535.5</v>
      </c>
    </row>
    <row r="2003" spans="1:5" x14ac:dyDescent="0.25">
      <c r="A2003" s="7" t="s">
        <v>28</v>
      </c>
      <c r="B2003">
        <v>2022</v>
      </c>
      <c r="C2003" s="7" t="s">
        <v>35</v>
      </c>
      <c r="D2003" s="7" t="s">
        <v>19</v>
      </c>
      <c r="E2003">
        <v>167.2</v>
      </c>
    </row>
    <row r="2004" spans="1:5" x14ac:dyDescent="0.25">
      <c r="A2004" s="7" t="s">
        <v>28</v>
      </c>
      <c r="B2004">
        <v>2022</v>
      </c>
      <c r="C2004" s="7" t="s">
        <v>35</v>
      </c>
      <c r="D2004" s="7" t="s">
        <v>51</v>
      </c>
      <c r="E2004">
        <v>175.3</v>
      </c>
    </row>
    <row r="2005" spans="1:5" x14ac:dyDescent="0.25">
      <c r="A2005" s="7" t="s">
        <v>28</v>
      </c>
      <c r="B2005">
        <v>2022</v>
      </c>
      <c r="C2005" s="7" t="s">
        <v>35</v>
      </c>
      <c r="D2005" s="7" t="s">
        <v>26</v>
      </c>
      <c r="E2005">
        <v>1192.5000000000002</v>
      </c>
    </row>
    <row r="2006" spans="1:5" x14ac:dyDescent="0.25">
      <c r="A2006" s="7" t="s">
        <v>30</v>
      </c>
      <c r="B2006">
        <v>2022</v>
      </c>
      <c r="C2006" s="7" t="s">
        <v>35</v>
      </c>
      <c r="D2006" s="7" t="s">
        <v>48</v>
      </c>
      <c r="E2006">
        <v>2262.2000000000003</v>
      </c>
    </row>
    <row r="2007" spans="1:5" x14ac:dyDescent="0.25">
      <c r="A2007" s="7" t="s">
        <v>30</v>
      </c>
      <c r="B2007">
        <v>2022</v>
      </c>
      <c r="C2007" s="7" t="s">
        <v>35</v>
      </c>
      <c r="D2007" s="7" t="s">
        <v>49</v>
      </c>
      <c r="E2007">
        <v>197.5</v>
      </c>
    </row>
    <row r="2008" spans="1:5" x14ac:dyDescent="0.25">
      <c r="A2008" s="7" t="s">
        <v>30</v>
      </c>
      <c r="B2008">
        <v>2022</v>
      </c>
      <c r="C2008" s="7" t="s">
        <v>35</v>
      </c>
      <c r="D2008" s="7" t="s">
        <v>50</v>
      </c>
      <c r="E2008">
        <v>493.7</v>
      </c>
    </row>
    <row r="2009" spans="1:5" x14ac:dyDescent="0.25">
      <c r="A2009" s="7" t="s">
        <v>30</v>
      </c>
      <c r="B2009">
        <v>2022</v>
      </c>
      <c r="C2009" s="7" t="s">
        <v>35</v>
      </c>
      <c r="D2009" s="7" t="s">
        <v>19</v>
      </c>
      <c r="E2009">
        <v>167.5</v>
      </c>
    </row>
    <row r="2010" spans="1:5" x14ac:dyDescent="0.25">
      <c r="A2010" s="7" t="s">
        <v>30</v>
      </c>
      <c r="B2010">
        <v>2022</v>
      </c>
      <c r="C2010" s="7" t="s">
        <v>35</v>
      </c>
      <c r="D2010" s="7" t="s">
        <v>51</v>
      </c>
      <c r="E2010">
        <v>173.5</v>
      </c>
    </row>
    <row r="2011" spans="1:5" x14ac:dyDescent="0.25">
      <c r="A2011" s="7" t="s">
        <v>30</v>
      </c>
      <c r="B2011">
        <v>2022</v>
      </c>
      <c r="C2011" s="7" t="s">
        <v>35</v>
      </c>
      <c r="D2011" s="7" t="s">
        <v>26</v>
      </c>
      <c r="E2011">
        <v>1151</v>
      </c>
    </row>
    <row r="2012" spans="1:5" x14ac:dyDescent="0.25">
      <c r="A2012" s="7" t="s">
        <v>31</v>
      </c>
      <c r="B2012">
        <v>2022</v>
      </c>
      <c r="C2012" s="7" t="s">
        <v>35</v>
      </c>
      <c r="D2012" s="7" t="s">
        <v>48</v>
      </c>
      <c r="E2012">
        <v>2238.9000000000005</v>
      </c>
    </row>
    <row r="2013" spans="1:5" x14ac:dyDescent="0.25">
      <c r="A2013" s="7" t="s">
        <v>31</v>
      </c>
      <c r="B2013">
        <v>2022</v>
      </c>
      <c r="C2013" s="7" t="s">
        <v>35</v>
      </c>
      <c r="D2013" s="7" t="s">
        <v>49</v>
      </c>
      <c r="E2013">
        <v>194.1</v>
      </c>
    </row>
    <row r="2014" spans="1:5" x14ac:dyDescent="0.25">
      <c r="A2014" s="7" t="s">
        <v>31</v>
      </c>
      <c r="B2014">
        <v>2022</v>
      </c>
      <c r="C2014" s="7" t="s">
        <v>35</v>
      </c>
      <c r="D2014" s="7" t="s">
        <v>50</v>
      </c>
      <c r="E2014">
        <v>518.6</v>
      </c>
    </row>
    <row r="2015" spans="1:5" x14ac:dyDescent="0.25">
      <c r="A2015" s="7" t="s">
        <v>31</v>
      </c>
      <c r="B2015">
        <v>2022</v>
      </c>
      <c r="C2015" s="7" t="s">
        <v>35</v>
      </c>
      <c r="D2015" s="7" t="s">
        <v>19</v>
      </c>
      <c r="E2015">
        <v>167.5</v>
      </c>
    </row>
    <row r="2016" spans="1:5" x14ac:dyDescent="0.25">
      <c r="A2016" s="7" t="s">
        <v>31</v>
      </c>
      <c r="B2016">
        <v>2022</v>
      </c>
      <c r="C2016" s="7" t="s">
        <v>35</v>
      </c>
      <c r="D2016" s="7" t="s">
        <v>51</v>
      </c>
      <c r="E2016">
        <v>174.6</v>
      </c>
    </row>
    <row r="2017" spans="1:5" x14ac:dyDescent="0.25">
      <c r="A2017" s="7" t="s">
        <v>31</v>
      </c>
      <c r="B2017">
        <v>2022</v>
      </c>
      <c r="C2017" s="7" t="s">
        <v>35</v>
      </c>
      <c r="D2017" s="7" t="s">
        <v>26</v>
      </c>
      <c r="E2017">
        <v>1171.9000000000001</v>
      </c>
    </row>
    <row r="2018" spans="1:5" x14ac:dyDescent="0.25">
      <c r="A2018" s="7" t="s">
        <v>28</v>
      </c>
      <c r="B2018">
        <v>2022</v>
      </c>
      <c r="C2018" s="7" t="s">
        <v>36</v>
      </c>
      <c r="D2018" s="7" t="s">
        <v>48</v>
      </c>
      <c r="E2018">
        <v>2248.3000000000002</v>
      </c>
    </row>
    <row r="2019" spans="1:5" x14ac:dyDescent="0.25">
      <c r="A2019" s="7" t="s">
        <v>28</v>
      </c>
      <c r="B2019">
        <v>2022</v>
      </c>
      <c r="C2019" s="7" t="s">
        <v>36</v>
      </c>
      <c r="D2019" s="7" t="s">
        <v>49</v>
      </c>
      <c r="E2019">
        <v>192.9</v>
      </c>
    </row>
    <row r="2020" spans="1:5" x14ac:dyDescent="0.25">
      <c r="A2020" s="7" t="s">
        <v>28</v>
      </c>
      <c r="B2020">
        <v>2022</v>
      </c>
      <c r="C2020" s="7" t="s">
        <v>36</v>
      </c>
      <c r="D2020" s="7" t="s">
        <v>50</v>
      </c>
      <c r="E2020">
        <v>539.79999999999995</v>
      </c>
    </row>
    <row r="2021" spans="1:5" x14ac:dyDescent="0.25">
      <c r="A2021" s="7" t="s">
        <v>28</v>
      </c>
      <c r="B2021">
        <v>2022</v>
      </c>
      <c r="C2021" s="7" t="s">
        <v>36</v>
      </c>
      <c r="D2021" s="7" t="s">
        <v>19</v>
      </c>
      <c r="E2021">
        <v>167.3</v>
      </c>
    </row>
    <row r="2022" spans="1:5" x14ac:dyDescent="0.25">
      <c r="A2022" s="7" t="s">
        <v>28</v>
      </c>
      <c r="B2022">
        <v>2022</v>
      </c>
      <c r="C2022" s="7" t="s">
        <v>36</v>
      </c>
      <c r="D2022" s="7" t="s">
        <v>51</v>
      </c>
      <c r="E2022">
        <v>176.7</v>
      </c>
    </row>
    <row r="2023" spans="1:5" x14ac:dyDescent="0.25">
      <c r="A2023" s="7" t="s">
        <v>28</v>
      </c>
      <c r="B2023">
        <v>2022</v>
      </c>
      <c r="C2023" s="7" t="s">
        <v>36</v>
      </c>
      <c r="D2023" s="7" t="s">
        <v>26</v>
      </c>
      <c r="E2023">
        <v>1195.0999999999999</v>
      </c>
    </row>
    <row r="2024" spans="1:5" x14ac:dyDescent="0.25">
      <c r="A2024" s="7" t="s">
        <v>30</v>
      </c>
      <c r="B2024">
        <v>2022</v>
      </c>
      <c r="C2024" s="7" t="s">
        <v>36</v>
      </c>
      <c r="D2024" s="7" t="s">
        <v>48</v>
      </c>
      <c r="E2024">
        <v>2287.5</v>
      </c>
    </row>
    <row r="2025" spans="1:5" x14ac:dyDescent="0.25">
      <c r="A2025" s="7" t="s">
        <v>30</v>
      </c>
      <c r="B2025">
        <v>2022</v>
      </c>
      <c r="C2025" s="7" t="s">
        <v>36</v>
      </c>
      <c r="D2025" s="7" t="s">
        <v>49</v>
      </c>
      <c r="E2025">
        <v>198.3</v>
      </c>
    </row>
    <row r="2026" spans="1:5" x14ac:dyDescent="0.25">
      <c r="A2026" s="7" t="s">
        <v>30</v>
      </c>
      <c r="B2026">
        <v>2022</v>
      </c>
      <c r="C2026" s="7" t="s">
        <v>36</v>
      </c>
      <c r="D2026" s="7" t="s">
        <v>50</v>
      </c>
      <c r="E2026">
        <v>498.4</v>
      </c>
    </row>
    <row r="2027" spans="1:5" x14ac:dyDescent="0.25">
      <c r="A2027" s="7" t="s">
        <v>30</v>
      </c>
      <c r="B2027">
        <v>2022</v>
      </c>
      <c r="C2027" s="7" t="s">
        <v>36</v>
      </c>
      <c r="D2027" s="7" t="s">
        <v>19</v>
      </c>
      <c r="E2027">
        <v>166.8</v>
      </c>
    </row>
    <row r="2028" spans="1:5" x14ac:dyDescent="0.25">
      <c r="A2028" s="7" t="s">
        <v>30</v>
      </c>
      <c r="B2028">
        <v>2022</v>
      </c>
      <c r="C2028" s="7" t="s">
        <v>36</v>
      </c>
      <c r="D2028" s="7" t="s">
        <v>51</v>
      </c>
      <c r="E2028">
        <v>174.9</v>
      </c>
    </row>
    <row r="2029" spans="1:5" x14ac:dyDescent="0.25">
      <c r="A2029" s="7" t="s">
        <v>30</v>
      </c>
      <c r="B2029">
        <v>2022</v>
      </c>
      <c r="C2029" s="7" t="s">
        <v>36</v>
      </c>
      <c r="D2029" s="7" t="s">
        <v>26</v>
      </c>
      <c r="E2029">
        <v>1153.8</v>
      </c>
    </row>
    <row r="2030" spans="1:5" x14ac:dyDescent="0.25">
      <c r="A2030" s="7" t="s">
        <v>31</v>
      </c>
      <c r="B2030">
        <v>2022</v>
      </c>
      <c r="C2030" s="7" t="s">
        <v>36</v>
      </c>
      <c r="D2030" s="7" t="s">
        <v>48</v>
      </c>
      <c r="E2030">
        <v>2261.9</v>
      </c>
    </row>
    <row r="2031" spans="1:5" x14ac:dyDescent="0.25">
      <c r="A2031" s="7" t="s">
        <v>31</v>
      </c>
      <c r="B2031">
        <v>2022</v>
      </c>
      <c r="C2031" s="7" t="s">
        <v>36</v>
      </c>
      <c r="D2031" s="7" t="s">
        <v>49</v>
      </c>
      <c r="E2031">
        <v>194.3</v>
      </c>
    </row>
    <row r="2032" spans="1:5" x14ac:dyDescent="0.25">
      <c r="A2032" s="7" t="s">
        <v>31</v>
      </c>
      <c r="B2032">
        <v>2022</v>
      </c>
      <c r="C2032" s="7" t="s">
        <v>36</v>
      </c>
      <c r="D2032" s="7" t="s">
        <v>50</v>
      </c>
      <c r="E2032">
        <v>523</v>
      </c>
    </row>
    <row r="2033" spans="1:5" x14ac:dyDescent="0.25">
      <c r="A2033" s="7" t="s">
        <v>31</v>
      </c>
      <c r="B2033">
        <v>2022</v>
      </c>
      <c r="C2033" s="7" t="s">
        <v>36</v>
      </c>
      <c r="D2033" s="7" t="s">
        <v>19</v>
      </c>
      <c r="E2033">
        <v>166.8</v>
      </c>
    </row>
    <row r="2034" spans="1:5" x14ac:dyDescent="0.25">
      <c r="A2034" s="7" t="s">
        <v>31</v>
      </c>
      <c r="B2034">
        <v>2022</v>
      </c>
      <c r="C2034" s="7" t="s">
        <v>36</v>
      </c>
      <c r="D2034" s="7" t="s">
        <v>51</v>
      </c>
      <c r="E2034">
        <v>176</v>
      </c>
    </row>
    <row r="2035" spans="1:5" x14ac:dyDescent="0.25">
      <c r="A2035" s="7" t="s">
        <v>31</v>
      </c>
      <c r="B2035">
        <v>2022</v>
      </c>
      <c r="C2035" s="7" t="s">
        <v>36</v>
      </c>
      <c r="D2035" s="7" t="s">
        <v>26</v>
      </c>
      <c r="E2035">
        <v>1174.5999999999999</v>
      </c>
    </row>
    <row r="2036" spans="1:5" x14ac:dyDescent="0.25">
      <c r="A2036" s="7" t="s">
        <v>28</v>
      </c>
      <c r="B2036">
        <v>2022</v>
      </c>
      <c r="C2036" s="7" t="s">
        <v>37</v>
      </c>
      <c r="D2036" s="7" t="s">
        <v>48</v>
      </c>
      <c r="E2036">
        <v>2252.5</v>
      </c>
    </row>
    <row r="2037" spans="1:5" x14ac:dyDescent="0.25">
      <c r="A2037" s="7" t="s">
        <v>28</v>
      </c>
      <c r="B2037">
        <v>2022</v>
      </c>
      <c r="C2037" s="7" t="s">
        <v>37</v>
      </c>
      <c r="D2037" s="7" t="s">
        <v>49</v>
      </c>
      <c r="E2037">
        <v>193.2</v>
      </c>
    </row>
    <row r="2038" spans="1:5" x14ac:dyDescent="0.25">
      <c r="A2038" s="7" t="s">
        <v>28</v>
      </c>
      <c r="B2038">
        <v>2022</v>
      </c>
      <c r="C2038" s="7" t="s">
        <v>37</v>
      </c>
      <c r="D2038" s="7" t="s">
        <v>50</v>
      </c>
      <c r="E2038">
        <v>544</v>
      </c>
    </row>
    <row r="2039" spans="1:5" x14ac:dyDescent="0.25">
      <c r="A2039" s="7" t="s">
        <v>28</v>
      </c>
      <c r="B2039">
        <v>2022</v>
      </c>
      <c r="C2039" s="7" t="s">
        <v>37</v>
      </c>
      <c r="D2039" s="7" t="s">
        <v>19</v>
      </c>
      <c r="E2039">
        <v>168.4</v>
      </c>
    </row>
    <row r="2040" spans="1:5" x14ac:dyDescent="0.25">
      <c r="A2040" s="7" t="s">
        <v>28</v>
      </c>
      <c r="B2040">
        <v>2022</v>
      </c>
      <c r="C2040" s="7" t="s">
        <v>37</v>
      </c>
      <c r="D2040" s="7" t="s">
        <v>51</v>
      </c>
      <c r="E2040">
        <v>179.6</v>
      </c>
    </row>
    <row r="2041" spans="1:5" x14ac:dyDescent="0.25">
      <c r="A2041" s="7" t="s">
        <v>28</v>
      </c>
      <c r="B2041">
        <v>2022</v>
      </c>
      <c r="C2041" s="7" t="s">
        <v>37</v>
      </c>
      <c r="D2041" s="7" t="s">
        <v>26</v>
      </c>
      <c r="E2041">
        <v>1201.2</v>
      </c>
    </row>
    <row r="2042" spans="1:5" x14ac:dyDescent="0.25">
      <c r="A2042" s="7" t="s">
        <v>30</v>
      </c>
      <c r="B2042">
        <v>2022</v>
      </c>
      <c r="C2042" s="7" t="s">
        <v>37</v>
      </c>
      <c r="D2042" s="7" t="s">
        <v>48</v>
      </c>
      <c r="E2042">
        <v>2291.6</v>
      </c>
    </row>
    <row r="2043" spans="1:5" x14ac:dyDescent="0.25">
      <c r="A2043" s="7" t="s">
        <v>30</v>
      </c>
      <c r="B2043">
        <v>2022</v>
      </c>
      <c r="C2043" s="7" t="s">
        <v>37</v>
      </c>
      <c r="D2043" s="7" t="s">
        <v>49</v>
      </c>
      <c r="E2043">
        <v>198.6</v>
      </c>
    </row>
    <row r="2044" spans="1:5" x14ac:dyDescent="0.25">
      <c r="A2044" s="7" t="s">
        <v>30</v>
      </c>
      <c r="B2044">
        <v>2022</v>
      </c>
      <c r="C2044" s="7" t="s">
        <v>37</v>
      </c>
      <c r="D2044" s="7" t="s">
        <v>50</v>
      </c>
      <c r="E2044">
        <v>502</v>
      </c>
    </row>
    <row r="2045" spans="1:5" x14ac:dyDescent="0.25">
      <c r="A2045" s="7" t="s">
        <v>30</v>
      </c>
      <c r="B2045">
        <v>2022</v>
      </c>
      <c r="C2045" s="7" t="s">
        <v>37</v>
      </c>
      <c r="D2045" s="7" t="s">
        <v>19</v>
      </c>
      <c r="E2045">
        <v>167.8</v>
      </c>
    </row>
    <row r="2046" spans="1:5" x14ac:dyDescent="0.25">
      <c r="A2046" s="7" t="s">
        <v>30</v>
      </c>
      <c r="B2046">
        <v>2022</v>
      </c>
      <c r="C2046" s="7" t="s">
        <v>37</v>
      </c>
      <c r="D2046" s="7" t="s">
        <v>51</v>
      </c>
      <c r="E2046">
        <v>179.5</v>
      </c>
    </row>
    <row r="2047" spans="1:5" x14ac:dyDescent="0.25">
      <c r="A2047" s="7" t="s">
        <v>30</v>
      </c>
      <c r="B2047">
        <v>2022</v>
      </c>
      <c r="C2047" s="7" t="s">
        <v>37</v>
      </c>
      <c r="D2047" s="7" t="s">
        <v>26</v>
      </c>
      <c r="E2047">
        <v>1160.4000000000001</v>
      </c>
    </row>
    <row r="2048" spans="1:5" x14ac:dyDescent="0.25">
      <c r="A2048" s="7" t="s">
        <v>31</v>
      </c>
      <c r="B2048">
        <v>2022</v>
      </c>
      <c r="C2048" s="7" t="s">
        <v>37</v>
      </c>
      <c r="D2048" s="7" t="s">
        <v>48</v>
      </c>
      <c r="E2048">
        <v>2266.3000000000002</v>
      </c>
    </row>
    <row r="2049" spans="1:5" x14ac:dyDescent="0.25">
      <c r="A2049" s="7" t="s">
        <v>31</v>
      </c>
      <c r="B2049">
        <v>2022</v>
      </c>
      <c r="C2049" s="7" t="s">
        <v>37</v>
      </c>
      <c r="D2049" s="7" t="s">
        <v>49</v>
      </c>
      <c r="E2049">
        <v>194.6</v>
      </c>
    </row>
    <row r="2050" spans="1:5" x14ac:dyDescent="0.25">
      <c r="A2050" s="7" t="s">
        <v>31</v>
      </c>
      <c r="B2050">
        <v>2022</v>
      </c>
      <c r="C2050" s="7" t="s">
        <v>37</v>
      </c>
      <c r="D2050" s="7" t="s">
        <v>50</v>
      </c>
      <c r="E2050">
        <v>526.90000000000009</v>
      </c>
    </row>
    <row r="2051" spans="1:5" x14ac:dyDescent="0.25">
      <c r="A2051" s="7" t="s">
        <v>31</v>
      </c>
      <c r="B2051">
        <v>2022</v>
      </c>
      <c r="C2051" s="7" t="s">
        <v>37</v>
      </c>
      <c r="D2051" s="7" t="s">
        <v>19</v>
      </c>
      <c r="E2051">
        <v>167.8</v>
      </c>
    </row>
    <row r="2052" spans="1:5" x14ac:dyDescent="0.25">
      <c r="A2052" s="7" t="s">
        <v>31</v>
      </c>
      <c r="B2052">
        <v>2022</v>
      </c>
      <c r="C2052" s="7" t="s">
        <v>37</v>
      </c>
      <c r="D2052" s="7" t="s">
        <v>51</v>
      </c>
      <c r="E2052">
        <v>179.6</v>
      </c>
    </row>
    <row r="2053" spans="1:5" x14ac:dyDescent="0.25">
      <c r="A2053" s="7" t="s">
        <v>31</v>
      </c>
      <c r="B2053">
        <v>2022</v>
      </c>
      <c r="C2053" s="7" t="s">
        <v>37</v>
      </c>
      <c r="D2053" s="7" t="s">
        <v>26</v>
      </c>
      <c r="E2053">
        <v>1180.9000000000001</v>
      </c>
    </row>
    <row r="2054" spans="1:5" x14ac:dyDescent="0.25">
      <c r="A2054" s="7" t="s">
        <v>28</v>
      </c>
      <c r="B2054">
        <v>2022</v>
      </c>
      <c r="C2054" s="7" t="s">
        <v>38</v>
      </c>
      <c r="D2054" s="7" t="s">
        <v>48</v>
      </c>
      <c r="E2054">
        <v>2255.7999999999997</v>
      </c>
    </row>
    <row r="2055" spans="1:5" x14ac:dyDescent="0.25">
      <c r="A2055" s="7" t="s">
        <v>28</v>
      </c>
      <c r="B2055">
        <v>2022</v>
      </c>
      <c r="C2055" s="7" t="s">
        <v>38</v>
      </c>
      <c r="D2055" s="7" t="s">
        <v>49</v>
      </c>
      <c r="E2055">
        <v>193.7</v>
      </c>
    </row>
    <row r="2056" spans="1:5" x14ac:dyDescent="0.25">
      <c r="A2056" s="7" t="s">
        <v>28</v>
      </c>
      <c r="B2056">
        <v>2022</v>
      </c>
      <c r="C2056" s="7" t="s">
        <v>38</v>
      </c>
      <c r="D2056" s="7" t="s">
        <v>50</v>
      </c>
      <c r="E2056">
        <v>547.9</v>
      </c>
    </row>
    <row r="2057" spans="1:5" x14ac:dyDescent="0.25">
      <c r="A2057" s="7" t="s">
        <v>28</v>
      </c>
      <c r="B2057">
        <v>2022</v>
      </c>
      <c r="C2057" s="7" t="s">
        <v>38</v>
      </c>
      <c r="D2057" s="7" t="s">
        <v>19</v>
      </c>
      <c r="E2057">
        <v>169.3</v>
      </c>
    </row>
    <row r="2058" spans="1:5" x14ac:dyDescent="0.25">
      <c r="A2058" s="7" t="s">
        <v>28</v>
      </c>
      <c r="B2058">
        <v>2022</v>
      </c>
      <c r="C2058" s="7" t="s">
        <v>38</v>
      </c>
      <c r="D2058" s="7" t="s">
        <v>51</v>
      </c>
      <c r="E2058">
        <v>179.1</v>
      </c>
    </row>
    <row r="2059" spans="1:5" x14ac:dyDescent="0.25">
      <c r="A2059" s="7" t="s">
        <v>28</v>
      </c>
      <c r="B2059">
        <v>2022</v>
      </c>
      <c r="C2059" s="7" t="s">
        <v>38</v>
      </c>
      <c r="D2059" s="7" t="s">
        <v>26</v>
      </c>
      <c r="E2059">
        <v>1207</v>
      </c>
    </row>
    <row r="2060" spans="1:5" x14ac:dyDescent="0.25">
      <c r="A2060" s="7" t="s">
        <v>30</v>
      </c>
      <c r="B2060">
        <v>2022</v>
      </c>
      <c r="C2060" s="7" t="s">
        <v>38</v>
      </c>
      <c r="D2060" s="7" t="s">
        <v>48</v>
      </c>
      <c r="E2060">
        <v>2293.6999999999998</v>
      </c>
    </row>
    <row r="2061" spans="1:5" x14ac:dyDescent="0.25">
      <c r="A2061" s="7" t="s">
        <v>30</v>
      </c>
      <c r="B2061">
        <v>2022</v>
      </c>
      <c r="C2061" s="7" t="s">
        <v>38</v>
      </c>
      <c r="D2061" s="7" t="s">
        <v>49</v>
      </c>
      <c r="E2061">
        <v>198.7</v>
      </c>
    </row>
    <row r="2062" spans="1:5" x14ac:dyDescent="0.25">
      <c r="A2062" s="7" t="s">
        <v>30</v>
      </c>
      <c r="B2062">
        <v>2022</v>
      </c>
      <c r="C2062" s="7" t="s">
        <v>38</v>
      </c>
      <c r="D2062" s="7" t="s">
        <v>50</v>
      </c>
      <c r="E2062">
        <v>505.29999999999995</v>
      </c>
    </row>
    <row r="2063" spans="1:5" x14ac:dyDescent="0.25">
      <c r="A2063" s="7" t="s">
        <v>30</v>
      </c>
      <c r="B2063">
        <v>2022</v>
      </c>
      <c r="C2063" s="7" t="s">
        <v>38</v>
      </c>
      <c r="D2063" s="7" t="s">
        <v>19</v>
      </c>
      <c r="E2063">
        <v>169</v>
      </c>
    </row>
    <row r="2064" spans="1:5" x14ac:dyDescent="0.25">
      <c r="A2064" s="7" t="s">
        <v>30</v>
      </c>
      <c r="B2064">
        <v>2022</v>
      </c>
      <c r="C2064" s="7" t="s">
        <v>38</v>
      </c>
      <c r="D2064" s="7" t="s">
        <v>51</v>
      </c>
      <c r="E2064">
        <v>178.4</v>
      </c>
    </row>
    <row r="2065" spans="1:5" x14ac:dyDescent="0.25">
      <c r="A2065" s="7" t="s">
        <v>30</v>
      </c>
      <c r="B2065">
        <v>2022</v>
      </c>
      <c r="C2065" s="7" t="s">
        <v>38</v>
      </c>
      <c r="D2065" s="7" t="s">
        <v>26</v>
      </c>
      <c r="E2065">
        <v>1166.3</v>
      </c>
    </row>
    <row r="2066" spans="1:5" x14ac:dyDescent="0.25">
      <c r="A2066" s="7" t="s">
        <v>31</v>
      </c>
      <c r="B2066">
        <v>2022</v>
      </c>
      <c r="C2066" s="7" t="s">
        <v>38</v>
      </c>
      <c r="D2066" s="7" t="s">
        <v>48</v>
      </c>
      <c r="E2066">
        <v>2269.2000000000003</v>
      </c>
    </row>
    <row r="2067" spans="1:5" x14ac:dyDescent="0.25">
      <c r="A2067" s="7" t="s">
        <v>31</v>
      </c>
      <c r="B2067">
        <v>2022</v>
      </c>
      <c r="C2067" s="7" t="s">
        <v>38</v>
      </c>
      <c r="D2067" s="7" t="s">
        <v>49</v>
      </c>
      <c r="E2067">
        <v>195</v>
      </c>
    </row>
    <row r="2068" spans="1:5" x14ac:dyDescent="0.25">
      <c r="A2068" s="7" t="s">
        <v>31</v>
      </c>
      <c r="B2068">
        <v>2022</v>
      </c>
      <c r="C2068" s="7" t="s">
        <v>38</v>
      </c>
      <c r="D2068" s="7" t="s">
        <v>50</v>
      </c>
      <c r="E2068">
        <v>530.70000000000005</v>
      </c>
    </row>
    <row r="2069" spans="1:5" x14ac:dyDescent="0.25">
      <c r="A2069" s="7" t="s">
        <v>31</v>
      </c>
      <c r="B2069">
        <v>2022</v>
      </c>
      <c r="C2069" s="7" t="s">
        <v>38</v>
      </c>
      <c r="D2069" s="7" t="s">
        <v>19</v>
      </c>
      <c r="E2069">
        <v>169</v>
      </c>
    </row>
    <row r="2070" spans="1:5" x14ac:dyDescent="0.25">
      <c r="A2070" s="7" t="s">
        <v>31</v>
      </c>
      <c r="B2070">
        <v>2022</v>
      </c>
      <c r="C2070" s="7" t="s">
        <v>38</v>
      </c>
      <c r="D2070" s="7" t="s">
        <v>51</v>
      </c>
      <c r="E2070">
        <v>178.8</v>
      </c>
    </row>
    <row r="2071" spans="1:5" x14ac:dyDescent="0.25">
      <c r="A2071" s="7" t="s">
        <v>31</v>
      </c>
      <c r="B2071">
        <v>2022</v>
      </c>
      <c r="C2071" s="7" t="s">
        <v>38</v>
      </c>
      <c r="D2071" s="7" t="s">
        <v>26</v>
      </c>
      <c r="E2071">
        <v>1186.7</v>
      </c>
    </row>
    <row r="2072" spans="1:5" x14ac:dyDescent="0.25">
      <c r="A2072" s="7" t="s">
        <v>28</v>
      </c>
      <c r="B2072">
        <v>2022</v>
      </c>
      <c r="C2072" s="7" t="s">
        <v>39</v>
      </c>
      <c r="D2072" s="7" t="s">
        <v>48</v>
      </c>
      <c r="E2072">
        <v>2267.8000000000002</v>
      </c>
    </row>
    <row r="2073" spans="1:5" x14ac:dyDescent="0.25">
      <c r="A2073" s="7" t="s">
        <v>28</v>
      </c>
      <c r="B2073">
        <v>2022</v>
      </c>
      <c r="C2073" s="7" t="s">
        <v>39</v>
      </c>
      <c r="D2073" s="7" t="s">
        <v>49</v>
      </c>
      <c r="E2073">
        <v>194.5</v>
      </c>
    </row>
    <row r="2074" spans="1:5" x14ac:dyDescent="0.25">
      <c r="A2074" s="7" t="s">
        <v>28</v>
      </c>
      <c r="B2074">
        <v>2022</v>
      </c>
      <c r="C2074" s="7" t="s">
        <v>39</v>
      </c>
      <c r="D2074" s="7" t="s">
        <v>50</v>
      </c>
      <c r="E2074">
        <v>552.5</v>
      </c>
    </row>
    <row r="2075" spans="1:5" x14ac:dyDescent="0.25">
      <c r="A2075" s="7" t="s">
        <v>28</v>
      </c>
      <c r="B2075">
        <v>2022</v>
      </c>
      <c r="C2075" s="7" t="s">
        <v>39</v>
      </c>
      <c r="D2075" s="7" t="s">
        <v>19</v>
      </c>
      <c r="E2075">
        <v>170.4</v>
      </c>
    </row>
    <row r="2076" spans="1:5" x14ac:dyDescent="0.25">
      <c r="A2076" s="7" t="s">
        <v>28</v>
      </c>
      <c r="B2076">
        <v>2022</v>
      </c>
      <c r="C2076" s="7" t="s">
        <v>39</v>
      </c>
      <c r="D2076" s="7" t="s">
        <v>51</v>
      </c>
      <c r="E2076">
        <v>179.7</v>
      </c>
    </row>
    <row r="2077" spans="1:5" x14ac:dyDescent="0.25">
      <c r="A2077" s="7" t="s">
        <v>28</v>
      </c>
      <c r="B2077">
        <v>2022</v>
      </c>
      <c r="C2077" s="7" t="s">
        <v>39</v>
      </c>
      <c r="D2077" s="7" t="s">
        <v>26</v>
      </c>
      <c r="E2077">
        <v>1210.7999999999997</v>
      </c>
    </row>
    <row r="2078" spans="1:5" x14ac:dyDescent="0.25">
      <c r="A2078" s="7" t="s">
        <v>30</v>
      </c>
      <c r="B2078">
        <v>2022</v>
      </c>
      <c r="C2078" s="7" t="s">
        <v>39</v>
      </c>
      <c r="D2078" s="7" t="s">
        <v>48</v>
      </c>
      <c r="E2078">
        <v>2306.4</v>
      </c>
    </row>
    <row r="2079" spans="1:5" x14ac:dyDescent="0.25">
      <c r="A2079" s="7" t="s">
        <v>30</v>
      </c>
      <c r="B2079">
        <v>2022</v>
      </c>
      <c r="C2079" s="7" t="s">
        <v>39</v>
      </c>
      <c r="D2079" s="7" t="s">
        <v>49</v>
      </c>
      <c r="E2079">
        <v>199.7</v>
      </c>
    </row>
    <row r="2080" spans="1:5" x14ac:dyDescent="0.25">
      <c r="A2080" s="7" t="s">
        <v>30</v>
      </c>
      <c r="B2080">
        <v>2022</v>
      </c>
      <c r="C2080" s="7" t="s">
        <v>39</v>
      </c>
      <c r="D2080" s="7" t="s">
        <v>50</v>
      </c>
      <c r="E2080">
        <v>509.7</v>
      </c>
    </row>
    <row r="2081" spans="1:5" x14ac:dyDescent="0.25">
      <c r="A2081" s="7" t="s">
        <v>30</v>
      </c>
      <c r="B2081">
        <v>2022</v>
      </c>
      <c r="C2081" s="7" t="s">
        <v>39</v>
      </c>
      <c r="D2081" s="7" t="s">
        <v>19</v>
      </c>
      <c r="E2081">
        <v>169.5</v>
      </c>
    </row>
    <row r="2082" spans="1:5" x14ac:dyDescent="0.25">
      <c r="A2082" s="7" t="s">
        <v>30</v>
      </c>
      <c r="B2082">
        <v>2022</v>
      </c>
      <c r="C2082" s="7" t="s">
        <v>39</v>
      </c>
      <c r="D2082" s="7" t="s">
        <v>51</v>
      </c>
      <c r="E2082">
        <v>179.2</v>
      </c>
    </row>
    <row r="2083" spans="1:5" x14ac:dyDescent="0.25">
      <c r="A2083" s="7" t="s">
        <v>30</v>
      </c>
      <c r="B2083">
        <v>2022</v>
      </c>
      <c r="C2083" s="7" t="s">
        <v>39</v>
      </c>
      <c r="D2083" s="7" t="s">
        <v>26</v>
      </c>
      <c r="E2083">
        <v>1170.8999999999999</v>
      </c>
    </row>
    <row r="2084" spans="1:5" x14ac:dyDescent="0.25">
      <c r="A2084" s="7" t="s">
        <v>31</v>
      </c>
      <c r="B2084">
        <v>2022</v>
      </c>
      <c r="C2084" s="7" t="s">
        <v>39</v>
      </c>
      <c r="D2084" s="7" t="s">
        <v>48</v>
      </c>
      <c r="E2084">
        <v>2280.9</v>
      </c>
    </row>
    <row r="2085" spans="1:5" x14ac:dyDescent="0.25">
      <c r="A2085" s="7" t="s">
        <v>31</v>
      </c>
      <c r="B2085">
        <v>2022</v>
      </c>
      <c r="C2085" s="7" t="s">
        <v>39</v>
      </c>
      <c r="D2085" s="7" t="s">
        <v>49</v>
      </c>
      <c r="E2085">
        <v>195.9</v>
      </c>
    </row>
    <row r="2086" spans="1:5" x14ac:dyDescent="0.25">
      <c r="A2086" s="7" t="s">
        <v>31</v>
      </c>
      <c r="B2086">
        <v>2022</v>
      </c>
      <c r="C2086" s="7" t="s">
        <v>39</v>
      </c>
      <c r="D2086" s="7" t="s">
        <v>50</v>
      </c>
      <c r="E2086">
        <v>535.1</v>
      </c>
    </row>
    <row r="2087" spans="1:5" x14ac:dyDescent="0.25">
      <c r="A2087" s="7" t="s">
        <v>31</v>
      </c>
      <c r="B2087">
        <v>2022</v>
      </c>
      <c r="C2087" s="7" t="s">
        <v>39</v>
      </c>
      <c r="D2087" s="7" t="s">
        <v>19</v>
      </c>
      <c r="E2087">
        <v>169.5</v>
      </c>
    </row>
    <row r="2088" spans="1:5" x14ac:dyDescent="0.25">
      <c r="A2088" s="7" t="s">
        <v>31</v>
      </c>
      <c r="B2088">
        <v>2022</v>
      </c>
      <c r="C2088" s="7" t="s">
        <v>39</v>
      </c>
      <c r="D2088" s="7" t="s">
        <v>51</v>
      </c>
      <c r="E2088">
        <v>179.5</v>
      </c>
    </row>
    <row r="2089" spans="1:5" x14ac:dyDescent="0.25">
      <c r="A2089" s="7" t="s">
        <v>31</v>
      </c>
      <c r="B2089">
        <v>2022</v>
      </c>
      <c r="C2089" s="7" t="s">
        <v>39</v>
      </c>
      <c r="D2089" s="7" t="s">
        <v>26</v>
      </c>
      <c r="E2089">
        <v>1190.9000000000001</v>
      </c>
    </row>
    <row r="2090" spans="1:5" x14ac:dyDescent="0.25">
      <c r="A2090" s="7" t="s">
        <v>28</v>
      </c>
      <c r="B2090">
        <v>2022</v>
      </c>
      <c r="C2090" s="7" t="s">
        <v>40</v>
      </c>
      <c r="D2090" s="7" t="s">
        <v>48</v>
      </c>
      <c r="E2090">
        <v>2284.5</v>
      </c>
    </row>
    <row r="2091" spans="1:5" x14ac:dyDescent="0.25">
      <c r="A2091" s="7" t="s">
        <v>28</v>
      </c>
      <c r="B2091">
        <v>2022</v>
      </c>
      <c r="C2091" s="7" t="s">
        <v>40</v>
      </c>
      <c r="D2091" s="7" t="s">
        <v>49</v>
      </c>
      <c r="E2091">
        <v>194.9</v>
      </c>
    </row>
    <row r="2092" spans="1:5" x14ac:dyDescent="0.25">
      <c r="A2092" s="7" t="s">
        <v>28</v>
      </c>
      <c r="B2092">
        <v>2022</v>
      </c>
      <c r="C2092" s="7" t="s">
        <v>40</v>
      </c>
      <c r="D2092" s="7" t="s">
        <v>50</v>
      </c>
      <c r="E2092">
        <v>556.4</v>
      </c>
    </row>
    <row r="2093" spans="1:5" x14ac:dyDescent="0.25">
      <c r="A2093" s="7" t="s">
        <v>28</v>
      </c>
      <c r="B2093">
        <v>2022</v>
      </c>
      <c r="C2093" s="7" t="s">
        <v>40</v>
      </c>
      <c r="D2093" s="7" t="s">
        <v>19</v>
      </c>
      <c r="E2093">
        <v>171.5</v>
      </c>
    </row>
    <row r="2094" spans="1:5" x14ac:dyDescent="0.25">
      <c r="A2094" s="7" t="s">
        <v>28</v>
      </c>
      <c r="B2094">
        <v>2022</v>
      </c>
      <c r="C2094" s="7" t="s">
        <v>40</v>
      </c>
      <c r="D2094" s="7" t="s">
        <v>51</v>
      </c>
      <c r="E2094">
        <v>180.8</v>
      </c>
    </row>
    <row r="2095" spans="1:5" x14ac:dyDescent="0.25">
      <c r="A2095" s="7" t="s">
        <v>28</v>
      </c>
      <c r="B2095">
        <v>2022</v>
      </c>
      <c r="C2095" s="7" t="s">
        <v>40</v>
      </c>
      <c r="D2095" s="7" t="s">
        <v>26</v>
      </c>
      <c r="E2095">
        <v>1216</v>
      </c>
    </row>
    <row r="2096" spans="1:5" x14ac:dyDescent="0.25">
      <c r="A2096" s="7" t="s">
        <v>30</v>
      </c>
      <c r="B2096">
        <v>2022</v>
      </c>
      <c r="C2096" s="7" t="s">
        <v>40</v>
      </c>
      <c r="D2096" s="7" t="s">
        <v>48</v>
      </c>
      <c r="E2096">
        <v>2322.3000000000002</v>
      </c>
    </row>
    <row r="2097" spans="1:5" x14ac:dyDescent="0.25">
      <c r="A2097" s="7" t="s">
        <v>30</v>
      </c>
      <c r="B2097">
        <v>2022</v>
      </c>
      <c r="C2097" s="7" t="s">
        <v>40</v>
      </c>
      <c r="D2097" s="7" t="s">
        <v>49</v>
      </c>
      <c r="E2097">
        <v>200.1</v>
      </c>
    </row>
    <row r="2098" spans="1:5" x14ac:dyDescent="0.25">
      <c r="A2098" s="7" t="s">
        <v>30</v>
      </c>
      <c r="B2098">
        <v>2022</v>
      </c>
      <c r="C2098" s="7" t="s">
        <v>40</v>
      </c>
      <c r="D2098" s="7" t="s">
        <v>50</v>
      </c>
      <c r="E2098">
        <v>511.70000000000005</v>
      </c>
    </row>
    <row r="2099" spans="1:5" x14ac:dyDescent="0.25">
      <c r="A2099" s="7" t="s">
        <v>30</v>
      </c>
      <c r="B2099">
        <v>2022</v>
      </c>
      <c r="C2099" s="7" t="s">
        <v>40</v>
      </c>
      <c r="D2099" s="7" t="s">
        <v>19</v>
      </c>
      <c r="E2099">
        <v>171.2</v>
      </c>
    </row>
    <row r="2100" spans="1:5" x14ac:dyDescent="0.25">
      <c r="A2100" s="7" t="s">
        <v>30</v>
      </c>
      <c r="B2100">
        <v>2022</v>
      </c>
      <c r="C2100" s="7" t="s">
        <v>40</v>
      </c>
      <c r="D2100" s="7" t="s">
        <v>51</v>
      </c>
      <c r="E2100">
        <v>180</v>
      </c>
    </row>
    <row r="2101" spans="1:5" x14ac:dyDescent="0.25">
      <c r="A2101" s="7" t="s">
        <v>30</v>
      </c>
      <c r="B2101">
        <v>2022</v>
      </c>
      <c r="C2101" s="7" t="s">
        <v>40</v>
      </c>
      <c r="D2101" s="7" t="s">
        <v>26</v>
      </c>
      <c r="E2101">
        <v>1176.0999999999999</v>
      </c>
    </row>
    <row r="2102" spans="1:5" x14ac:dyDescent="0.25">
      <c r="A2102" s="7" t="s">
        <v>31</v>
      </c>
      <c r="B2102">
        <v>2022</v>
      </c>
      <c r="C2102" s="7" t="s">
        <v>40</v>
      </c>
      <c r="D2102" s="7" t="s">
        <v>48</v>
      </c>
      <c r="E2102">
        <v>2297.3000000000002</v>
      </c>
    </row>
    <row r="2103" spans="1:5" x14ac:dyDescent="0.25">
      <c r="A2103" s="7" t="s">
        <v>31</v>
      </c>
      <c r="B2103">
        <v>2022</v>
      </c>
      <c r="C2103" s="7" t="s">
        <v>40</v>
      </c>
      <c r="D2103" s="7" t="s">
        <v>49</v>
      </c>
      <c r="E2103">
        <v>196.3</v>
      </c>
    </row>
    <row r="2104" spans="1:5" x14ac:dyDescent="0.25">
      <c r="A2104" s="7" t="s">
        <v>31</v>
      </c>
      <c r="B2104">
        <v>2022</v>
      </c>
      <c r="C2104" s="7" t="s">
        <v>40</v>
      </c>
      <c r="D2104" s="7" t="s">
        <v>50</v>
      </c>
      <c r="E2104">
        <v>538.20000000000005</v>
      </c>
    </row>
    <row r="2105" spans="1:5" x14ac:dyDescent="0.25">
      <c r="A2105" s="7" t="s">
        <v>31</v>
      </c>
      <c r="B2105">
        <v>2022</v>
      </c>
      <c r="C2105" s="7" t="s">
        <v>40</v>
      </c>
      <c r="D2105" s="7" t="s">
        <v>19</v>
      </c>
      <c r="E2105">
        <v>171.2</v>
      </c>
    </row>
    <row r="2106" spans="1:5" x14ac:dyDescent="0.25">
      <c r="A2106" s="7" t="s">
        <v>31</v>
      </c>
      <c r="B2106">
        <v>2022</v>
      </c>
      <c r="C2106" s="7" t="s">
        <v>40</v>
      </c>
      <c r="D2106" s="7" t="s">
        <v>51</v>
      </c>
      <c r="E2106">
        <v>180.5</v>
      </c>
    </row>
    <row r="2107" spans="1:5" x14ac:dyDescent="0.25">
      <c r="A2107" s="7" t="s">
        <v>31</v>
      </c>
      <c r="B2107">
        <v>2022</v>
      </c>
      <c r="C2107" s="7" t="s">
        <v>40</v>
      </c>
      <c r="D2107" s="7" t="s">
        <v>26</v>
      </c>
      <c r="E2107">
        <v>1196.2</v>
      </c>
    </row>
    <row r="2108" spans="1:5" x14ac:dyDescent="0.25">
      <c r="A2108" s="7" t="s">
        <v>28</v>
      </c>
      <c r="B2108">
        <v>2022</v>
      </c>
      <c r="C2108" s="7" t="s">
        <v>42</v>
      </c>
      <c r="D2108" s="7" t="s">
        <v>48</v>
      </c>
      <c r="E2108">
        <v>2287.6999999999998</v>
      </c>
    </row>
    <row r="2109" spans="1:5" x14ac:dyDescent="0.25">
      <c r="A2109" s="7" t="s">
        <v>28</v>
      </c>
      <c r="B2109">
        <v>2022</v>
      </c>
      <c r="C2109" s="7" t="s">
        <v>42</v>
      </c>
      <c r="D2109" s="7" t="s">
        <v>49</v>
      </c>
      <c r="E2109">
        <v>195.5</v>
      </c>
    </row>
    <row r="2110" spans="1:5" x14ac:dyDescent="0.25">
      <c r="A2110" s="7" t="s">
        <v>28</v>
      </c>
      <c r="B2110">
        <v>2022</v>
      </c>
      <c r="C2110" s="7" t="s">
        <v>42</v>
      </c>
      <c r="D2110" s="7" t="s">
        <v>50</v>
      </c>
      <c r="E2110">
        <v>559.29999999999995</v>
      </c>
    </row>
    <row r="2111" spans="1:5" x14ac:dyDescent="0.25">
      <c r="A2111" s="7" t="s">
        <v>28</v>
      </c>
      <c r="B2111">
        <v>2022</v>
      </c>
      <c r="C2111" s="7" t="s">
        <v>42</v>
      </c>
      <c r="D2111" s="7" t="s">
        <v>19</v>
      </c>
      <c r="E2111">
        <v>171.3</v>
      </c>
    </row>
    <row r="2112" spans="1:5" x14ac:dyDescent="0.25">
      <c r="A2112" s="7" t="s">
        <v>28</v>
      </c>
      <c r="B2112">
        <v>2022</v>
      </c>
      <c r="C2112" s="7" t="s">
        <v>42</v>
      </c>
      <c r="D2112" s="7" t="s">
        <v>51</v>
      </c>
      <c r="E2112">
        <v>181.9</v>
      </c>
    </row>
    <row r="2113" spans="1:5" x14ac:dyDescent="0.25">
      <c r="A2113" s="7" t="s">
        <v>28</v>
      </c>
      <c r="B2113">
        <v>2022</v>
      </c>
      <c r="C2113" s="7" t="s">
        <v>42</v>
      </c>
      <c r="D2113" s="7" t="s">
        <v>26</v>
      </c>
      <c r="E2113">
        <v>1220.9999999999998</v>
      </c>
    </row>
    <row r="2114" spans="1:5" x14ac:dyDescent="0.25">
      <c r="A2114" s="7" t="s">
        <v>30</v>
      </c>
      <c r="B2114">
        <v>2022</v>
      </c>
      <c r="C2114" s="7" t="s">
        <v>42</v>
      </c>
      <c r="D2114" s="7" t="s">
        <v>48</v>
      </c>
      <c r="E2114">
        <v>2314.4</v>
      </c>
    </row>
    <row r="2115" spans="1:5" x14ac:dyDescent="0.25">
      <c r="A2115" s="7" t="s">
        <v>30</v>
      </c>
      <c r="B2115">
        <v>2022</v>
      </c>
      <c r="C2115" s="7" t="s">
        <v>42</v>
      </c>
      <c r="D2115" s="7" t="s">
        <v>49</v>
      </c>
      <c r="E2115">
        <v>200.6</v>
      </c>
    </row>
    <row r="2116" spans="1:5" x14ac:dyDescent="0.25">
      <c r="A2116" s="7" t="s">
        <v>30</v>
      </c>
      <c r="B2116">
        <v>2022</v>
      </c>
      <c r="C2116" s="7" t="s">
        <v>42</v>
      </c>
      <c r="D2116" s="7" t="s">
        <v>50</v>
      </c>
      <c r="E2116">
        <v>514.9</v>
      </c>
    </row>
    <row r="2117" spans="1:5" x14ac:dyDescent="0.25">
      <c r="A2117" s="7" t="s">
        <v>30</v>
      </c>
      <c r="B2117">
        <v>2022</v>
      </c>
      <c r="C2117" s="7" t="s">
        <v>42</v>
      </c>
      <c r="D2117" s="7" t="s">
        <v>19</v>
      </c>
      <c r="E2117">
        <v>171.8</v>
      </c>
    </row>
    <row r="2118" spans="1:5" x14ac:dyDescent="0.25">
      <c r="A2118" s="7" t="s">
        <v>30</v>
      </c>
      <c r="B2118">
        <v>2022</v>
      </c>
      <c r="C2118" s="7" t="s">
        <v>42</v>
      </c>
      <c r="D2118" s="7" t="s">
        <v>51</v>
      </c>
      <c r="E2118">
        <v>180.3</v>
      </c>
    </row>
    <row r="2119" spans="1:5" x14ac:dyDescent="0.25">
      <c r="A2119" s="7" t="s">
        <v>30</v>
      </c>
      <c r="B2119">
        <v>2022</v>
      </c>
      <c r="C2119" s="7" t="s">
        <v>42</v>
      </c>
      <c r="D2119" s="7" t="s">
        <v>26</v>
      </c>
      <c r="E2119">
        <v>1181</v>
      </c>
    </row>
    <row r="2120" spans="1:5" x14ac:dyDescent="0.25">
      <c r="A2120" s="7" t="s">
        <v>31</v>
      </c>
      <c r="B2120">
        <v>2022</v>
      </c>
      <c r="C2120" s="7" t="s">
        <v>42</v>
      </c>
      <c r="D2120" s="7" t="s">
        <v>48</v>
      </c>
      <c r="E2120">
        <v>2296.8000000000002</v>
      </c>
    </row>
    <row r="2121" spans="1:5" x14ac:dyDescent="0.25">
      <c r="A2121" s="7" t="s">
        <v>31</v>
      </c>
      <c r="B2121">
        <v>2022</v>
      </c>
      <c r="C2121" s="7" t="s">
        <v>42</v>
      </c>
      <c r="D2121" s="7" t="s">
        <v>49</v>
      </c>
      <c r="E2121">
        <v>196.9</v>
      </c>
    </row>
    <row r="2122" spans="1:5" x14ac:dyDescent="0.25">
      <c r="A2122" s="7" t="s">
        <v>31</v>
      </c>
      <c r="B2122">
        <v>2022</v>
      </c>
      <c r="C2122" s="7" t="s">
        <v>42</v>
      </c>
      <c r="D2122" s="7" t="s">
        <v>50</v>
      </c>
      <c r="E2122">
        <v>541.4</v>
      </c>
    </row>
    <row r="2123" spans="1:5" x14ac:dyDescent="0.25">
      <c r="A2123" s="7" t="s">
        <v>31</v>
      </c>
      <c r="B2123">
        <v>2022</v>
      </c>
      <c r="C2123" s="7" t="s">
        <v>42</v>
      </c>
      <c r="D2123" s="7" t="s">
        <v>19</v>
      </c>
      <c r="E2123">
        <v>171.8</v>
      </c>
    </row>
    <row r="2124" spans="1:5" x14ac:dyDescent="0.25">
      <c r="A2124" s="7" t="s">
        <v>31</v>
      </c>
      <c r="B2124">
        <v>2022</v>
      </c>
      <c r="C2124" s="7" t="s">
        <v>42</v>
      </c>
      <c r="D2124" s="7" t="s">
        <v>51</v>
      </c>
      <c r="E2124">
        <v>181.3</v>
      </c>
    </row>
    <row r="2125" spans="1:5" x14ac:dyDescent="0.25">
      <c r="A2125" s="7" t="s">
        <v>31</v>
      </c>
      <c r="B2125">
        <v>2022</v>
      </c>
      <c r="C2125" s="7" t="s">
        <v>42</v>
      </c>
      <c r="D2125" s="7" t="s">
        <v>26</v>
      </c>
      <c r="E2125">
        <v>1201.0999999999999</v>
      </c>
    </row>
    <row r="2126" spans="1:5" x14ac:dyDescent="0.25">
      <c r="A2126" s="7" t="s">
        <v>28</v>
      </c>
      <c r="B2126">
        <v>2022</v>
      </c>
      <c r="C2126" s="7" t="s">
        <v>43</v>
      </c>
      <c r="D2126" s="7" t="s">
        <v>48</v>
      </c>
      <c r="E2126">
        <v>2277.1</v>
      </c>
    </row>
    <row r="2127" spans="1:5" x14ac:dyDescent="0.25">
      <c r="A2127" s="7" t="s">
        <v>28</v>
      </c>
      <c r="B2127">
        <v>2022</v>
      </c>
      <c r="C2127" s="7" t="s">
        <v>43</v>
      </c>
      <c r="D2127" s="7" t="s">
        <v>49</v>
      </c>
      <c r="E2127">
        <v>195.9</v>
      </c>
    </row>
    <row r="2128" spans="1:5" x14ac:dyDescent="0.25">
      <c r="A2128" s="7" t="s">
        <v>28</v>
      </c>
      <c r="B2128">
        <v>2022</v>
      </c>
      <c r="C2128" s="7" t="s">
        <v>43</v>
      </c>
      <c r="D2128" s="7" t="s">
        <v>50</v>
      </c>
      <c r="E2128">
        <v>561.79999999999995</v>
      </c>
    </row>
    <row r="2129" spans="1:5" x14ac:dyDescent="0.25">
      <c r="A2129" s="7" t="s">
        <v>28</v>
      </c>
      <c r="B2129">
        <v>2022</v>
      </c>
      <c r="C2129" s="7" t="s">
        <v>43</v>
      </c>
      <c r="D2129" s="7" t="s">
        <v>19</v>
      </c>
      <c r="E2129">
        <v>171.4</v>
      </c>
    </row>
    <row r="2130" spans="1:5" x14ac:dyDescent="0.25">
      <c r="A2130" s="7" t="s">
        <v>28</v>
      </c>
      <c r="B2130">
        <v>2022</v>
      </c>
      <c r="C2130" s="7" t="s">
        <v>43</v>
      </c>
      <c r="D2130" s="7" t="s">
        <v>51</v>
      </c>
      <c r="E2130">
        <v>182.8</v>
      </c>
    </row>
    <row r="2131" spans="1:5" x14ac:dyDescent="0.25">
      <c r="A2131" s="7" t="s">
        <v>28</v>
      </c>
      <c r="B2131">
        <v>2022</v>
      </c>
      <c r="C2131" s="7" t="s">
        <v>43</v>
      </c>
      <c r="D2131" s="7" t="s">
        <v>26</v>
      </c>
      <c r="E2131">
        <v>1227.4000000000001</v>
      </c>
    </row>
    <row r="2132" spans="1:5" x14ac:dyDescent="0.25">
      <c r="A2132" s="7" t="s">
        <v>30</v>
      </c>
      <c r="B2132">
        <v>2022</v>
      </c>
      <c r="C2132" s="7" t="s">
        <v>43</v>
      </c>
      <c r="D2132" s="7" t="s">
        <v>48</v>
      </c>
      <c r="E2132">
        <v>2295.7999999999997</v>
      </c>
    </row>
    <row r="2133" spans="1:5" x14ac:dyDescent="0.25">
      <c r="A2133" s="7" t="s">
        <v>30</v>
      </c>
      <c r="B2133">
        <v>2022</v>
      </c>
      <c r="C2133" s="7" t="s">
        <v>43</v>
      </c>
      <c r="D2133" s="7" t="s">
        <v>49</v>
      </c>
      <c r="E2133">
        <v>201.1</v>
      </c>
    </row>
    <row r="2134" spans="1:5" x14ac:dyDescent="0.25">
      <c r="A2134" s="7" t="s">
        <v>30</v>
      </c>
      <c r="B2134">
        <v>2022</v>
      </c>
      <c r="C2134" s="7" t="s">
        <v>43</v>
      </c>
      <c r="D2134" s="7" t="s">
        <v>50</v>
      </c>
      <c r="E2134">
        <v>517.9</v>
      </c>
    </row>
    <row r="2135" spans="1:5" x14ac:dyDescent="0.25">
      <c r="A2135" s="7" t="s">
        <v>30</v>
      </c>
      <c r="B2135">
        <v>2022</v>
      </c>
      <c r="C2135" s="7" t="s">
        <v>43</v>
      </c>
      <c r="D2135" s="7" t="s">
        <v>19</v>
      </c>
      <c r="E2135">
        <v>170.7</v>
      </c>
    </row>
    <row r="2136" spans="1:5" x14ac:dyDescent="0.25">
      <c r="A2136" s="7" t="s">
        <v>30</v>
      </c>
      <c r="B2136">
        <v>2022</v>
      </c>
      <c r="C2136" s="7" t="s">
        <v>43</v>
      </c>
      <c r="D2136" s="7" t="s">
        <v>51</v>
      </c>
      <c r="E2136">
        <v>180.6</v>
      </c>
    </row>
    <row r="2137" spans="1:5" x14ac:dyDescent="0.25">
      <c r="A2137" s="7" t="s">
        <v>30</v>
      </c>
      <c r="B2137">
        <v>2022</v>
      </c>
      <c r="C2137" s="7" t="s">
        <v>43</v>
      </c>
      <c r="D2137" s="7" t="s">
        <v>26</v>
      </c>
      <c r="E2137">
        <v>1187</v>
      </c>
    </row>
    <row r="2138" spans="1:5" x14ac:dyDescent="0.25">
      <c r="A2138" s="7" t="s">
        <v>31</v>
      </c>
      <c r="B2138">
        <v>2022</v>
      </c>
      <c r="C2138" s="7" t="s">
        <v>43</v>
      </c>
      <c r="D2138" s="7" t="s">
        <v>48</v>
      </c>
      <c r="E2138">
        <v>2283.4</v>
      </c>
    </row>
    <row r="2139" spans="1:5" x14ac:dyDescent="0.25">
      <c r="A2139" s="7" t="s">
        <v>31</v>
      </c>
      <c r="B2139">
        <v>2022</v>
      </c>
      <c r="C2139" s="7" t="s">
        <v>43</v>
      </c>
      <c r="D2139" s="7" t="s">
        <v>49</v>
      </c>
      <c r="E2139">
        <v>197.3</v>
      </c>
    </row>
    <row r="2140" spans="1:5" x14ac:dyDescent="0.25">
      <c r="A2140" s="7" t="s">
        <v>31</v>
      </c>
      <c r="B2140">
        <v>2022</v>
      </c>
      <c r="C2140" s="7" t="s">
        <v>43</v>
      </c>
      <c r="D2140" s="7" t="s">
        <v>50</v>
      </c>
      <c r="E2140">
        <v>544</v>
      </c>
    </row>
    <row r="2141" spans="1:5" x14ac:dyDescent="0.25">
      <c r="A2141" s="7" t="s">
        <v>31</v>
      </c>
      <c r="B2141">
        <v>2022</v>
      </c>
      <c r="C2141" s="7" t="s">
        <v>43</v>
      </c>
      <c r="D2141" s="7" t="s">
        <v>19</v>
      </c>
      <c r="E2141">
        <v>170.7</v>
      </c>
    </row>
    <row r="2142" spans="1:5" x14ac:dyDescent="0.25">
      <c r="A2142" s="7" t="s">
        <v>31</v>
      </c>
      <c r="B2142">
        <v>2022</v>
      </c>
      <c r="C2142" s="7" t="s">
        <v>43</v>
      </c>
      <c r="D2142" s="7" t="s">
        <v>51</v>
      </c>
      <c r="E2142">
        <v>182</v>
      </c>
    </row>
    <row r="2143" spans="1:5" x14ac:dyDescent="0.25">
      <c r="A2143" s="7" t="s">
        <v>31</v>
      </c>
      <c r="B2143">
        <v>2022</v>
      </c>
      <c r="C2143" s="7" t="s">
        <v>43</v>
      </c>
      <c r="D2143" s="7" t="s">
        <v>26</v>
      </c>
      <c r="E2143">
        <v>1207.4000000000001</v>
      </c>
    </row>
    <row r="2144" spans="1:5" x14ac:dyDescent="0.25">
      <c r="A2144" s="7" t="s">
        <v>28</v>
      </c>
      <c r="B2144">
        <v>2023</v>
      </c>
      <c r="C2144" s="7" t="s">
        <v>29</v>
      </c>
      <c r="D2144" s="7" t="s">
        <v>48</v>
      </c>
      <c r="E2144">
        <v>2283.2000000000003</v>
      </c>
    </row>
    <row r="2145" spans="1:5" x14ac:dyDescent="0.25">
      <c r="A2145" s="7" t="s">
        <v>28</v>
      </c>
      <c r="B2145">
        <v>2023</v>
      </c>
      <c r="C2145" s="7" t="s">
        <v>29</v>
      </c>
      <c r="D2145" s="7" t="s">
        <v>49</v>
      </c>
      <c r="E2145">
        <v>196.9</v>
      </c>
    </row>
    <row r="2146" spans="1:5" x14ac:dyDescent="0.25">
      <c r="A2146" s="7" t="s">
        <v>28</v>
      </c>
      <c r="B2146">
        <v>2023</v>
      </c>
      <c r="C2146" s="7" t="s">
        <v>29</v>
      </c>
      <c r="D2146" s="7" t="s">
        <v>50</v>
      </c>
      <c r="E2146">
        <v>563.9</v>
      </c>
    </row>
    <row r="2147" spans="1:5" x14ac:dyDescent="0.25">
      <c r="A2147" s="7" t="s">
        <v>28</v>
      </c>
      <c r="B2147">
        <v>2023</v>
      </c>
      <c r="C2147" s="7" t="s">
        <v>29</v>
      </c>
      <c r="D2147" s="7" t="s">
        <v>19</v>
      </c>
      <c r="E2147">
        <v>172.8</v>
      </c>
    </row>
    <row r="2148" spans="1:5" x14ac:dyDescent="0.25">
      <c r="A2148" s="7" t="s">
        <v>28</v>
      </c>
      <c r="B2148">
        <v>2023</v>
      </c>
      <c r="C2148" s="7" t="s">
        <v>29</v>
      </c>
      <c r="D2148" s="7" t="s">
        <v>51</v>
      </c>
      <c r="E2148">
        <v>183.2</v>
      </c>
    </row>
    <row r="2149" spans="1:5" x14ac:dyDescent="0.25">
      <c r="A2149" s="7" t="s">
        <v>28</v>
      </c>
      <c r="B2149">
        <v>2023</v>
      </c>
      <c r="C2149" s="7" t="s">
        <v>29</v>
      </c>
      <c r="D2149" s="7" t="s">
        <v>26</v>
      </c>
      <c r="E2149">
        <v>1234.5999999999999</v>
      </c>
    </row>
    <row r="2150" spans="1:5" x14ac:dyDescent="0.25">
      <c r="A2150" s="7" t="s">
        <v>30</v>
      </c>
      <c r="B2150">
        <v>2023</v>
      </c>
      <c r="C2150" s="7" t="s">
        <v>29</v>
      </c>
      <c r="D2150" s="7" t="s">
        <v>48</v>
      </c>
      <c r="E2150">
        <v>2310.2000000000003</v>
      </c>
    </row>
    <row r="2151" spans="1:5" x14ac:dyDescent="0.25">
      <c r="A2151" s="7" t="s">
        <v>30</v>
      </c>
      <c r="B2151">
        <v>2023</v>
      </c>
      <c r="C2151" s="7" t="s">
        <v>29</v>
      </c>
      <c r="D2151" s="7" t="s">
        <v>49</v>
      </c>
      <c r="E2151">
        <v>201.6</v>
      </c>
    </row>
    <row r="2152" spans="1:5" x14ac:dyDescent="0.25">
      <c r="A2152" s="7" t="s">
        <v>30</v>
      </c>
      <c r="B2152">
        <v>2023</v>
      </c>
      <c r="C2152" s="7" t="s">
        <v>29</v>
      </c>
      <c r="D2152" s="7" t="s">
        <v>50</v>
      </c>
      <c r="E2152">
        <v>520.6</v>
      </c>
    </row>
    <row r="2153" spans="1:5" x14ac:dyDescent="0.25">
      <c r="A2153" s="7" t="s">
        <v>30</v>
      </c>
      <c r="B2153">
        <v>2023</v>
      </c>
      <c r="C2153" s="7" t="s">
        <v>29</v>
      </c>
      <c r="D2153" s="7" t="s">
        <v>19</v>
      </c>
      <c r="E2153">
        <v>172.1</v>
      </c>
    </row>
    <row r="2154" spans="1:5" x14ac:dyDescent="0.25">
      <c r="A2154" s="7" t="s">
        <v>30</v>
      </c>
      <c r="B2154">
        <v>2023</v>
      </c>
      <c r="C2154" s="7" t="s">
        <v>29</v>
      </c>
      <c r="D2154" s="7" t="s">
        <v>51</v>
      </c>
      <c r="E2154">
        <v>180.1</v>
      </c>
    </row>
    <row r="2155" spans="1:5" x14ac:dyDescent="0.25">
      <c r="A2155" s="7" t="s">
        <v>30</v>
      </c>
      <c r="B2155">
        <v>2023</v>
      </c>
      <c r="C2155" s="7" t="s">
        <v>29</v>
      </c>
      <c r="D2155" s="7" t="s">
        <v>26</v>
      </c>
      <c r="E2155">
        <v>1193.3</v>
      </c>
    </row>
    <row r="2156" spans="1:5" x14ac:dyDescent="0.25">
      <c r="A2156" s="7" t="s">
        <v>31</v>
      </c>
      <c r="B2156">
        <v>2023</v>
      </c>
      <c r="C2156" s="7" t="s">
        <v>29</v>
      </c>
      <c r="D2156" s="7" t="s">
        <v>48</v>
      </c>
      <c r="E2156">
        <v>2292.6999999999998</v>
      </c>
    </row>
    <row r="2157" spans="1:5" x14ac:dyDescent="0.25">
      <c r="A2157" s="7" t="s">
        <v>31</v>
      </c>
      <c r="B2157">
        <v>2023</v>
      </c>
      <c r="C2157" s="7" t="s">
        <v>29</v>
      </c>
      <c r="D2157" s="7" t="s">
        <v>49</v>
      </c>
      <c r="E2157">
        <v>198.2</v>
      </c>
    </row>
    <row r="2158" spans="1:5" x14ac:dyDescent="0.25">
      <c r="A2158" s="7" t="s">
        <v>31</v>
      </c>
      <c r="B2158">
        <v>2023</v>
      </c>
      <c r="C2158" s="7" t="s">
        <v>29</v>
      </c>
      <c r="D2158" s="7" t="s">
        <v>50</v>
      </c>
      <c r="E2158">
        <v>546.29999999999995</v>
      </c>
    </row>
    <row r="2159" spans="1:5" x14ac:dyDescent="0.25">
      <c r="A2159" s="7" t="s">
        <v>31</v>
      </c>
      <c r="B2159">
        <v>2023</v>
      </c>
      <c r="C2159" s="7" t="s">
        <v>29</v>
      </c>
      <c r="D2159" s="7" t="s">
        <v>19</v>
      </c>
      <c r="E2159">
        <v>172.1</v>
      </c>
    </row>
    <row r="2160" spans="1:5" x14ac:dyDescent="0.25">
      <c r="A2160" s="7" t="s">
        <v>31</v>
      </c>
      <c r="B2160">
        <v>2023</v>
      </c>
      <c r="C2160" s="7" t="s">
        <v>29</v>
      </c>
      <c r="D2160" s="7" t="s">
        <v>51</v>
      </c>
      <c r="E2160">
        <v>182</v>
      </c>
    </row>
    <row r="2161" spans="1:5" x14ac:dyDescent="0.25">
      <c r="A2161" s="7" t="s">
        <v>31</v>
      </c>
      <c r="B2161">
        <v>2023</v>
      </c>
      <c r="C2161" s="7" t="s">
        <v>29</v>
      </c>
      <c r="D2161" s="7" t="s">
        <v>26</v>
      </c>
      <c r="E2161">
        <v>1214</v>
      </c>
    </row>
    <row r="2162" spans="1:5" x14ac:dyDescent="0.25">
      <c r="A2162" s="7" t="s">
        <v>28</v>
      </c>
      <c r="B2162">
        <v>2023</v>
      </c>
      <c r="C2162" s="7" t="s">
        <v>32</v>
      </c>
      <c r="D2162" s="7" t="s">
        <v>48</v>
      </c>
      <c r="E2162">
        <v>2265.6999999999998</v>
      </c>
    </row>
    <row r="2163" spans="1:5" x14ac:dyDescent="0.25">
      <c r="A2163" s="7" t="s">
        <v>28</v>
      </c>
      <c r="B2163">
        <v>2023</v>
      </c>
      <c r="C2163" s="7" t="s">
        <v>32</v>
      </c>
      <c r="D2163" s="7" t="s">
        <v>49</v>
      </c>
      <c r="E2163">
        <v>198.3</v>
      </c>
    </row>
    <row r="2164" spans="1:5" x14ac:dyDescent="0.25">
      <c r="A2164" s="7" t="s">
        <v>28</v>
      </c>
      <c r="B2164">
        <v>2023</v>
      </c>
      <c r="C2164" s="7" t="s">
        <v>32</v>
      </c>
      <c r="D2164" s="7" t="s">
        <v>50</v>
      </c>
      <c r="E2164">
        <v>566.6</v>
      </c>
    </row>
    <row r="2165" spans="1:5" x14ac:dyDescent="0.25">
      <c r="A2165" s="7" t="s">
        <v>28</v>
      </c>
      <c r="B2165">
        <v>2023</v>
      </c>
      <c r="C2165" s="7" t="s">
        <v>32</v>
      </c>
      <c r="D2165" s="7" t="s">
        <v>19</v>
      </c>
      <c r="E2165">
        <v>173.5</v>
      </c>
    </row>
    <row r="2166" spans="1:5" x14ac:dyDescent="0.25">
      <c r="A2166" s="7" t="s">
        <v>28</v>
      </c>
      <c r="B2166">
        <v>2023</v>
      </c>
      <c r="C2166" s="7" t="s">
        <v>32</v>
      </c>
      <c r="D2166" s="7" t="s">
        <v>51</v>
      </c>
      <c r="E2166">
        <v>181.6</v>
      </c>
    </row>
    <row r="2167" spans="1:5" x14ac:dyDescent="0.25">
      <c r="A2167" s="7" t="s">
        <v>28</v>
      </c>
      <c r="B2167">
        <v>2023</v>
      </c>
      <c r="C2167" s="7" t="s">
        <v>32</v>
      </c>
      <c r="D2167" s="7" t="s">
        <v>26</v>
      </c>
      <c r="E2167">
        <v>1244.1000000000001</v>
      </c>
    </row>
    <row r="2168" spans="1:5" x14ac:dyDescent="0.25">
      <c r="A2168" s="7" t="s">
        <v>30</v>
      </c>
      <c r="B2168">
        <v>2023</v>
      </c>
      <c r="C2168" s="7" t="s">
        <v>32</v>
      </c>
      <c r="D2168" s="7" t="s">
        <v>48</v>
      </c>
      <c r="E2168">
        <v>2303.1999999999998</v>
      </c>
    </row>
    <row r="2169" spans="1:5" x14ac:dyDescent="0.25">
      <c r="A2169" s="7" t="s">
        <v>30</v>
      </c>
      <c r="B2169">
        <v>2023</v>
      </c>
      <c r="C2169" s="7" t="s">
        <v>32</v>
      </c>
      <c r="D2169" s="7" t="s">
        <v>49</v>
      </c>
      <c r="E2169">
        <v>202.7</v>
      </c>
    </row>
    <row r="2170" spans="1:5" x14ac:dyDescent="0.25">
      <c r="A2170" s="7" t="s">
        <v>30</v>
      </c>
      <c r="B2170">
        <v>2023</v>
      </c>
      <c r="C2170" s="7" t="s">
        <v>32</v>
      </c>
      <c r="D2170" s="7" t="s">
        <v>50</v>
      </c>
      <c r="E2170">
        <v>525.5</v>
      </c>
    </row>
    <row r="2171" spans="1:5" x14ac:dyDescent="0.25">
      <c r="A2171" s="7" t="s">
        <v>30</v>
      </c>
      <c r="B2171">
        <v>2023</v>
      </c>
      <c r="C2171" s="7" t="s">
        <v>32</v>
      </c>
      <c r="D2171" s="7" t="s">
        <v>19</v>
      </c>
      <c r="E2171">
        <v>173.5</v>
      </c>
    </row>
    <row r="2172" spans="1:5" x14ac:dyDescent="0.25">
      <c r="A2172" s="7" t="s">
        <v>30</v>
      </c>
      <c r="B2172">
        <v>2023</v>
      </c>
      <c r="C2172" s="7" t="s">
        <v>32</v>
      </c>
      <c r="D2172" s="7" t="s">
        <v>51</v>
      </c>
      <c r="E2172">
        <v>182.8</v>
      </c>
    </row>
    <row r="2173" spans="1:5" x14ac:dyDescent="0.25">
      <c r="A2173" s="7" t="s">
        <v>30</v>
      </c>
      <c r="B2173">
        <v>2023</v>
      </c>
      <c r="C2173" s="7" t="s">
        <v>32</v>
      </c>
      <c r="D2173" s="7" t="s">
        <v>26</v>
      </c>
      <c r="E2173">
        <v>1202.1000000000001</v>
      </c>
    </row>
    <row r="2174" spans="1:5" x14ac:dyDescent="0.25">
      <c r="A2174" s="7" t="s">
        <v>31</v>
      </c>
      <c r="B2174">
        <v>2023</v>
      </c>
      <c r="C2174" s="7" t="s">
        <v>32</v>
      </c>
      <c r="D2174" s="7" t="s">
        <v>48</v>
      </c>
      <c r="E2174">
        <v>2279.1</v>
      </c>
    </row>
    <row r="2175" spans="1:5" x14ac:dyDescent="0.25">
      <c r="A2175" s="7" t="s">
        <v>31</v>
      </c>
      <c r="B2175">
        <v>2023</v>
      </c>
      <c r="C2175" s="7" t="s">
        <v>32</v>
      </c>
      <c r="D2175" s="7" t="s">
        <v>49</v>
      </c>
      <c r="E2175">
        <v>199.5</v>
      </c>
    </row>
    <row r="2176" spans="1:5" x14ac:dyDescent="0.25">
      <c r="A2176" s="7" t="s">
        <v>31</v>
      </c>
      <c r="B2176">
        <v>2023</v>
      </c>
      <c r="C2176" s="7" t="s">
        <v>32</v>
      </c>
      <c r="D2176" s="7" t="s">
        <v>50</v>
      </c>
      <c r="E2176">
        <v>550</v>
      </c>
    </row>
    <row r="2177" spans="1:5" x14ac:dyDescent="0.25">
      <c r="A2177" s="7" t="s">
        <v>31</v>
      </c>
      <c r="B2177">
        <v>2023</v>
      </c>
      <c r="C2177" s="7" t="s">
        <v>32</v>
      </c>
      <c r="D2177" s="7" t="s">
        <v>19</v>
      </c>
      <c r="E2177">
        <v>173.5</v>
      </c>
    </row>
    <row r="2178" spans="1:5" x14ac:dyDescent="0.25">
      <c r="A2178" s="7" t="s">
        <v>31</v>
      </c>
      <c r="B2178">
        <v>2023</v>
      </c>
      <c r="C2178" s="7" t="s">
        <v>32</v>
      </c>
      <c r="D2178" s="7" t="s">
        <v>51</v>
      </c>
      <c r="E2178">
        <v>182.1</v>
      </c>
    </row>
    <row r="2179" spans="1:5" x14ac:dyDescent="0.25">
      <c r="A2179" s="7" t="s">
        <v>31</v>
      </c>
      <c r="B2179">
        <v>2023</v>
      </c>
      <c r="C2179" s="7" t="s">
        <v>32</v>
      </c>
      <c r="D2179" s="7" t="s">
        <v>26</v>
      </c>
      <c r="E2179">
        <v>1223.1999999999998</v>
      </c>
    </row>
    <row r="2180" spans="1:5" x14ac:dyDescent="0.25">
      <c r="A2180" s="7" t="s">
        <v>28</v>
      </c>
      <c r="B2180">
        <v>2023</v>
      </c>
      <c r="C2180" s="7" t="s">
        <v>33</v>
      </c>
      <c r="D2180" s="7" t="s">
        <v>48</v>
      </c>
      <c r="E2180">
        <v>2265.8000000000002</v>
      </c>
    </row>
    <row r="2181" spans="1:5" x14ac:dyDescent="0.25">
      <c r="A2181" s="7" t="s">
        <v>28</v>
      </c>
      <c r="B2181">
        <v>2023</v>
      </c>
      <c r="C2181" s="7" t="s">
        <v>33</v>
      </c>
      <c r="D2181" s="7" t="s">
        <v>49</v>
      </c>
      <c r="E2181">
        <v>198.4</v>
      </c>
    </row>
    <row r="2182" spans="1:5" x14ac:dyDescent="0.25">
      <c r="A2182" s="7" t="s">
        <v>28</v>
      </c>
      <c r="B2182">
        <v>2023</v>
      </c>
      <c r="C2182" s="7" t="s">
        <v>33</v>
      </c>
      <c r="D2182" s="7" t="s">
        <v>50</v>
      </c>
      <c r="E2182">
        <v>566.6</v>
      </c>
    </row>
    <row r="2183" spans="1:5" x14ac:dyDescent="0.25">
      <c r="A2183" s="7" t="s">
        <v>28</v>
      </c>
      <c r="B2183">
        <v>2023</v>
      </c>
      <c r="C2183" s="7" t="s">
        <v>33</v>
      </c>
      <c r="D2183" s="7" t="s">
        <v>19</v>
      </c>
      <c r="E2183">
        <v>174.4</v>
      </c>
    </row>
    <row r="2184" spans="1:5" x14ac:dyDescent="0.25">
      <c r="A2184" s="7" t="s">
        <v>28</v>
      </c>
      <c r="B2184">
        <v>2023</v>
      </c>
      <c r="C2184" s="7" t="s">
        <v>33</v>
      </c>
      <c r="D2184" s="7" t="s">
        <v>51</v>
      </c>
      <c r="E2184">
        <v>181.4</v>
      </c>
    </row>
    <row r="2185" spans="1:5" x14ac:dyDescent="0.25">
      <c r="A2185" s="7" t="s">
        <v>28</v>
      </c>
      <c r="B2185">
        <v>2023</v>
      </c>
      <c r="C2185" s="7" t="s">
        <v>33</v>
      </c>
      <c r="D2185" s="7" t="s">
        <v>26</v>
      </c>
      <c r="E2185">
        <v>1244.1000000000001</v>
      </c>
    </row>
    <row r="2186" spans="1:5" x14ac:dyDescent="0.25">
      <c r="A2186" s="7" t="s">
        <v>30</v>
      </c>
      <c r="B2186">
        <v>2023</v>
      </c>
      <c r="C2186" s="7" t="s">
        <v>33</v>
      </c>
      <c r="D2186" s="7" t="s">
        <v>48</v>
      </c>
      <c r="E2186">
        <v>2303.4</v>
      </c>
    </row>
    <row r="2187" spans="1:5" x14ac:dyDescent="0.25">
      <c r="A2187" s="7" t="s">
        <v>30</v>
      </c>
      <c r="B2187">
        <v>2023</v>
      </c>
      <c r="C2187" s="7" t="s">
        <v>33</v>
      </c>
      <c r="D2187" s="7" t="s">
        <v>49</v>
      </c>
      <c r="E2187">
        <v>202.7</v>
      </c>
    </row>
    <row r="2188" spans="1:5" x14ac:dyDescent="0.25">
      <c r="A2188" s="7" t="s">
        <v>30</v>
      </c>
      <c r="B2188">
        <v>2023</v>
      </c>
      <c r="C2188" s="7" t="s">
        <v>33</v>
      </c>
      <c r="D2188" s="7" t="s">
        <v>50</v>
      </c>
      <c r="E2188">
        <v>525.4</v>
      </c>
    </row>
    <row r="2189" spans="1:5" x14ac:dyDescent="0.25">
      <c r="A2189" s="7" t="s">
        <v>30</v>
      </c>
      <c r="B2189">
        <v>2023</v>
      </c>
      <c r="C2189" s="7" t="s">
        <v>33</v>
      </c>
      <c r="D2189" s="7" t="s">
        <v>19</v>
      </c>
      <c r="E2189">
        <v>173.5</v>
      </c>
    </row>
    <row r="2190" spans="1:5" x14ac:dyDescent="0.25">
      <c r="A2190" s="7" t="s">
        <v>30</v>
      </c>
      <c r="B2190">
        <v>2023</v>
      </c>
      <c r="C2190" s="7" t="s">
        <v>33</v>
      </c>
      <c r="D2190" s="7" t="s">
        <v>51</v>
      </c>
      <c r="E2190">
        <v>182.6</v>
      </c>
    </row>
    <row r="2191" spans="1:5" x14ac:dyDescent="0.25">
      <c r="A2191" s="7" t="s">
        <v>30</v>
      </c>
      <c r="B2191">
        <v>2023</v>
      </c>
      <c r="C2191" s="7" t="s">
        <v>33</v>
      </c>
      <c r="D2191" s="7" t="s">
        <v>26</v>
      </c>
      <c r="E2191">
        <v>1202.2</v>
      </c>
    </row>
    <row r="2192" spans="1:5" x14ac:dyDescent="0.25">
      <c r="A2192" s="7" t="s">
        <v>31</v>
      </c>
      <c r="B2192">
        <v>2023</v>
      </c>
      <c r="C2192" s="7" t="s">
        <v>33</v>
      </c>
      <c r="D2192" s="7" t="s">
        <v>48</v>
      </c>
      <c r="E2192">
        <v>2279.1999999999998</v>
      </c>
    </row>
    <row r="2193" spans="1:5" x14ac:dyDescent="0.25">
      <c r="A2193" s="7" t="s">
        <v>31</v>
      </c>
      <c r="B2193">
        <v>2023</v>
      </c>
      <c r="C2193" s="7" t="s">
        <v>33</v>
      </c>
      <c r="D2193" s="7" t="s">
        <v>49</v>
      </c>
      <c r="E2193">
        <v>199.5</v>
      </c>
    </row>
    <row r="2194" spans="1:5" x14ac:dyDescent="0.25">
      <c r="A2194" s="7" t="s">
        <v>31</v>
      </c>
      <c r="B2194">
        <v>2023</v>
      </c>
      <c r="C2194" s="7" t="s">
        <v>33</v>
      </c>
      <c r="D2194" s="7" t="s">
        <v>50</v>
      </c>
      <c r="E2194">
        <v>549.9</v>
      </c>
    </row>
    <row r="2195" spans="1:5" x14ac:dyDescent="0.25">
      <c r="A2195" s="7" t="s">
        <v>31</v>
      </c>
      <c r="B2195">
        <v>2023</v>
      </c>
      <c r="C2195" s="7" t="s">
        <v>33</v>
      </c>
      <c r="D2195" s="7" t="s">
        <v>19</v>
      </c>
      <c r="E2195">
        <v>173.5</v>
      </c>
    </row>
    <row r="2196" spans="1:5" x14ac:dyDescent="0.25">
      <c r="A2196" s="7" t="s">
        <v>31</v>
      </c>
      <c r="B2196">
        <v>2023</v>
      </c>
      <c r="C2196" s="7" t="s">
        <v>33</v>
      </c>
      <c r="D2196" s="7" t="s">
        <v>51</v>
      </c>
      <c r="E2196">
        <v>181.9</v>
      </c>
    </row>
    <row r="2197" spans="1:5" x14ac:dyDescent="0.25">
      <c r="A2197" s="7" t="s">
        <v>31</v>
      </c>
      <c r="B2197">
        <v>2023</v>
      </c>
      <c r="C2197" s="7" t="s">
        <v>33</v>
      </c>
      <c r="D2197" s="7" t="s">
        <v>26</v>
      </c>
      <c r="E2197">
        <v>1223.1999999999998</v>
      </c>
    </row>
    <row r="2198" spans="1:5" x14ac:dyDescent="0.25">
      <c r="A2198" s="7" t="s">
        <v>28</v>
      </c>
      <c r="B2198">
        <v>2023</v>
      </c>
      <c r="C2198" s="7" t="s">
        <v>34</v>
      </c>
      <c r="D2198" s="7" t="s">
        <v>48</v>
      </c>
      <c r="E2198">
        <v>2274.1999999999998</v>
      </c>
    </row>
    <row r="2199" spans="1:5" x14ac:dyDescent="0.25">
      <c r="A2199" s="7" t="s">
        <v>28</v>
      </c>
      <c r="B2199">
        <v>2023</v>
      </c>
      <c r="C2199" s="7" t="s">
        <v>34</v>
      </c>
      <c r="D2199" s="7" t="s">
        <v>49</v>
      </c>
      <c r="E2199">
        <v>199.5</v>
      </c>
    </row>
    <row r="2200" spans="1:5" x14ac:dyDescent="0.25">
      <c r="A2200" s="7" t="s">
        <v>28</v>
      </c>
      <c r="B2200">
        <v>2023</v>
      </c>
      <c r="C2200" s="7" t="s">
        <v>34</v>
      </c>
      <c r="D2200" s="7" t="s">
        <v>50</v>
      </c>
      <c r="E2200">
        <v>568.20000000000005</v>
      </c>
    </row>
    <row r="2201" spans="1:5" x14ac:dyDescent="0.25">
      <c r="A2201" s="7" t="s">
        <v>28</v>
      </c>
      <c r="B2201">
        <v>2023</v>
      </c>
      <c r="C2201" s="7" t="s">
        <v>34</v>
      </c>
      <c r="D2201" s="7" t="s">
        <v>19</v>
      </c>
      <c r="E2201">
        <v>174.4</v>
      </c>
    </row>
    <row r="2202" spans="1:5" x14ac:dyDescent="0.25">
      <c r="A2202" s="7" t="s">
        <v>28</v>
      </c>
      <c r="B2202">
        <v>2023</v>
      </c>
      <c r="C2202" s="7" t="s">
        <v>34</v>
      </c>
      <c r="D2202" s="7" t="s">
        <v>51</v>
      </c>
      <c r="E2202">
        <v>181.5</v>
      </c>
    </row>
    <row r="2203" spans="1:5" x14ac:dyDescent="0.25">
      <c r="A2203" s="7" t="s">
        <v>28</v>
      </c>
      <c r="B2203">
        <v>2023</v>
      </c>
      <c r="C2203" s="7" t="s">
        <v>34</v>
      </c>
      <c r="D2203" s="7" t="s">
        <v>26</v>
      </c>
      <c r="E2203">
        <v>1251</v>
      </c>
    </row>
    <row r="2204" spans="1:5" x14ac:dyDescent="0.25">
      <c r="A2204" s="7" t="s">
        <v>30</v>
      </c>
      <c r="B2204">
        <v>2023</v>
      </c>
      <c r="C2204" s="7" t="s">
        <v>34</v>
      </c>
      <c r="D2204" s="7" t="s">
        <v>48</v>
      </c>
      <c r="E2204">
        <v>2317.7000000000003</v>
      </c>
    </row>
    <row r="2205" spans="1:5" x14ac:dyDescent="0.25">
      <c r="A2205" s="7" t="s">
        <v>30</v>
      </c>
      <c r="B2205">
        <v>2023</v>
      </c>
      <c r="C2205" s="7" t="s">
        <v>34</v>
      </c>
      <c r="D2205" s="7" t="s">
        <v>49</v>
      </c>
      <c r="E2205">
        <v>203.5</v>
      </c>
    </row>
    <row r="2206" spans="1:5" x14ac:dyDescent="0.25">
      <c r="A2206" s="7" t="s">
        <v>30</v>
      </c>
      <c r="B2206">
        <v>2023</v>
      </c>
      <c r="C2206" s="7" t="s">
        <v>34</v>
      </c>
      <c r="D2206" s="7" t="s">
        <v>50</v>
      </c>
      <c r="E2206">
        <v>527.6</v>
      </c>
    </row>
    <row r="2207" spans="1:5" x14ac:dyDescent="0.25">
      <c r="A2207" s="7" t="s">
        <v>30</v>
      </c>
      <c r="B2207">
        <v>2023</v>
      </c>
      <c r="C2207" s="7" t="s">
        <v>34</v>
      </c>
      <c r="D2207" s="7" t="s">
        <v>19</v>
      </c>
      <c r="E2207">
        <v>175.2</v>
      </c>
    </row>
    <row r="2208" spans="1:5" x14ac:dyDescent="0.25">
      <c r="A2208" s="7" t="s">
        <v>30</v>
      </c>
      <c r="B2208">
        <v>2023</v>
      </c>
      <c r="C2208" s="7" t="s">
        <v>34</v>
      </c>
      <c r="D2208" s="7" t="s">
        <v>51</v>
      </c>
      <c r="E2208">
        <v>182.1</v>
      </c>
    </row>
    <row r="2209" spans="1:5" x14ac:dyDescent="0.25">
      <c r="A2209" s="7" t="s">
        <v>30</v>
      </c>
      <c r="B2209">
        <v>2023</v>
      </c>
      <c r="C2209" s="7" t="s">
        <v>34</v>
      </c>
      <c r="D2209" s="7" t="s">
        <v>26</v>
      </c>
      <c r="E2209">
        <v>1209.5000000000002</v>
      </c>
    </row>
    <row r="2210" spans="1:5" x14ac:dyDescent="0.25">
      <c r="A2210" s="7" t="s">
        <v>31</v>
      </c>
      <c r="B2210">
        <v>2023</v>
      </c>
      <c r="C2210" s="7" t="s">
        <v>34</v>
      </c>
      <c r="D2210" s="7" t="s">
        <v>48</v>
      </c>
      <c r="E2210">
        <v>2289.6000000000004</v>
      </c>
    </row>
    <row r="2211" spans="1:5" x14ac:dyDescent="0.25">
      <c r="A2211" s="7" t="s">
        <v>31</v>
      </c>
      <c r="B2211">
        <v>2023</v>
      </c>
      <c r="C2211" s="7" t="s">
        <v>34</v>
      </c>
      <c r="D2211" s="7" t="s">
        <v>49</v>
      </c>
      <c r="E2211">
        <v>200.6</v>
      </c>
    </row>
    <row r="2212" spans="1:5" x14ac:dyDescent="0.25">
      <c r="A2212" s="7" t="s">
        <v>31</v>
      </c>
      <c r="B2212">
        <v>2023</v>
      </c>
      <c r="C2212" s="7" t="s">
        <v>34</v>
      </c>
      <c r="D2212" s="7" t="s">
        <v>50</v>
      </c>
      <c r="E2212">
        <v>551.79999999999995</v>
      </c>
    </row>
    <row r="2213" spans="1:5" x14ac:dyDescent="0.25">
      <c r="A2213" s="7" t="s">
        <v>31</v>
      </c>
      <c r="B2213">
        <v>2023</v>
      </c>
      <c r="C2213" s="7" t="s">
        <v>34</v>
      </c>
      <c r="D2213" s="7" t="s">
        <v>19</v>
      </c>
      <c r="E2213">
        <v>175.2</v>
      </c>
    </row>
    <row r="2214" spans="1:5" x14ac:dyDescent="0.25">
      <c r="A2214" s="7" t="s">
        <v>31</v>
      </c>
      <c r="B2214">
        <v>2023</v>
      </c>
      <c r="C2214" s="7" t="s">
        <v>34</v>
      </c>
      <c r="D2214" s="7" t="s">
        <v>51</v>
      </c>
      <c r="E2214">
        <v>181.7</v>
      </c>
    </row>
    <row r="2215" spans="1:5" x14ac:dyDescent="0.25">
      <c r="A2215" s="7" t="s">
        <v>31</v>
      </c>
      <c r="B2215">
        <v>2023</v>
      </c>
      <c r="C2215" s="7" t="s">
        <v>34</v>
      </c>
      <c r="D2215" s="7" t="s">
        <v>26</v>
      </c>
      <c r="E2215">
        <v>1230.1999999999998</v>
      </c>
    </row>
    <row r="2216" spans="1:5" x14ac:dyDescent="0.25">
      <c r="A2216" s="7" t="s">
        <v>28</v>
      </c>
      <c r="B2216">
        <v>2023</v>
      </c>
      <c r="C2216" s="7" t="s">
        <v>35</v>
      </c>
      <c r="D2216" s="7" t="s">
        <v>48</v>
      </c>
      <c r="E2216">
        <v>2290.7000000000007</v>
      </c>
    </row>
    <row r="2217" spans="1:5" x14ac:dyDescent="0.25">
      <c r="A2217" s="7" t="s">
        <v>28</v>
      </c>
      <c r="B2217">
        <v>2023</v>
      </c>
      <c r="C2217" s="7" t="s">
        <v>35</v>
      </c>
      <c r="D2217" s="7" t="s">
        <v>49</v>
      </c>
      <c r="E2217">
        <v>199.9</v>
      </c>
    </row>
    <row r="2218" spans="1:5" x14ac:dyDescent="0.25">
      <c r="A2218" s="7" t="s">
        <v>28</v>
      </c>
      <c r="B2218">
        <v>2023</v>
      </c>
      <c r="C2218" s="7" t="s">
        <v>35</v>
      </c>
      <c r="D2218" s="7" t="s">
        <v>50</v>
      </c>
      <c r="E2218">
        <v>569.90000000000009</v>
      </c>
    </row>
    <row r="2219" spans="1:5" x14ac:dyDescent="0.25">
      <c r="A2219" s="7" t="s">
        <v>28</v>
      </c>
      <c r="B2219">
        <v>2023</v>
      </c>
      <c r="C2219" s="7" t="s">
        <v>35</v>
      </c>
      <c r="D2219" s="7" t="s">
        <v>19</v>
      </c>
      <c r="E2219">
        <v>175.3</v>
      </c>
    </row>
    <row r="2220" spans="1:5" x14ac:dyDescent="0.25">
      <c r="A2220" s="7" t="s">
        <v>28</v>
      </c>
      <c r="B2220">
        <v>2023</v>
      </c>
      <c r="C2220" s="7" t="s">
        <v>35</v>
      </c>
      <c r="D2220" s="7" t="s">
        <v>51</v>
      </c>
      <c r="E2220">
        <v>182.5</v>
      </c>
    </row>
    <row r="2221" spans="1:5" x14ac:dyDescent="0.25">
      <c r="A2221" s="7" t="s">
        <v>28</v>
      </c>
      <c r="B2221">
        <v>2023</v>
      </c>
      <c r="C2221" s="7" t="s">
        <v>35</v>
      </c>
      <c r="D2221" s="7" t="s">
        <v>26</v>
      </c>
      <c r="E2221">
        <v>1255.8</v>
      </c>
    </row>
    <row r="2222" spans="1:5" x14ac:dyDescent="0.25">
      <c r="A2222" s="7" t="s">
        <v>30</v>
      </c>
      <c r="B2222">
        <v>2023</v>
      </c>
      <c r="C2222" s="7" t="s">
        <v>35</v>
      </c>
      <c r="D2222" s="7" t="s">
        <v>48</v>
      </c>
      <c r="E2222">
        <v>2335.1</v>
      </c>
    </row>
    <row r="2223" spans="1:5" x14ac:dyDescent="0.25">
      <c r="A2223" s="7" t="s">
        <v>30</v>
      </c>
      <c r="B2223">
        <v>2023</v>
      </c>
      <c r="C2223" s="7" t="s">
        <v>35</v>
      </c>
      <c r="D2223" s="7" t="s">
        <v>49</v>
      </c>
      <c r="E2223">
        <v>204.2</v>
      </c>
    </row>
    <row r="2224" spans="1:5" x14ac:dyDescent="0.25">
      <c r="A2224" s="7" t="s">
        <v>30</v>
      </c>
      <c r="B2224">
        <v>2023</v>
      </c>
      <c r="C2224" s="7" t="s">
        <v>35</v>
      </c>
      <c r="D2224" s="7" t="s">
        <v>50</v>
      </c>
      <c r="E2224">
        <v>528.70000000000005</v>
      </c>
    </row>
    <row r="2225" spans="1:5" x14ac:dyDescent="0.25">
      <c r="A2225" s="7" t="s">
        <v>30</v>
      </c>
      <c r="B2225">
        <v>2023</v>
      </c>
      <c r="C2225" s="7" t="s">
        <v>35</v>
      </c>
      <c r="D2225" s="7" t="s">
        <v>19</v>
      </c>
      <c r="E2225">
        <v>175.6</v>
      </c>
    </row>
    <row r="2226" spans="1:5" x14ac:dyDescent="0.25">
      <c r="A2226" s="7" t="s">
        <v>30</v>
      </c>
      <c r="B2226">
        <v>2023</v>
      </c>
      <c r="C2226" s="7" t="s">
        <v>35</v>
      </c>
      <c r="D2226" s="7" t="s">
        <v>51</v>
      </c>
      <c r="E2226">
        <v>183.4</v>
      </c>
    </row>
    <row r="2227" spans="1:5" x14ac:dyDescent="0.25">
      <c r="A2227" s="7" t="s">
        <v>30</v>
      </c>
      <c r="B2227">
        <v>2023</v>
      </c>
      <c r="C2227" s="7" t="s">
        <v>35</v>
      </c>
      <c r="D2227" s="7" t="s">
        <v>26</v>
      </c>
      <c r="E2227">
        <v>1213.8999999999996</v>
      </c>
    </row>
    <row r="2228" spans="1:5" x14ac:dyDescent="0.25">
      <c r="A2228" s="7" t="s">
        <v>31</v>
      </c>
      <c r="B2228">
        <v>2023</v>
      </c>
      <c r="C2228" s="7" t="s">
        <v>35</v>
      </c>
      <c r="D2228" s="7" t="s">
        <v>48</v>
      </c>
      <c r="E2228">
        <v>2306.9</v>
      </c>
    </row>
    <row r="2229" spans="1:5" x14ac:dyDescent="0.25">
      <c r="A2229" s="7" t="s">
        <v>31</v>
      </c>
      <c r="B2229">
        <v>2023</v>
      </c>
      <c r="C2229" s="7" t="s">
        <v>35</v>
      </c>
      <c r="D2229" s="7" t="s">
        <v>49</v>
      </c>
      <c r="E2229">
        <v>201</v>
      </c>
    </row>
    <row r="2230" spans="1:5" x14ac:dyDescent="0.25">
      <c r="A2230" s="7" t="s">
        <v>31</v>
      </c>
      <c r="B2230">
        <v>2023</v>
      </c>
      <c r="C2230" s="7" t="s">
        <v>35</v>
      </c>
      <c r="D2230" s="7" t="s">
        <v>50</v>
      </c>
      <c r="E2230">
        <v>553.20000000000005</v>
      </c>
    </row>
    <row r="2231" spans="1:5" x14ac:dyDescent="0.25">
      <c r="A2231" s="7" t="s">
        <v>31</v>
      </c>
      <c r="B2231">
        <v>2023</v>
      </c>
      <c r="C2231" s="7" t="s">
        <v>35</v>
      </c>
      <c r="D2231" s="7" t="s">
        <v>19</v>
      </c>
      <c r="E2231">
        <v>175.6</v>
      </c>
    </row>
    <row r="2232" spans="1:5" x14ac:dyDescent="0.25">
      <c r="A2232" s="7" t="s">
        <v>31</v>
      </c>
      <c r="B2232">
        <v>2023</v>
      </c>
      <c r="C2232" s="7" t="s">
        <v>35</v>
      </c>
      <c r="D2232" s="7" t="s">
        <v>51</v>
      </c>
      <c r="E2232">
        <v>182.8</v>
      </c>
    </row>
    <row r="2233" spans="1:5" x14ac:dyDescent="0.25">
      <c r="A2233" s="7" t="s">
        <v>31</v>
      </c>
      <c r="B2233">
        <v>2023</v>
      </c>
      <c r="C2233" s="7" t="s">
        <v>35</v>
      </c>
      <c r="D2233" s="7" t="s">
        <v>26</v>
      </c>
      <c r="E2233">
        <v>1234.9000000000001</v>
      </c>
    </row>
  </sheetData>
  <sheetProtection algorithmName="SHA-512" hashValue="56L1t/z4DWRMnIsU0r+BHSPHO/1NALcyH1Of7mjiUX7K0H4wv00Ks0rK30hh6KSsL3kh6jOr54D6ej3zLjMhVA==" saltValue="NQ9gPYYKsVJhPV1xcbmsVw==" spinCount="100000" sheet="1" objects="1" scenarios="1"/>
  <conditionalFormatting pivot="1" sqref="J11:J16">
    <cfRule type="colorScale" priority="1">
      <colorScale>
        <cfvo type="min"/>
        <cfvo type="percentile" val="50"/>
        <cfvo type="max"/>
        <color rgb="FFF8696B"/>
        <color rgb="FFFFEB84"/>
        <color rgb="FF63BE7B"/>
      </colorScale>
    </cfRule>
  </conditionalFormatting>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62CEF-31DD-49BE-891D-0B87C7F5D662}">
  <dimension ref="A1:AA31"/>
  <sheetViews>
    <sheetView workbookViewId="0">
      <selection activeCell="G21" sqref="G21"/>
    </sheetView>
  </sheetViews>
  <sheetFormatPr defaultRowHeight="15" x14ac:dyDescent="0.25"/>
  <cols>
    <col min="1" max="1" width="13.42578125" bestFit="1" customWidth="1"/>
    <col min="2" max="2" width="23.85546875" bestFit="1" customWidth="1"/>
    <col min="3" max="3" width="16.140625" bestFit="1" customWidth="1"/>
    <col min="4" max="4" width="6" bestFit="1" customWidth="1"/>
    <col min="5" max="5" width="4" bestFit="1" customWidth="1"/>
    <col min="6" max="10" width="6" bestFit="1" customWidth="1"/>
    <col min="11" max="11" width="4" bestFit="1" customWidth="1"/>
    <col min="12" max="20" width="6" bestFit="1" customWidth="1"/>
    <col min="21" max="21" width="4" bestFit="1" customWidth="1"/>
    <col min="22" max="31" width="6" bestFit="1" customWidth="1"/>
    <col min="32" max="32" width="4" bestFit="1" customWidth="1"/>
    <col min="33" max="37" width="6" bestFit="1" customWidth="1"/>
    <col min="38" max="38" width="4" bestFit="1" customWidth="1"/>
    <col min="39" max="43" width="6" bestFit="1" customWidth="1"/>
    <col min="44" max="44" width="4" bestFit="1" customWidth="1"/>
    <col min="45" max="47" width="6" bestFit="1" customWidth="1"/>
    <col min="48" max="48" width="4" bestFit="1" customWidth="1"/>
    <col min="49" max="53" width="6" bestFit="1" customWidth="1"/>
    <col min="54" max="54" width="4" bestFit="1" customWidth="1"/>
    <col min="55" max="66" width="6" bestFit="1" customWidth="1"/>
    <col min="67" max="67" width="4" bestFit="1" customWidth="1"/>
    <col min="68" max="72" width="6" bestFit="1" customWidth="1"/>
    <col min="73" max="73" width="4" bestFit="1" customWidth="1"/>
    <col min="74" max="77" width="6" bestFit="1" customWidth="1"/>
    <col min="78" max="78" width="4" bestFit="1" customWidth="1"/>
    <col min="79" max="85" width="6" bestFit="1" customWidth="1"/>
    <col min="86" max="86" width="4" bestFit="1" customWidth="1"/>
    <col min="87" max="89" width="6" bestFit="1" customWidth="1"/>
    <col min="90" max="90" width="4" bestFit="1" customWidth="1"/>
    <col min="91" max="95" width="6" bestFit="1" customWidth="1"/>
    <col min="96" max="96" width="4" bestFit="1" customWidth="1"/>
    <col min="97" max="103" width="6" bestFit="1" customWidth="1"/>
    <col min="104" max="104" width="4" bestFit="1" customWidth="1"/>
    <col min="105" max="117" width="6" bestFit="1" customWidth="1"/>
    <col min="118" max="118" width="4" bestFit="1" customWidth="1"/>
    <col min="119" max="123" width="6" bestFit="1" customWidth="1"/>
    <col min="124" max="124" width="4" bestFit="1" customWidth="1"/>
    <col min="125" max="130" width="6" bestFit="1" customWidth="1"/>
    <col min="131" max="131" width="4" bestFit="1" customWidth="1"/>
    <col min="132" max="146" width="6" bestFit="1" customWidth="1"/>
    <col min="147" max="147" width="4" bestFit="1" customWidth="1"/>
    <col min="148" max="153" width="6" bestFit="1" customWidth="1"/>
    <col min="154" max="154" width="4" bestFit="1" customWidth="1"/>
    <col min="155" max="160" width="6" bestFit="1" customWidth="1"/>
    <col min="161" max="161" width="4" bestFit="1" customWidth="1"/>
    <col min="162" max="166" width="6" bestFit="1" customWidth="1"/>
    <col min="167" max="167" width="4" bestFit="1" customWidth="1"/>
    <col min="168" max="171" width="6" bestFit="1" customWidth="1"/>
    <col min="172" max="172" width="4" bestFit="1" customWidth="1"/>
    <col min="173" max="182" width="6" bestFit="1" customWidth="1"/>
    <col min="183" max="183" width="4" bestFit="1" customWidth="1"/>
    <col min="184" max="185" width="6" bestFit="1" customWidth="1"/>
    <col min="186" max="186" width="4" bestFit="1" customWidth="1"/>
    <col min="187" max="187" width="6" bestFit="1" customWidth="1"/>
    <col min="188" max="188" width="4" bestFit="1" customWidth="1"/>
    <col min="189" max="202" width="6" bestFit="1" customWidth="1"/>
    <col min="203" max="203" width="4" bestFit="1" customWidth="1"/>
    <col min="204" max="207" width="6" bestFit="1" customWidth="1"/>
    <col min="208" max="208" width="4" bestFit="1" customWidth="1"/>
    <col min="209" max="211" width="6" bestFit="1" customWidth="1"/>
    <col min="212" max="212" width="4" bestFit="1" customWidth="1"/>
    <col min="213" max="222" width="6" bestFit="1" customWidth="1"/>
    <col min="223" max="223" width="4" bestFit="1" customWidth="1"/>
    <col min="224" max="238" width="6" bestFit="1" customWidth="1"/>
    <col min="239" max="239" width="4" bestFit="1" customWidth="1"/>
    <col min="240" max="240" width="6" bestFit="1" customWidth="1"/>
    <col min="241" max="241" width="4" bestFit="1" customWidth="1"/>
    <col min="242" max="251" width="6" bestFit="1" customWidth="1"/>
    <col min="252" max="252" width="4" bestFit="1" customWidth="1"/>
    <col min="253" max="280" width="6" bestFit="1" customWidth="1"/>
    <col min="281" max="281" width="4" bestFit="1" customWidth="1"/>
    <col min="282" max="286" width="6" bestFit="1" customWidth="1"/>
    <col min="287" max="287" width="11.28515625" bestFit="1" customWidth="1"/>
  </cols>
  <sheetData>
    <row r="1" spans="1:27" x14ac:dyDescent="0.25">
      <c r="A1" s="6" t="s">
        <v>1</v>
      </c>
      <c r="B1" s="6" t="s">
        <v>66</v>
      </c>
      <c r="C1" s="6" t="s">
        <v>65</v>
      </c>
      <c r="D1" s="6"/>
      <c r="E1" s="6"/>
      <c r="F1" s="6"/>
      <c r="G1" s="6"/>
      <c r="H1" s="6"/>
      <c r="I1" s="6"/>
      <c r="J1" s="6"/>
      <c r="K1" s="6"/>
      <c r="L1" s="6"/>
      <c r="M1" s="6"/>
      <c r="N1" s="6"/>
      <c r="O1" s="6"/>
      <c r="P1" s="6"/>
      <c r="Q1" s="6"/>
      <c r="R1" s="6"/>
      <c r="S1" s="6"/>
      <c r="T1" s="6"/>
      <c r="U1" s="6"/>
      <c r="V1" s="6"/>
      <c r="W1" s="6"/>
      <c r="X1" s="6"/>
      <c r="Y1" s="6"/>
      <c r="Z1" s="6"/>
      <c r="AA1" s="6"/>
    </row>
    <row r="2" spans="1:27" x14ac:dyDescent="0.25">
      <c r="A2" s="22">
        <v>2016</v>
      </c>
      <c r="B2" s="23"/>
      <c r="C2" s="27">
        <v>129.10000000000002</v>
      </c>
      <c r="D2" s="6"/>
      <c r="E2" s="6"/>
      <c r="F2" s="6"/>
      <c r="G2" s="6"/>
      <c r="H2" s="6"/>
      <c r="I2" s="6"/>
      <c r="J2" s="6"/>
      <c r="K2" s="6"/>
      <c r="L2" s="6"/>
      <c r="M2" s="6"/>
      <c r="N2" s="6"/>
      <c r="O2" s="6"/>
      <c r="P2" s="6"/>
      <c r="Q2" s="6"/>
      <c r="R2" s="6"/>
      <c r="S2" s="6"/>
      <c r="T2" s="6"/>
      <c r="U2" s="6"/>
      <c r="V2" s="6"/>
      <c r="W2" s="6"/>
      <c r="X2" s="6"/>
      <c r="Y2" s="6"/>
      <c r="Z2" s="6"/>
      <c r="AA2" s="6"/>
    </row>
    <row r="3" spans="1:27" x14ac:dyDescent="0.25">
      <c r="A3" s="22">
        <v>2017</v>
      </c>
      <c r="B3" s="23">
        <v>3.3199931147258686E-2</v>
      </c>
      <c r="C3" s="27">
        <v>133.38611111111112</v>
      </c>
      <c r="D3" s="6"/>
      <c r="E3" s="6"/>
      <c r="F3" s="6"/>
      <c r="G3" s="6"/>
      <c r="H3" s="6"/>
      <c r="I3" s="6"/>
      <c r="J3" s="6"/>
      <c r="K3" s="6"/>
      <c r="L3" s="6"/>
      <c r="M3" s="6"/>
      <c r="N3" s="6"/>
      <c r="O3" s="6"/>
      <c r="P3" s="6"/>
      <c r="Q3" s="6"/>
      <c r="R3" s="6"/>
      <c r="S3" s="6"/>
      <c r="T3" s="6"/>
      <c r="U3" s="6"/>
      <c r="V3" s="6"/>
      <c r="W3" s="6"/>
      <c r="X3" s="6"/>
      <c r="Y3" s="6"/>
      <c r="Z3" s="6"/>
      <c r="AA3" s="6"/>
    </row>
    <row r="4" spans="1:27" x14ac:dyDescent="0.25">
      <c r="A4" s="22">
        <v>2018</v>
      </c>
      <c r="B4" s="23">
        <v>3.9609321310314437E-2</v>
      </c>
      <c r="C4" s="27">
        <v>138.66944444444442</v>
      </c>
      <c r="D4" s="6"/>
      <c r="E4" s="6"/>
      <c r="F4" s="6"/>
      <c r="G4" s="6"/>
      <c r="H4" s="6"/>
      <c r="I4" s="6"/>
      <c r="J4" s="6"/>
      <c r="K4" s="6"/>
      <c r="L4" s="6"/>
      <c r="M4" s="6"/>
      <c r="N4" s="6"/>
      <c r="O4" s="6"/>
      <c r="P4" s="6"/>
      <c r="Q4" s="6"/>
      <c r="R4" s="6"/>
      <c r="S4" s="6"/>
      <c r="T4" s="6"/>
      <c r="U4" s="6"/>
      <c r="V4" s="6"/>
      <c r="W4" s="6"/>
      <c r="X4" s="6"/>
      <c r="Y4" s="6"/>
      <c r="Z4" s="6"/>
      <c r="AA4" s="6"/>
    </row>
    <row r="5" spans="1:27" x14ac:dyDescent="0.25">
      <c r="A5" s="22">
        <v>2019</v>
      </c>
      <c r="B5" s="23">
        <v>3.9358550145593821E-2</v>
      </c>
      <c r="C5" s="27">
        <v>144.12727272727273</v>
      </c>
      <c r="D5" s="6"/>
      <c r="E5" s="6"/>
      <c r="F5" s="6"/>
      <c r="G5" s="6"/>
      <c r="H5" s="6"/>
      <c r="I5" s="6"/>
      <c r="J5" s="6"/>
      <c r="K5" s="6"/>
      <c r="L5" s="6"/>
      <c r="M5" s="6"/>
      <c r="N5" s="6"/>
      <c r="O5" s="6"/>
      <c r="P5" s="6"/>
      <c r="Q5" s="6"/>
      <c r="R5" s="6"/>
      <c r="S5" s="6"/>
      <c r="T5" s="6"/>
      <c r="U5" s="6"/>
      <c r="V5" s="6"/>
      <c r="W5" s="6"/>
      <c r="X5" s="6"/>
      <c r="Y5" s="6"/>
      <c r="Z5" s="6"/>
      <c r="AA5" s="6"/>
    </row>
    <row r="6" spans="1:27" x14ac:dyDescent="0.25">
      <c r="A6" s="22">
        <v>2020</v>
      </c>
      <c r="B6" s="23">
        <v>6.2294128365782409E-2</v>
      </c>
      <c r="C6" s="27">
        <v>153.10555555555558</v>
      </c>
      <c r="D6" s="6"/>
      <c r="E6" s="6"/>
      <c r="F6" s="6"/>
      <c r="G6" s="6"/>
      <c r="H6" s="6"/>
      <c r="I6" s="6"/>
      <c r="J6" s="6"/>
      <c r="K6" s="6"/>
      <c r="L6" s="6"/>
      <c r="M6" s="6"/>
      <c r="N6" s="6"/>
      <c r="O6" s="6"/>
      <c r="P6" s="6"/>
      <c r="Q6" s="6"/>
      <c r="R6" s="6"/>
      <c r="S6" s="6"/>
      <c r="T6" s="6"/>
      <c r="U6" s="6"/>
      <c r="V6" s="6"/>
      <c r="W6" s="6"/>
      <c r="X6" s="6"/>
      <c r="Y6" s="6"/>
      <c r="Z6" s="6"/>
      <c r="AA6" s="6"/>
    </row>
    <row r="7" spans="1:27" x14ac:dyDescent="0.25">
      <c r="A7" s="22">
        <v>2021</v>
      </c>
      <c r="B7" s="23">
        <v>5.4283537138502598E-2</v>
      </c>
      <c r="C7" s="27">
        <v>161.41666666666666</v>
      </c>
      <c r="D7" s="6"/>
      <c r="E7" s="6"/>
      <c r="F7" s="6"/>
      <c r="G7" s="6"/>
      <c r="H7" s="6"/>
      <c r="I7" s="6"/>
      <c r="J7" s="6"/>
      <c r="K7" s="6"/>
      <c r="L7" s="6"/>
      <c r="M7" s="6"/>
      <c r="N7" s="6"/>
      <c r="O7" s="6"/>
      <c r="P7" s="6"/>
      <c r="Q7" s="6"/>
      <c r="R7" s="6"/>
      <c r="S7" s="6"/>
      <c r="T7" s="6"/>
      <c r="U7" s="6"/>
      <c r="V7" s="6"/>
      <c r="W7" s="6"/>
      <c r="X7" s="6"/>
      <c r="Y7" s="6"/>
      <c r="Z7" s="6"/>
      <c r="AA7" s="6"/>
    </row>
    <row r="8" spans="1:27" x14ac:dyDescent="0.25">
      <c r="A8" s="22">
        <v>2022</v>
      </c>
      <c r="B8" s="23">
        <v>6.6029943211151437E-2</v>
      </c>
      <c r="C8" s="27">
        <v>172.07500000000002</v>
      </c>
      <c r="D8" s="6"/>
      <c r="E8" s="6"/>
      <c r="F8" s="6"/>
      <c r="G8" s="6"/>
      <c r="H8" s="6"/>
      <c r="I8" s="6"/>
      <c r="J8" s="6"/>
      <c r="K8" s="6"/>
      <c r="L8" s="6"/>
      <c r="M8" s="6"/>
      <c r="N8" s="6"/>
      <c r="O8" s="6"/>
      <c r="P8" s="6"/>
      <c r="Q8" s="6"/>
      <c r="R8" s="6"/>
      <c r="S8" s="6"/>
      <c r="T8" s="6"/>
      <c r="U8" s="6"/>
      <c r="V8" s="6"/>
      <c r="W8" s="6"/>
      <c r="X8" s="6"/>
      <c r="Y8" s="6"/>
      <c r="Z8" s="6"/>
      <c r="AA8" s="6"/>
    </row>
    <row r="9" spans="1:27" x14ac:dyDescent="0.25">
      <c r="A9" s="22">
        <v>2023</v>
      </c>
      <c r="B9" s="23">
        <v>3.195312121652364E-2</v>
      </c>
      <c r="C9" s="27">
        <v>177.57333333333332</v>
      </c>
      <c r="D9" s="6"/>
      <c r="E9" s="6"/>
      <c r="F9" s="6"/>
      <c r="G9" s="6"/>
      <c r="H9" s="6"/>
      <c r="I9" s="6"/>
      <c r="J9" s="6"/>
      <c r="K9" s="6"/>
      <c r="L9" s="6"/>
      <c r="M9" s="6"/>
      <c r="N9" s="6"/>
      <c r="O9" s="6"/>
      <c r="P9" s="6"/>
      <c r="Q9" s="6"/>
      <c r="R9" s="6"/>
      <c r="S9" s="6"/>
      <c r="T9" s="6"/>
      <c r="U9" s="6"/>
      <c r="V9" s="6"/>
      <c r="W9" s="6"/>
      <c r="X9" s="6"/>
      <c r="Y9" s="6"/>
      <c r="Z9" s="6"/>
      <c r="AA9" s="6"/>
    </row>
    <row r="10" spans="1:27" x14ac:dyDescent="0.25">
      <c r="A10" s="22" t="s">
        <v>58</v>
      </c>
      <c r="B10" s="23"/>
      <c r="C10" s="27">
        <v>149.16249999999999</v>
      </c>
      <c r="D10" s="6"/>
      <c r="E10" s="6"/>
      <c r="F10" s="6"/>
      <c r="G10" s="6"/>
      <c r="H10" s="6"/>
      <c r="I10" s="6"/>
      <c r="J10" s="6"/>
      <c r="K10" s="6"/>
      <c r="L10" s="6"/>
      <c r="M10" s="6"/>
      <c r="N10" s="6"/>
      <c r="O10" s="6"/>
      <c r="P10" s="6"/>
      <c r="Q10" s="6"/>
      <c r="R10" s="6"/>
      <c r="S10" s="6"/>
      <c r="T10" s="6"/>
      <c r="U10" s="6"/>
      <c r="V10" s="6"/>
      <c r="W10" s="6"/>
      <c r="X10" s="6"/>
      <c r="Y10" s="6"/>
      <c r="Z10" s="6"/>
      <c r="AA10" s="6"/>
    </row>
    <row r="11" spans="1:27" x14ac:dyDescent="0.25">
      <c r="A11" s="6" t="s">
        <v>1</v>
      </c>
      <c r="B11" s="6" t="s">
        <v>66</v>
      </c>
      <c r="C11" s="6"/>
      <c r="D11" s="6"/>
      <c r="E11" s="6"/>
      <c r="F11" s="6"/>
      <c r="G11" s="6"/>
      <c r="H11" s="6"/>
      <c r="I11" s="6"/>
      <c r="J11" s="6"/>
      <c r="K11" s="6"/>
      <c r="L11" s="6"/>
      <c r="M11" s="6"/>
      <c r="N11" s="6"/>
      <c r="O11" s="6"/>
      <c r="P11" s="6"/>
      <c r="Q11" s="6"/>
      <c r="R11" s="6"/>
      <c r="S11" s="6"/>
      <c r="T11" s="6"/>
      <c r="U11" s="6"/>
      <c r="V11" s="6"/>
      <c r="W11" s="6"/>
      <c r="X11" s="6"/>
      <c r="Y11" s="6"/>
      <c r="Z11" s="6"/>
      <c r="AA11" s="6"/>
    </row>
    <row r="12" spans="1:27" x14ac:dyDescent="0.25">
      <c r="A12" s="22">
        <v>2016</v>
      </c>
      <c r="B12" s="23"/>
      <c r="C12" s="6"/>
      <c r="D12" s="6"/>
      <c r="E12" s="6"/>
      <c r="F12" s="6"/>
      <c r="G12" s="6"/>
      <c r="H12" s="6"/>
      <c r="I12" s="6"/>
      <c r="J12" s="6"/>
      <c r="K12" s="6"/>
      <c r="L12" s="6"/>
      <c r="M12" s="6"/>
      <c r="N12" s="6"/>
      <c r="O12" s="6"/>
      <c r="P12" s="6"/>
      <c r="Q12" s="6"/>
      <c r="R12" s="6"/>
      <c r="S12" s="6"/>
      <c r="T12" s="6"/>
      <c r="U12" s="6"/>
      <c r="V12" s="6"/>
      <c r="W12" s="6"/>
      <c r="X12" s="6"/>
      <c r="Y12" s="6"/>
      <c r="Z12" s="6"/>
      <c r="AA12" s="6"/>
    </row>
    <row r="13" spans="1:27" x14ac:dyDescent="0.25">
      <c r="A13" s="22">
        <v>2017</v>
      </c>
      <c r="B13" s="23">
        <v>3.3199931147258686E-2</v>
      </c>
      <c r="C13" s="6"/>
      <c r="D13" s="6"/>
      <c r="E13" s="6"/>
      <c r="F13" s="6"/>
      <c r="G13" s="6"/>
      <c r="H13" s="6"/>
      <c r="I13" s="6"/>
      <c r="J13" s="6"/>
      <c r="K13" s="6"/>
      <c r="L13" s="6"/>
      <c r="M13" s="6"/>
      <c r="N13" s="6"/>
      <c r="O13" s="6"/>
      <c r="P13" s="6"/>
      <c r="Q13" s="6"/>
      <c r="R13" s="6"/>
      <c r="S13" s="6"/>
      <c r="T13" s="6"/>
      <c r="U13" s="6"/>
      <c r="V13" s="6"/>
      <c r="W13" s="6"/>
      <c r="X13" s="6"/>
      <c r="Y13" s="6"/>
      <c r="Z13" s="6"/>
      <c r="AA13" s="6"/>
    </row>
    <row r="14" spans="1:27" x14ac:dyDescent="0.25">
      <c r="A14" s="22">
        <v>2018</v>
      </c>
      <c r="B14" s="23">
        <v>3.9609321310314437E-2</v>
      </c>
      <c r="C14" s="6"/>
      <c r="D14" s="6"/>
      <c r="E14" s="6"/>
      <c r="F14" s="6"/>
      <c r="G14" s="6"/>
      <c r="H14" s="6"/>
      <c r="I14" s="6"/>
      <c r="J14" s="6"/>
      <c r="K14" s="6"/>
      <c r="L14" s="6"/>
      <c r="M14" s="6"/>
      <c r="N14" s="6"/>
      <c r="O14" s="6"/>
      <c r="P14" s="6"/>
      <c r="Q14" s="6"/>
      <c r="R14" s="6"/>
      <c r="S14" s="6"/>
      <c r="T14" s="6"/>
      <c r="U14" s="6"/>
      <c r="V14" s="6"/>
      <c r="W14" s="6"/>
      <c r="X14" s="6"/>
      <c r="Y14" s="6"/>
      <c r="Z14" s="6"/>
      <c r="AA14" s="6"/>
    </row>
    <row r="15" spans="1:27" x14ac:dyDescent="0.25">
      <c r="A15" s="22">
        <v>2019</v>
      </c>
      <c r="B15" s="23">
        <v>3.9358550145593821E-2</v>
      </c>
      <c r="C15" s="6"/>
      <c r="D15" s="6"/>
      <c r="E15" s="6"/>
      <c r="F15" s="6"/>
      <c r="G15" s="6"/>
      <c r="H15" s="6"/>
      <c r="I15" s="6"/>
      <c r="J15" s="6"/>
      <c r="K15" s="6"/>
      <c r="L15" s="6"/>
      <c r="M15" s="6"/>
      <c r="N15" s="6"/>
      <c r="O15" s="6"/>
      <c r="P15" s="6"/>
      <c r="Q15" s="6"/>
      <c r="R15" s="6"/>
      <c r="S15" s="6"/>
      <c r="T15" s="6"/>
      <c r="U15" s="6"/>
      <c r="V15" s="6"/>
      <c r="W15" s="6"/>
      <c r="X15" s="6"/>
      <c r="Y15" s="6"/>
      <c r="Z15" s="6"/>
      <c r="AA15" s="6"/>
    </row>
    <row r="16" spans="1:27" x14ac:dyDescent="0.25">
      <c r="A16" s="22">
        <v>2020</v>
      </c>
      <c r="B16" s="23">
        <v>6.2294128365782409E-2</v>
      </c>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25">
      <c r="A17" s="22">
        <v>2021</v>
      </c>
      <c r="B17" s="23">
        <v>5.4283537138502598E-2</v>
      </c>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25">
      <c r="A18" s="22">
        <v>2022</v>
      </c>
      <c r="B18" s="23">
        <v>6.6029943211151437E-2</v>
      </c>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25">
      <c r="A19" s="22">
        <v>2023</v>
      </c>
      <c r="B19" s="23">
        <v>3.195312121652364E-2</v>
      </c>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25">
      <c r="A20" s="22" t="s">
        <v>58</v>
      </c>
      <c r="B20" s="23"/>
      <c r="C20" s="6"/>
      <c r="D20" s="6"/>
      <c r="E20" s="6"/>
      <c r="F20" s="6"/>
      <c r="G20" s="6"/>
      <c r="H20" s="6"/>
      <c r="I20" s="6"/>
      <c r="J20" s="6"/>
      <c r="K20" s="6"/>
      <c r="L20" s="6"/>
      <c r="M20" s="6"/>
      <c r="N20" s="6"/>
      <c r="O20" s="6"/>
      <c r="P20" s="6"/>
      <c r="Q20" s="6"/>
      <c r="R20" s="6"/>
      <c r="S20" s="6"/>
      <c r="T20" s="6"/>
      <c r="U20" s="6"/>
      <c r="V20" s="6"/>
      <c r="W20" s="6"/>
      <c r="X20" s="6"/>
      <c r="Y20" s="6"/>
      <c r="Z20" s="6"/>
      <c r="AA20" s="6"/>
    </row>
    <row r="21" spans="1:27"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row>
  </sheetData>
  <sheetProtection algorithmName="SHA-512" hashValue="H1zCtNtA1+kpFkeC4DHVmTIDVLOrCE15QCJ4zVnbjMV9Cbp4JmzfzKIr+PyJmwAHQ1JJV3dQhwchO+yQv0rrtw==" saltValue="WJnDExUY2Ncgw0fdth68bQ==" spinCount="100000" sheet="1" objects="1" scenarios="1"/>
  <conditionalFormatting pivot="1" sqref="B2:B9">
    <cfRule type="colorScale" priority="2">
      <colorScale>
        <cfvo type="min"/>
        <cfvo type="percentile" val="50"/>
        <cfvo type="max"/>
        <color rgb="FFF8696B"/>
        <color rgb="FFFFEB84"/>
        <color rgb="FF63BE7B"/>
      </colorScale>
    </cfRule>
  </conditionalFormatting>
  <conditionalFormatting pivot="1" sqref="B12:B19">
    <cfRule type="colorScale" priority="1">
      <colorScale>
        <cfvo type="min"/>
        <cfvo type="percentile" val="50"/>
        <cfvo type="max"/>
        <color rgb="FFF8696B"/>
        <color rgb="FFFFEB84"/>
        <color rgb="FF63BE7B"/>
      </colorScale>
    </cfRule>
  </conditionalFormatting>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1F1C0-AEB3-4B00-B8E9-3E95936845D6}">
  <dimension ref="A1:AE72"/>
  <sheetViews>
    <sheetView topLeftCell="F12" workbookViewId="0">
      <selection activeCell="U19" sqref="U19"/>
    </sheetView>
  </sheetViews>
  <sheetFormatPr defaultRowHeight="15" x14ac:dyDescent="0.25"/>
  <cols>
    <col min="5" max="5" width="12.140625" bestFit="1" customWidth="1"/>
    <col min="10" max="10" width="12.7109375" bestFit="1" customWidth="1"/>
    <col min="13" max="13" width="31.140625" bestFit="1" customWidth="1"/>
    <col min="18" max="18" width="31.140625" bestFit="1" customWidth="1"/>
  </cols>
  <sheetData>
    <row r="1" spans="1:31"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row>
    <row r="2" spans="1:3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row>
    <row r="3" spans="1:31" x14ac:dyDescent="0.25">
      <c r="A3" s="1" t="s">
        <v>1</v>
      </c>
      <c r="B3" s="1" t="s">
        <v>2</v>
      </c>
      <c r="C3" s="1" t="s">
        <v>28</v>
      </c>
      <c r="D3" s="1" t="s">
        <v>30</v>
      </c>
      <c r="E3" s="1" t="s">
        <v>31</v>
      </c>
      <c r="F3" s="1" t="s">
        <v>69</v>
      </c>
      <c r="G3" s="6"/>
      <c r="H3" s="6"/>
      <c r="I3" s="1" t="s">
        <v>67</v>
      </c>
      <c r="J3" s="1" t="s">
        <v>69</v>
      </c>
      <c r="K3" s="6"/>
      <c r="L3" s="6"/>
      <c r="M3" s="1" t="s">
        <v>62</v>
      </c>
      <c r="N3" s="35">
        <v>44713</v>
      </c>
      <c r="O3" s="35">
        <v>45047</v>
      </c>
      <c r="P3" s="1" t="s">
        <v>68</v>
      </c>
      <c r="Q3" s="6"/>
      <c r="R3" s="1" t="s">
        <v>62</v>
      </c>
      <c r="S3" s="1" t="s">
        <v>68</v>
      </c>
      <c r="T3" s="6"/>
      <c r="U3" s="6"/>
      <c r="V3" s="6"/>
      <c r="W3" s="6"/>
      <c r="X3" s="6"/>
      <c r="Y3" s="6"/>
      <c r="Z3" s="6"/>
      <c r="AA3" s="6"/>
      <c r="AB3" s="6"/>
      <c r="AC3" s="6"/>
      <c r="AD3" s="6"/>
      <c r="AE3" s="6"/>
    </row>
    <row r="4" spans="1:31" x14ac:dyDescent="0.25">
      <c r="A4" s="28">
        <v>2022</v>
      </c>
      <c r="B4" s="28" t="s">
        <v>36</v>
      </c>
      <c r="C4" s="28">
        <v>2248.3000000000002</v>
      </c>
      <c r="D4" s="28">
        <v>2287.5</v>
      </c>
      <c r="E4" s="28">
        <v>2261.9</v>
      </c>
      <c r="F4" s="28"/>
      <c r="G4" s="6"/>
      <c r="H4" s="6"/>
      <c r="I4" s="28" t="s">
        <v>70</v>
      </c>
      <c r="J4" s="28"/>
      <c r="K4" s="6"/>
      <c r="L4" s="6"/>
      <c r="M4" s="28" t="s">
        <v>3</v>
      </c>
      <c r="N4" s="28">
        <v>155</v>
      </c>
      <c r="O4" s="28">
        <v>173.7</v>
      </c>
      <c r="P4" s="33">
        <f>(O4-N4)/N4*100</f>
        <v>12.064516129032251</v>
      </c>
      <c r="Q4" s="6"/>
      <c r="R4" s="28" t="s">
        <v>3</v>
      </c>
      <c r="S4" s="33">
        <v>12.064516129032251</v>
      </c>
      <c r="T4" s="6"/>
      <c r="U4" s="6"/>
      <c r="V4" s="6"/>
      <c r="W4" s="6"/>
      <c r="X4" s="6"/>
      <c r="Y4" s="6"/>
      <c r="Z4" s="6"/>
      <c r="AA4" s="6"/>
      <c r="AB4" s="6"/>
      <c r="AC4" s="6"/>
      <c r="AD4" s="6"/>
      <c r="AE4" s="6"/>
    </row>
    <row r="5" spans="1:31" x14ac:dyDescent="0.25">
      <c r="A5" s="28">
        <v>2022</v>
      </c>
      <c r="B5" s="28" t="s">
        <v>37</v>
      </c>
      <c r="C5" s="28">
        <v>2252.5</v>
      </c>
      <c r="D5" s="28">
        <v>2291.6</v>
      </c>
      <c r="E5" s="28">
        <v>2266.3000000000002</v>
      </c>
      <c r="F5" s="33">
        <f>(E5-E4)/E4*100</f>
        <v>0.19452672531942572</v>
      </c>
      <c r="G5" s="34"/>
      <c r="H5" s="6"/>
      <c r="I5" s="28" t="s">
        <v>71</v>
      </c>
      <c r="J5" s="33">
        <v>0.19452672531942572</v>
      </c>
      <c r="K5" s="6"/>
      <c r="L5" s="6"/>
      <c r="M5" s="28" t="s">
        <v>4</v>
      </c>
      <c r="N5" s="28">
        <v>219.4</v>
      </c>
      <c r="O5" s="28">
        <v>214.3</v>
      </c>
      <c r="P5" s="33">
        <f t="shared" ref="P5:P16" si="0">(O5-N5)/N5*100</f>
        <v>-2.3245214220601613</v>
      </c>
      <c r="Q5" s="6"/>
      <c r="R5" s="28" t="s">
        <v>4</v>
      </c>
      <c r="S5" s="33">
        <v>-2.3245214220601613</v>
      </c>
      <c r="T5" s="6"/>
      <c r="U5" s="6"/>
      <c r="V5" s="6"/>
      <c r="W5" s="6"/>
      <c r="X5" s="6"/>
      <c r="Y5" s="6"/>
      <c r="Z5" s="6"/>
      <c r="AA5" s="6"/>
      <c r="AB5" s="6"/>
      <c r="AC5" s="6"/>
      <c r="AD5" s="6"/>
      <c r="AE5" s="6"/>
    </row>
    <row r="6" spans="1:31" x14ac:dyDescent="0.25">
      <c r="A6" s="28">
        <v>2022</v>
      </c>
      <c r="B6" s="28" t="s">
        <v>38</v>
      </c>
      <c r="C6" s="28">
        <v>2255.7999999999997</v>
      </c>
      <c r="D6" s="28">
        <v>2293.6999999999998</v>
      </c>
      <c r="E6" s="28">
        <v>2269.2000000000003</v>
      </c>
      <c r="F6" s="33">
        <f t="shared" ref="F6:F15" si="1">(E6-E5)/E5*100</f>
        <v>0.12796187618585758</v>
      </c>
      <c r="G6" s="34"/>
      <c r="H6" s="6"/>
      <c r="I6" s="28" t="s">
        <v>72</v>
      </c>
      <c r="J6" s="33">
        <v>0.12796187618585758</v>
      </c>
      <c r="K6" s="6"/>
      <c r="L6" s="6"/>
      <c r="M6" s="28" t="s">
        <v>5</v>
      </c>
      <c r="N6" s="28">
        <v>170.8</v>
      </c>
      <c r="O6" s="28">
        <v>173.2</v>
      </c>
      <c r="P6" s="33">
        <f t="shared" si="0"/>
        <v>1.4051522248243427</v>
      </c>
      <c r="Q6" s="6"/>
      <c r="R6" s="28" t="s">
        <v>5</v>
      </c>
      <c r="S6" s="33">
        <v>1.4051522248243427</v>
      </c>
      <c r="T6" s="6"/>
      <c r="U6" s="6"/>
      <c r="V6" s="6"/>
      <c r="W6" s="6"/>
      <c r="X6" s="6"/>
      <c r="Y6" s="6"/>
      <c r="Z6" s="6"/>
      <c r="AA6" s="6"/>
      <c r="AB6" s="6"/>
      <c r="AC6" s="6"/>
      <c r="AD6" s="6"/>
      <c r="AE6" s="6"/>
    </row>
    <row r="7" spans="1:31" x14ac:dyDescent="0.25">
      <c r="A7" s="28">
        <v>2022</v>
      </c>
      <c r="B7" s="28" t="s">
        <v>39</v>
      </c>
      <c r="C7" s="28">
        <v>2267.8000000000002</v>
      </c>
      <c r="D7" s="28">
        <v>2306.4</v>
      </c>
      <c r="E7" s="28">
        <v>2280.9</v>
      </c>
      <c r="F7" s="33">
        <f t="shared" si="1"/>
        <v>0.51560021152828384</v>
      </c>
      <c r="G7" s="34"/>
      <c r="H7" s="6"/>
      <c r="I7" s="28" t="s">
        <v>73</v>
      </c>
      <c r="J7" s="33">
        <v>0.51560021152828384</v>
      </c>
      <c r="K7" s="6"/>
      <c r="L7" s="6"/>
      <c r="M7" s="28" t="s">
        <v>6</v>
      </c>
      <c r="N7" s="28">
        <v>165.8</v>
      </c>
      <c r="O7" s="28">
        <v>179.5</v>
      </c>
      <c r="P7" s="33">
        <f t="shared" si="0"/>
        <v>8.2629674306393177</v>
      </c>
      <c r="Q7" s="6"/>
      <c r="R7" s="28" t="s">
        <v>6</v>
      </c>
      <c r="S7" s="33">
        <v>8.2629674306393177</v>
      </c>
      <c r="T7" s="6"/>
      <c r="U7" s="6"/>
      <c r="V7" s="6"/>
      <c r="W7" s="6"/>
      <c r="X7" s="6"/>
      <c r="Y7" s="6"/>
      <c r="Z7" s="6"/>
      <c r="AA7" s="6"/>
      <c r="AB7" s="6"/>
      <c r="AC7" s="6"/>
      <c r="AD7" s="6"/>
      <c r="AE7" s="6"/>
    </row>
    <row r="8" spans="1:31" x14ac:dyDescent="0.25">
      <c r="A8" s="28">
        <v>2022</v>
      </c>
      <c r="B8" s="28" t="s">
        <v>40</v>
      </c>
      <c r="C8" s="28">
        <v>2284.5</v>
      </c>
      <c r="D8" s="28">
        <v>2322.3000000000002</v>
      </c>
      <c r="E8" s="28">
        <v>2297.3000000000002</v>
      </c>
      <c r="F8" s="33">
        <f t="shared" si="1"/>
        <v>0.7190144241308295</v>
      </c>
      <c r="G8" s="34"/>
      <c r="H8" s="6"/>
      <c r="I8" s="28" t="s">
        <v>74</v>
      </c>
      <c r="J8" s="33">
        <v>0.7190144241308295</v>
      </c>
      <c r="K8" s="6"/>
      <c r="L8" s="6"/>
      <c r="M8" s="28" t="s">
        <v>7</v>
      </c>
      <c r="N8" s="28">
        <v>200.9</v>
      </c>
      <c r="O8" s="28">
        <v>170</v>
      </c>
      <c r="P8" s="33">
        <f t="shared" si="0"/>
        <v>-15.380786460925835</v>
      </c>
      <c r="Q8" s="6"/>
      <c r="R8" s="28" t="s">
        <v>7</v>
      </c>
      <c r="S8" s="33">
        <v>-15.380786460925835</v>
      </c>
      <c r="T8" s="6"/>
      <c r="U8" s="6"/>
      <c r="V8" s="6"/>
      <c r="W8" s="6"/>
      <c r="X8" s="6"/>
      <c r="Y8" s="6"/>
      <c r="Z8" s="6"/>
      <c r="AA8" s="6"/>
      <c r="AB8" s="6"/>
      <c r="AC8" s="6"/>
      <c r="AD8" s="6"/>
      <c r="AE8" s="6"/>
    </row>
    <row r="9" spans="1:31" x14ac:dyDescent="0.25">
      <c r="A9" s="28">
        <v>2022</v>
      </c>
      <c r="B9" s="28" t="s">
        <v>42</v>
      </c>
      <c r="C9" s="28">
        <v>2287.6999999999998</v>
      </c>
      <c r="D9" s="28">
        <v>2314.4</v>
      </c>
      <c r="E9" s="28">
        <v>2296.8000000000002</v>
      </c>
      <c r="F9" s="33">
        <f t="shared" si="1"/>
        <v>-2.1764680276846731E-2</v>
      </c>
      <c r="G9" s="34"/>
      <c r="H9" s="6"/>
      <c r="I9" s="28" t="s">
        <v>75</v>
      </c>
      <c r="J9" s="33">
        <v>-2.1764680276846731E-2</v>
      </c>
      <c r="K9" s="6"/>
      <c r="L9" s="6"/>
      <c r="M9" s="28" t="s">
        <v>8</v>
      </c>
      <c r="N9" s="28">
        <v>169.7</v>
      </c>
      <c r="O9" s="28">
        <v>172.2</v>
      </c>
      <c r="P9" s="33">
        <f t="shared" si="0"/>
        <v>1.4731879787860933</v>
      </c>
      <c r="Q9" s="6"/>
      <c r="R9" s="28" t="s">
        <v>8</v>
      </c>
      <c r="S9" s="33">
        <v>1.4731879787860933</v>
      </c>
      <c r="T9" s="6"/>
      <c r="U9" s="6"/>
      <c r="V9" s="6"/>
      <c r="W9" s="6"/>
      <c r="X9" s="6"/>
      <c r="Y9" s="6"/>
      <c r="Z9" s="6"/>
      <c r="AA9" s="6"/>
      <c r="AB9" s="6"/>
      <c r="AC9" s="6"/>
      <c r="AD9" s="6"/>
      <c r="AE9" s="6"/>
    </row>
    <row r="10" spans="1:31" x14ac:dyDescent="0.25">
      <c r="A10" s="28">
        <v>2022</v>
      </c>
      <c r="B10" s="28" t="s">
        <v>43</v>
      </c>
      <c r="C10" s="28">
        <v>2277.1</v>
      </c>
      <c r="D10" s="28">
        <v>2295.7999999999997</v>
      </c>
      <c r="E10" s="28">
        <v>2283.4</v>
      </c>
      <c r="F10" s="33">
        <f t="shared" si="1"/>
        <v>-0.58342041100662179</v>
      </c>
      <c r="G10" s="34"/>
      <c r="H10" s="6"/>
      <c r="I10" s="28" t="s">
        <v>76</v>
      </c>
      <c r="J10" s="33">
        <v>-0.58342041100662179</v>
      </c>
      <c r="K10" s="6"/>
      <c r="L10" s="6"/>
      <c r="M10" s="28" t="s">
        <v>9</v>
      </c>
      <c r="N10" s="28">
        <v>182.3</v>
      </c>
      <c r="O10" s="28">
        <v>161</v>
      </c>
      <c r="P10" s="33">
        <f t="shared" si="0"/>
        <v>-11.684037301151953</v>
      </c>
      <c r="Q10" s="6"/>
      <c r="R10" s="28" t="s">
        <v>9</v>
      </c>
      <c r="S10" s="33">
        <v>-11.684037301151953</v>
      </c>
      <c r="T10" s="6"/>
      <c r="U10" s="6"/>
      <c r="V10" s="6"/>
      <c r="W10" s="6"/>
      <c r="X10" s="6"/>
      <c r="Y10" s="6"/>
      <c r="Z10" s="6"/>
      <c r="AA10" s="6"/>
      <c r="AB10" s="6"/>
      <c r="AC10" s="6"/>
      <c r="AD10" s="6"/>
      <c r="AE10" s="6"/>
    </row>
    <row r="11" spans="1:31" x14ac:dyDescent="0.25">
      <c r="A11" s="28">
        <v>2023</v>
      </c>
      <c r="B11" s="28" t="s">
        <v>29</v>
      </c>
      <c r="C11" s="28">
        <v>2283.2000000000003</v>
      </c>
      <c r="D11" s="28">
        <v>2310.2000000000003</v>
      </c>
      <c r="E11" s="28">
        <v>2292.6999999999998</v>
      </c>
      <c r="F11" s="33">
        <f t="shared" si="1"/>
        <v>0.40728737847068963</v>
      </c>
      <c r="G11" s="34"/>
      <c r="H11" s="6"/>
      <c r="I11" s="28" t="s">
        <v>77</v>
      </c>
      <c r="J11" s="33">
        <v>0.40728737847068963</v>
      </c>
      <c r="K11" s="6"/>
      <c r="L11" s="6"/>
      <c r="M11" s="28" t="s">
        <v>10</v>
      </c>
      <c r="N11" s="28">
        <v>164.3</v>
      </c>
      <c r="O11" s="28">
        <v>175.6</v>
      </c>
      <c r="P11" s="33">
        <f t="shared" si="0"/>
        <v>6.8776628119293877</v>
      </c>
      <c r="Q11" s="6"/>
      <c r="R11" s="28" t="s">
        <v>10</v>
      </c>
      <c r="S11" s="33">
        <v>6.8776628119293877</v>
      </c>
      <c r="T11" s="6"/>
      <c r="U11" s="6"/>
      <c r="V11" s="6"/>
      <c r="W11" s="6"/>
      <c r="X11" s="6"/>
      <c r="Y11" s="6"/>
      <c r="Z11" s="6"/>
      <c r="AA11" s="6"/>
      <c r="AB11" s="6"/>
      <c r="AC11" s="6"/>
      <c r="AD11" s="6"/>
      <c r="AE11" s="6"/>
    </row>
    <row r="12" spans="1:31" x14ac:dyDescent="0.25">
      <c r="A12" s="28">
        <v>2023</v>
      </c>
      <c r="B12" s="28" t="s">
        <v>32</v>
      </c>
      <c r="C12" s="28">
        <v>2265.6999999999998</v>
      </c>
      <c r="D12" s="28">
        <v>2303.1999999999998</v>
      </c>
      <c r="E12" s="28">
        <v>2279.1</v>
      </c>
      <c r="F12" s="33">
        <f t="shared" si="1"/>
        <v>-0.59318707201116194</v>
      </c>
      <c r="G12" s="34"/>
      <c r="H12" s="6"/>
      <c r="I12" s="28" t="s">
        <v>78</v>
      </c>
      <c r="J12" s="33">
        <v>-0.59318707201116194</v>
      </c>
      <c r="K12" s="6"/>
      <c r="L12" s="6"/>
      <c r="M12" s="28" t="s">
        <v>11</v>
      </c>
      <c r="N12" s="28">
        <v>119.9</v>
      </c>
      <c r="O12" s="28">
        <v>122.7</v>
      </c>
      <c r="P12" s="33">
        <f t="shared" si="0"/>
        <v>2.3352793994995804</v>
      </c>
      <c r="Q12" s="6"/>
      <c r="R12" s="28" t="s">
        <v>11</v>
      </c>
      <c r="S12" s="33">
        <v>2.3352793994995804</v>
      </c>
      <c r="T12" s="6"/>
      <c r="U12" s="6"/>
      <c r="V12" s="6"/>
      <c r="W12" s="6"/>
      <c r="X12" s="6"/>
      <c r="Y12" s="6"/>
      <c r="Z12" s="6"/>
      <c r="AA12" s="6"/>
      <c r="AB12" s="6"/>
      <c r="AC12" s="6"/>
      <c r="AD12" s="6"/>
      <c r="AE12" s="6"/>
    </row>
    <row r="13" spans="1:31" x14ac:dyDescent="0.25">
      <c r="A13" s="28">
        <v>2023</v>
      </c>
      <c r="B13" s="28" t="s">
        <v>33</v>
      </c>
      <c r="C13" s="28">
        <v>2265.8000000000002</v>
      </c>
      <c r="D13" s="28">
        <v>2303.4</v>
      </c>
      <c r="E13" s="28">
        <v>2279.1999999999998</v>
      </c>
      <c r="F13" s="33">
        <f t="shared" si="1"/>
        <v>4.3876968978943031E-3</v>
      </c>
      <c r="G13" s="34"/>
      <c r="H13" s="6"/>
      <c r="I13" s="28" t="s">
        <v>79</v>
      </c>
      <c r="J13" s="33">
        <v>4.3876968978943031E-3</v>
      </c>
      <c r="K13" s="6"/>
      <c r="L13" s="6"/>
      <c r="M13" s="28" t="s">
        <v>12</v>
      </c>
      <c r="N13" s="28">
        <v>187.1</v>
      </c>
      <c r="O13" s="28">
        <v>218</v>
      </c>
      <c r="P13" s="33">
        <f t="shared" si="0"/>
        <v>16.515232495991452</v>
      </c>
      <c r="Q13" s="6"/>
      <c r="R13" s="28" t="s">
        <v>12</v>
      </c>
      <c r="S13" s="33">
        <v>16.515232495991452</v>
      </c>
      <c r="T13" s="6"/>
      <c r="U13" s="6"/>
      <c r="V13" s="6"/>
      <c r="W13" s="6"/>
      <c r="X13" s="6"/>
      <c r="Y13" s="6"/>
      <c r="Z13" s="6"/>
      <c r="AA13" s="6"/>
      <c r="AB13" s="6"/>
      <c r="AC13" s="6"/>
      <c r="AD13" s="6"/>
      <c r="AE13" s="6"/>
    </row>
    <row r="14" spans="1:31" x14ac:dyDescent="0.25">
      <c r="A14" s="28">
        <v>2023</v>
      </c>
      <c r="B14" s="28" t="s">
        <v>34</v>
      </c>
      <c r="C14" s="28">
        <v>2274.1999999999998</v>
      </c>
      <c r="D14" s="28">
        <v>2317.7000000000003</v>
      </c>
      <c r="E14" s="28">
        <v>2289.6000000000004</v>
      </c>
      <c r="F14" s="33">
        <f t="shared" si="1"/>
        <v>0.45630045630048033</v>
      </c>
      <c r="G14" s="34"/>
      <c r="H14" s="6"/>
      <c r="I14" s="28" t="s">
        <v>80</v>
      </c>
      <c r="J14" s="33">
        <v>0.45630045630048033</v>
      </c>
      <c r="K14" s="6"/>
      <c r="L14" s="6"/>
      <c r="M14" s="28" t="s">
        <v>13</v>
      </c>
      <c r="N14" s="28">
        <v>167.9</v>
      </c>
      <c r="O14" s="28">
        <v>173.4</v>
      </c>
      <c r="P14" s="33">
        <f t="shared" si="0"/>
        <v>3.2757593805836809</v>
      </c>
      <c r="Q14" s="6"/>
      <c r="R14" s="28" t="s">
        <v>13</v>
      </c>
      <c r="S14" s="33">
        <v>3.2757593805836809</v>
      </c>
      <c r="T14" s="6"/>
      <c r="U14" s="6"/>
      <c r="V14" s="6"/>
      <c r="W14" s="6"/>
      <c r="X14" s="6"/>
      <c r="Y14" s="6"/>
      <c r="Z14" s="6"/>
      <c r="AA14" s="6"/>
      <c r="AB14" s="6"/>
      <c r="AC14" s="6"/>
      <c r="AD14" s="6"/>
      <c r="AE14" s="6"/>
    </row>
    <row r="15" spans="1:31" x14ac:dyDescent="0.25">
      <c r="A15" s="28">
        <v>2023</v>
      </c>
      <c r="B15" s="28" t="s">
        <v>35</v>
      </c>
      <c r="C15" s="28">
        <v>2290.7000000000007</v>
      </c>
      <c r="D15" s="28">
        <v>2335.1</v>
      </c>
      <c r="E15" s="28">
        <v>2306.9</v>
      </c>
      <c r="F15" s="33">
        <f t="shared" si="1"/>
        <v>0.75559049615652185</v>
      </c>
      <c r="G15" s="34"/>
      <c r="H15" s="6"/>
      <c r="I15" s="28" t="s">
        <v>81</v>
      </c>
      <c r="J15" s="33">
        <v>0.75559049615652185</v>
      </c>
      <c r="K15" s="6"/>
      <c r="L15" s="6"/>
      <c r="M15" s="28" t="s">
        <v>46</v>
      </c>
      <c r="N15" s="28">
        <v>183.9</v>
      </c>
      <c r="O15" s="28">
        <v>194.2</v>
      </c>
      <c r="P15" s="33">
        <f t="shared" si="0"/>
        <v>5.6008700380641558</v>
      </c>
      <c r="Q15" s="6"/>
      <c r="R15" s="28" t="s">
        <v>46</v>
      </c>
      <c r="S15" s="33">
        <v>5.6008700380641558</v>
      </c>
      <c r="T15" s="6"/>
      <c r="U15" s="6"/>
      <c r="V15" s="6"/>
      <c r="W15" s="6"/>
      <c r="X15" s="6"/>
      <c r="Y15" s="6"/>
      <c r="Z15" s="6"/>
      <c r="AA15" s="6"/>
      <c r="AB15" s="6"/>
      <c r="AC15" s="6"/>
      <c r="AD15" s="6"/>
      <c r="AE15" s="6"/>
    </row>
    <row r="16" spans="1:31" x14ac:dyDescent="0.25">
      <c r="A16" s="6"/>
      <c r="B16" s="6"/>
      <c r="C16" s="6"/>
      <c r="D16" s="6"/>
      <c r="E16" s="6"/>
      <c r="F16" s="6"/>
      <c r="G16" s="6"/>
      <c r="H16" s="6"/>
      <c r="I16" s="6"/>
      <c r="J16" s="6"/>
      <c r="K16" s="6"/>
      <c r="L16" s="6"/>
      <c r="M16" s="28" t="s">
        <v>14</v>
      </c>
      <c r="N16" s="28">
        <v>174.9</v>
      </c>
      <c r="O16" s="28">
        <v>179.1</v>
      </c>
      <c r="P16" s="33">
        <f t="shared" si="0"/>
        <v>2.4013722126929609</v>
      </c>
      <c r="Q16" s="6"/>
      <c r="R16" s="28" t="s">
        <v>14</v>
      </c>
      <c r="S16" s="33">
        <v>2.4013722126929609</v>
      </c>
      <c r="T16" s="6"/>
      <c r="U16" s="6"/>
      <c r="V16" s="6"/>
      <c r="W16" s="6"/>
      <c r="X16" s="6"/>
      <c r="Y16" s="6"/>
      <c r="Z16" s="6"/>
      <c r="AA16" s="6"/>
      <c r="AB16" s="6"/>
      <c r="AC16" s="6"/>
      <c r="AD16" s="6"/>
      <c r="AE16" s="6"/>
    </row>
    <row r="17" spans="1:3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row>
    <row r="19" spans="1:3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row>
    <row r="21" spans="1:31"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spans="1:31"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spans="1:3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1:31"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spans="1:31"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spans="1:31"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spans="1:3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spans="1:31"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spans="1:31"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spans="1:3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spans="1:3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spans="1:31"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spans="1:31"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spans="1:31"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spans="1:31"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spans="1:31"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spans="1:31"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spans="1:31"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spans="1:31"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spans="1:31"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spans="1:31"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spans="1:3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spans="1:31"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spans="1:3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spans="1:31"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spans="1:31"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spans="1:31"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spans="1:3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spans="1:31"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spans="1:3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spans="1:31"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spans="1:31"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spans="1:31"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spans="1:3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spans="1:3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spans="1:31"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spans="1:3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spans="1:3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spans="1:3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spans="1:3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spans="1:3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spans="1:3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spans="1:3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spans="1:3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spans="1:3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sheetData>
  <sheetProtection algorithmName="SHA-512" hashValue="ntBE+5VazSN57dCSG0hqnlt0kJtIbBlkZxXQmN1OO9x2F/CYj1xb3wB5w8xXkyhFMkz65DMvV68vYyhFanYHeg==" saltValue="h5tX1/cQyCWDmU+sS255+Q==" spinCount="100000" sheet="1" objects="1" scenarios="1"/>
  <conditionalFormatting sqref="F5:F15">
    <cfRule type="colorScale" priority="2">
      <colorScale>
        <cfvo type="min"/>
        <cfvo type="percentile" val="50"/>
        <cfvo type="max"/>
        <color rgb="FFF8696B"/>
        <color rgb="FFFFEB84"/>
        <color rgb="FF63BE7B"/>
      </colorScale>
    </cfRule>
  </conditionalFormatting>
  <conditionalFormatting sqref="J5:J15">
    <cfRule type="colorScale" priority="3">
      <colorScale>
        <cfvo type="min"/>
        <cfvo type="percentile" val="50"/>
        <cfvo type="max"/>
        <color rgb="FFF8696B"/>
        <color rgb="FFFFEB84"/>
        <color rgb="FF63BE7B"/>
      </colorScale>
    </cfRule>
  </conditionalFormatting>
  <conditionalFormatting sqref="P4:P16">
    <cfRule type="colorScale" priority="4">
      <colorScale>
        <cfvo type="min"/>
        <cfvo type="percentile" val="50"/>
        <cfvo type="max"/>
        <color rgb="FFF8696B"/>
        <color rgb="FFFFEB84"/>
        <color rgb="FF63BE7B"/>
      </colorScale>
    </cfRule>
  </conditionalFormatting>
  <conditionalFormatting sqref="S4:S16">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B5B7-9808-4BC9-8BFC-F2CD9070E777}">
  <dimension ref="A1:AB64"/>
  <sheetViews>
    <sheetView topLeftCell="A36" zoomScale="85" zoomScaleNormal="85" workbookViewId="0">
      <selection activeCell="F16" sqref="F16"/>
    </sheetView>
  </sheetViews>
  <sheetFormatPr defaultRowHeight="15" x14ac:dyDescent="0.25"/>
  <cols>
    <col min="1" max="1" width="17.42578125" bestFit="1" customWidth="1"/>
    <col min="2" max="2" width="31.140625" bestFit="1" customWidth="1"/>
    <col min="3" max="4" width="10.42578125" bestFit="1" customWidth="1"/>
    <col min="8" max="8" width="17.42578125" bestFit="1" customWidth="1"/>
    <col min="9" max="9" width="31.140625" bestFit="1" customWidth="1"/>
    <col min="10" max="11" width="10.42578125" bestFit="1" customWidth="1"/>
  </cols>
  <sheetData>
    <row r="1" spans="1:28" ht="24" x14ac:dyDescent="0.4">
      <c r="A1" s="6"/>
      <c r="B1" s="52" t="s">
        <v>94</v>
      </c>
      <c r="C1" s="52"/>
      <c r="D1" s="52"/>
      <c r="E1" s="52"/>
      <c r="F1" s="52"/>
      <c r="G1" s="52"/>
      <c r="H1" s="52"/>
      <c r="I1" s="52"/>
      <c r="J1" s="6"/>
      <c r="K1" s="6"/>
      <c r="L1" s="6"/>
      <c r="M1" s="6"/>
      <c r="N1" s="6"/>
      <c r="O1" s="6"/>
      <c r="P1" s="6"/>
      <c r="Q1" s="6"/>
      <c r="R1" s="6"/>
      <c r="S1" s="6"/>
      <c r="T1" s="6"/>
      <c r="U1" s="6"/>
      <c r="V1" s="6"/>
      <c r="W1" s="6"/>
      <c r="X1" s="6"/>
      <c r="Y1" s="6"/>
      <c r="Z1" s="6"/>
      <c r="AA1" s="6"/>
      <c r="AB1" s="6"/>
    </row>
    <row r="2" spans="1:28" x14ac:dyDescent="0.25">
      <c r="A2" s="6"/>
      <c r="B2" s="6"/>
      <c r="C2" s="6"/>
      <c r="D2" s="6"/>
      <c r="E2" s="6"/>
      <c r="F2" s="6"/>
      <c r="G2" s="6"/>
      <c r="H2" s="6"/>
      <c r="I2" s="6"/>
      <c r="J2" s="6"/>
      <c r="K2" s="6"/>
      <c r="L2" s="6"/>
      <c r="M2" s="6"/>
      <c r="N2" s="6"/>
      <c r="O2" s="6"/>
      <c r="P2" s="6"/>
      <c r="Q2" s="6"/>
      <c r="R2" s="6"/>
      <c r="S2" s="6"/>
      <c r="T2" s="6"/>
      <c r="U2" s="6"/>
      <c r="V2" s="6"/>
      <c r="W2" s="6"/>
      <c r="X2" s="6"/>
      <c r="Y2" s="6"/>
      <c r="Z2" s="6"/>
      <c r="AA2" s="6"/>
      <c r="AB2" s="6"/>
    </row>
    <row r="3" spans="1:28" ht="18.75" x14ac:dyDescent="0.3">
      <c r="A3" s="36"/>
      <c r="B3" s="37" t="s">
        <v>82</v>
      </c>
      <c r="C3" s="36"/>
      <c r="D3" s="36"/>
      <c r="E3" s="36"/>
      <c r="F3" s="6"/>
      <c r="G3" s="6"/>
      <c r="H3" s="38"/>
      <c r="I3" s="37" t="s">
        <v>83</v>
      </c>
      <c r="J3" s="38"/>
      <c r="K3" s="38"/>
      <c r="L3" s="38"/>
      <c r="M3" s="6"/>
      <c r="N3" s="6"/>
      <c r="O3" s="6"/>
      <c r="P3" s="6"/>
      <c r="Q3" s="6"/>
      <c r="R3" s="6"/>
      <c r="S3" s="6"/>
      <c r="T3" s="6"/>
      <c r="U3" s="6"/>
      <c r="V3" s="6"/>
      <c r="W3" s="6"/>
      <c r="X3" s="6"/>
      <c r="Y3" s="6"/>
      <c r="Z3" s="6"/>
    </row>
    <row r="4" spans="1:28" x14ac:dyDescent="0.25">
      <c r="A4" s="39" t="s">
        <v>84</v>
      </c>
      <c r="B4" s="39" t="s">
        <v>85</v>
      </c>
      <c r="C4" s="40">
        <v>43525</v>
      </c>
      <c r="D4" s="40">
        <v>43862</v>
      </c>
      <c r="E4" s="40" t="s">
        <v>68</v>
      </c>
      <c r="F4" s="6"/>
      <c r="G4" s="6"/>
      <c r="H4" s="39" t="s">
        <v>84</v>
      </c>
      <c r="I4" s="39" t="s">
        <v>85</v>
      </c>
      <c r="J4" s="40">
        <v>43891</v>
      </c>
      <c r="K4" s="40">
        <v>44228</v>
      </c>
      <c r="L4" s="40" t="s">
        <v>68</v>
      </c>
      <c r="M4" s="6"/>
      <c r="N4" s="6"/>
      <c r="O4" s="6"/>
      <c r="P4" s="6"/>
      <c r="Q4" s="6"/>
      <c r="R4" s="6"/>
      <c r="S4" s="6"/>
      <c r="T4" s="6"/>
      <c r="U4" s="6"/>
      <c r="V4" s="6"/>
      <c r="W4" s="6"/>
      <c r="X4" s="6"/>
      <c r="Y4" s="6"/>
      <c r="Z4" s="6"/>
    </row>
    <row r="5" spans="1:28" x14ac:dyDescent="0.25">
      <c r="A5" s="28" t="s">
        <v>86</v>
      </c>
      <c r="B5" s="28" t="s">
        <v>3</v>
      </c>
      <c r="C5" s="41">
        <v>137.80000000000001</v>
      </c>
      <c r="D5" s="41">
        <v>144.80000000000001</v>
      </c>
      <c r="E5" s="33">
        <f>(D5-C5)/C5*100</f>
        <v>5.0798258345428149</v>
      </c>
      <c r="F5" s="6"/>
      <c r="G5" s="6"/>
      <c r="H5" s="28" t="s">
        <v>86</v>
      </c>
      <c r="I5" s="28" t="s">
        <v>3</v>
      </c>
      <c r="J5" s="41">
        <v>145.1</v>
      </c>
      <c r="K5" s="41">
        <v>144.30000000000001</v>
      </c>
      <c r="L5" s="33">
        <f t="shared" ref="L5:L21" si="0">(K5-J5)/J5*100</f>
        <v>-0.55134390075808615</v>
      </c>
      <c r="M5" s="6"/>
      <c r="N5" s="6"/>
      <c r="O5" s="6"/>
      <c r="P5" s="6"/>
      <c r="Q5" s="6"/>
      <c r="R5" s="6"/>
      <c r="S5" s="6"/>
      <c r="T5" s="6"/>
      <c r="U5" s="6"/>
      <c r="V5" s="6"/>
      <c r="W5" s="6"/>
      <c r="X5" s="6"/>
      <c r="Y5" s="6"/>
      <c r="Z5" s="6"/>
    </row>
    <row r="6" spans="1:28" x14ac:dyDescent="0.25">
      <c r="A6" s="28" t="s">
        <v>86</v>
      </c>
      <c r="B6" s="28" t="s">
        <v>4</v>
      </c>
      <c r="C6" s="41">
        <v>153</v>
      </c>
      <c r="D6" s="41">
        <v>167.5</v>
      </c>
      <c r="E6" s="33">
        <f t="shared" ref="E6:E21" si="1">(D6-C6)/C6*100</f>
        <v>9.477124183006536</v>
      </c>
      <c r="F6" s="6"/>
      <c r="G6" s="6"/>
      <c r="H6" s="28" t="s">
        <v>86</v>
      </c>
      <c r="I6" s="28" t="s">
        <v>4</v>
      </c>
      <c r="J6" s="41">
        <v>167</v>
      </c>
      <c r="K6" s="41">
        <v>186.5</v>
      </c>
      <c r="L6" s="33">
        <f t="shared" si="0"/>
        <v>11.676646706586826</v>
      </c>
      <c r="M6" s="6"/>
      <c r="N6" s="6"/>
      <c r="O6" s="6"/>
      <c r="P6" s="6"/>
      <c r="Q6" s="6"/>
      <c r="R6" s="6"/>
      <c r="S6" s="6"/>
      <c r="T6" s="6"/>
      <c r="U6" s="6"/>
      <c r="V6" s="6"/>
      <c r="W6" s="6"/>
      <c r="X6" s="6"/>
      <c r="Y6" s="6"/>
      <c r="Z6" s="6"/>
    </row>
    <row r="7" spans="1:28" x14ac:dyDescent="0.25">
      <c r="A7" s="28" t="s">
        <v>86</v>
      </c>
      <c r="B7" s="28" t="s">
        <v>5</v>
      </c>
      <c r="C7" s="41">
        <v>140.30000000000001</v>
      </c>
      <c r="D7" s="41">
        <v>151.80000000000001</v>
      </c>
      <c r="E7" s="33">
        <f t="shared" si="1"/>
        <v>8.1967213114754092</v>
      </c>
      <c r="F7" s="6"/>
      <c r="G7" s="6"/>
      <c r="H7" s="28" t="s">
        <v>86</v>
      </c>
      <c r="I7" s="28" t="s">
        <v>5</v>
      </c>
      <c r="J7" s="41">
        <v>148.1</v>
      </c>
      <c r="K7" s="41">
        <v>168.7</v>
      </c>
      <c r="L7" s="33">
        <f t="shared" si="0"/>
        <v>13.909520594193109</v>
      </c>
      <c r="M7" s="6"/>
      <c r="N7" s="6"/>
      <c r="O7" s="6"/>
      <c r="P7" s="6"/>
      <c r="Q7" s="6"/>
      <c r="R7" s="6"/>
      <c r="S7" s="6"/>
      <c r="T7" s="6"/>
      <c r="U7" s="6"/>
      <c r="V7" s="6"/>
      <c r="W7" s="6"/>
      <c r="X7" s="6"/>
      <c r="Y7" s="6"/>
      <c r="Z7" s="6"/>
    </row>
    <row r="8" spans="1:28" x14ac:dyDescent="0.25">
      <c r="A8" s="28" t="s">
        <v>86</v>
      </c>
      <c r="B8" s="28" t="s">
        <v>6</v>
      </c>
      <c r="C8" s="41">
        <v>142.30000000000001</v>
      </c>
      <c r="D8" s="41">
        <v>150.80000000000001</v>
      </c>
      <c r="E8" s="33">
        <f t="shared" si="1"/>
        <v>5.9732958538299368</v>
      </c>
      <c r="F8" s="6"/>
      <c r="G8" s="6"/>
      <c r="H8" s="28" t="s">
        <v>86</v>
      </c>
      <c r="I8" s="28" t="s">
        <v>6</v>
      </c>
      <c r="J8" s="41">
        <v>151.5</v>
      </c>
      <c r="K8" s="41">
        <v>154.69999999999999</v>
      </c>
      <c r="L8" s="33">
        <f t="shared" si="0"/>
        <v>2.1122112211221045</v>
      </c>
      <c r="M8" s="6"/>
      <c r="N8" s="6"/>
      <c r="O8" s="6"/>
      <c r="P8" s="6"/>
      <c r="Q8" s="6"/>
      <c r="R8" s="6"/>
      <c r="S8" s="6"/>
      <c r="T8" s="6"/>
      <c r="U8" s="6"/>
      <c r="V8" s="6"/>
      <c r="W8" s="6"/>
      <c r="X8" s="6"/>
      <c r="Y8" s="6"/>
      <c r="Z8" s="6"/>
    </row>
    <row r="9" spans="1:28" x14ac:dyDescent="0.25">
      <c r="A9" s="28" t="s">
        <v>86</v>
      </c>
      <c r="B9" s="28" t="s">
        <v>7</v>
      </c>
      <c r="C9" s="41">
        <v>122</v>
      </c>
      <c r="D9" s="41">
        <v>131.4</v>
      </c>
      <c r="E9" s="33">
        <f t="shared" si="1"/>
        <v>7.7049180327868889</v>
      </c>
      <c r="F9" s="6"/>
      <c r="G9" s="6"/>
      <c r="H9" s="28" t="s">
        <v>86</v>
      </c>
      <c r="I9" s="28" t="s">
        <v>7</v>
      </c>
      <c r="J9" s="41">
        <v>131.19999999999999</v>
      </c>
      <c r="K9" s="41">
        <v>158.69999999999999</v>
      </c>
      <c r="L9" s="33">
        <f t="shared" si="0"/>
        <v>20.960365853658537</v>
      </c>
      <c r="M9" s="6"/>
      <c r="N9" s="6"/>
      <c r="O9" s="6"/>
      <c r="P9" s="6"/>
      <c r="Q9" s="6"/>
      <c r="R9" s="6"/>
      <c r="S9" s="6"/>
      <c r="T9" s="6"/>
      <c r="U9" s="6"/>
      <c r="V9" s="6"/>
      <c r="W9" s="6"/>
      <c r="X9" s="6"/>
      <c r="Y9" s="6"/>
      <c r="Z9" s="6"/>
    </row>
    <row r="10" spans="1:28" x14ac:dyDescent="0.25">
      <c r="A10" s="28" t="s">
        <v>86</v>
      </c>
      <c r="B10" s="28" t="s">
        <v>8</v>
      </c>
      <c r="C10" s="41">
        <v>137.6</v>
      </c>
      <c r="D10" s="41">
        <v>141.80000000000001</v>
      </c>
      <c r="E10" s="33">
        <f t="shared" si="1"/>
        <v>3.0523255813953614</v>
      </c>
      <c r="F10" s="6"/>
      <c r="G10" s="6"/>
      <c r="H10" s="28" t="s">
        <v>86</v>
      </c>
      <c r="I10" s="28" t="s">
        <v>8</v>
      </c>
      <c r="J10" s="41">
        <v>142.5</v>
      </c>
      <c r="K10" s="41">
        <v>150.69999999999999</v>
      </c>
      <c r="L10" s="33">
        <f t="shared" si="0"/>
        <v>5.7543859649122728</v>
      </c>
      <c r="M10" s="6"/>
      <c r="N10" s="6"/>
      <c r="O10" s="6"/>
      <c r="P10" s="6"/>
      <c r="Q10" s="6"/>
      <c r="R10" s="6"/>
      <c r="S10" s="6"/>
      <c r="T10" s="6"/>
      <c r="U10" s="6"/>
      <c r="V10" s="6"/>
      <c r="W10" s="6"/>
      <c r="X10" s="6"/>
      <c r="Y10" s="6"/>
      <c r="Z10" s="6"/>
    </row>
    <row r="11" spans="1:28" x14ac:dyDescent="0.25">
      <c r="A11" s="28" t="s">
        <v>86</v>
      </c>
      <c r="B11" s="28" t="s">
        <v>9</v>
      </c>
      <c r="C11" s="41">
        <v>132.6</v>
      </c>
      <c r="D11" s="41">
        <v>170.7</v>
      </c>
      <c r="E11" s="33">
        <f t="shared" si="1"/>
        <v>28.733031674208142</v>
      </c>
      <c r="F11" s="6"/>
      <c r="G11" s="6"/>
      <c r="H11" s="28" t="s">
        <v>86</v>
      </c>
      <c r="I11" s="28" t="s">
        <v>9</v>
      </c>
      <c r="J11" s="41">
        <v>157.30000000000001</v>
      </c>
      <c r="K11" s="41">
        <v>160</v>
      </c>
      <c r="L11" s="33">
        <f t="shared" si="0"/>
        <v>1.7164653528289819</v>
      </c>
      <c r="M11" s="6"/>
      <c r="N11" s="6"/>
      <c r="O11" s="6"/>
      <c r="P11" s="6"/>
      <c r="Q11" s="6"/>
      <c r="R11" s="6"/>
      <c r="S11" s="6"/>
      <c r="T11" s="6"/>
      <c r="U11" s="6"/>
      <c r="V11" s="6"/>
      <c r="W11" s="6"/>
      <c r="X11" s="6"/>
      <c r="Y11" s="6"/>
      <c r="Z11" s="6"/>
    </row>
    <row r="12" spans="1:28" x14ac:dyDescent="0.25">
      <c r="A12" s="28" t="s">
        <v>86</v>
      </c>
      <c r="B12" s="28" t="s">
        <v>10</v>
      </c>
      <c r="C12" s="41">
        <v>121.8</v>
      </c>
      <c r="D12" s="41">
        <v>141.1</v>
      </c>
      <c r="E12" s="33">
        <f t="shared" si="1"/>
        <v>15.845648604269291</v>
      </c>
      <c r="F12" s="6"/>
      <c r="G12" s="6"/>
      <c r="H12" s="28" t="s">
        <v>86</v>
      </c>
      <c r="I12" s="28" t="s">
        <v>10</v>
      </c>
      <c r="J12" s="41">
        <v>141.1</v>
      </c>
      <c r="K12" s="41">
        <v>158.80000000000001</v>
      </c>
      <c r="L12" s="33">
        <f t="shared" si="0"/>
        <v>12.544294826364293</v>
      </c>
      <c r="M12" s="6"/>
      <c r="N12" s="6"/>
      <c r="O12" s="6"/>
      <c r="P12" s="6"/>
      <c r="Q12" s="6"/>
      <c r="R12" s="6"/>
      <c r="S12" s="6"/>
      <c r="T12" s="6"/>
      <c r="U12" s="6"/>
      <c r="V12" s="6"/>
      <c r="W12" s="6"/>
      <c r="X12" s="6"/>
      <c r="Y12" s="6"/>
      <c r="Z12" s="6"/>
    </row>
    <row r="13" spans="1:28" x14ac:dyDescent="0.25">
      <c r="A13" s="28" t="s">
        <v>86</v>
      </c>
      <c r="B13" s="28" t="s">
        <v>11</v>
      </c>
      <c r="C13" s="41">
        <v>109</v>
      </c>
      <c r="D13" s="41">
        <v>113.6</v>
      </c>
      <c r="E13" s="33">
        <f t="shared" si="1"/>
        <v>4.2201834862385272</v>
      </c>
      <c r="F13" s="6"/>
      <c r="G13" s="6"/>
      <c r="H13" s="28" t="s">
        <v>86</v>
      </c>
      <c r="I13" s="28" t="s">
        <v>11</v>
      </c>
      <c r="J13" s="41">
        <v>113.2</v>
      </c>
      <c r="K13" s="41">
        <v>112.8</v>
      </c>
      <c r="L13" s="33">
        <f t="shared" si="0"/>
        <v>-0.35335689045936897</v>
      </c>
      <c r="M13" s="6"/>
      <c r="N13" s="6"/>
      <c r="O13" s="6"/>
      <c r="P13" s="6"/>
      <c r="Q13" s="6"/>
      <c r="R13" s="6"/>
      <c r="S13" s="6"/>
      <c r="T13" s="6"/>
      <c r="U13" s="6"/>
      <c r="V13" s="6"/>
      <c r="W13" s="6"/>
      <c r="X13" s="6"/>
      <c r="Y13" s="6"/>
      <c r="Z13" s="6"/>
    </row>
    <row r="14" spans="1:28" x14ac:dyDescent="0.25">
      <c r="A14" s="28" t="s">
        <v>86</v>
      </c>
      <c r="B14" s="28" t="s">
        <v>12</v>
      </c>
      <c r="C14" s="41">
        <v>139.5</v>
      </c>
      <c r="D14" s="41">
        <v>152</v>
      </c>
      <c r="E14" s="33">
        <f t="shared" si="1"/>
        <v>8.9605734767025087</v>
      </c>
      <c r="F14" s="6"/>
      <c r="G14" s="6"/>
      <c r="H14" s="28" t="s">
        <v>86</v>
      </c>
      <c r="I14" s="28" t="s">
        <v>12</v>
      </c>
      <c r="J14" s="41">
        <v>153.19999999999999</v>
      </c>
      <c r="K14" s="41">
        <v>164.2</v>
      </c>
      <c r="L14" s="33">
        <f t="shared" si="0"/>
        <v>7.1801566579634475</v>
      </c>
      <c r="M14" s="6"/>
      <c r="N14" s="6"/>
      <c r="O14" s="6"/>
      <c r="P14" s="6"/>
      <c r="Q14" s="6"/>
      <c r="R14" s="6"/>
      <c r="S14" s="6"/>
      <c r="T14" s="6"/>
      <c r="U14" s="6"/>
      <c r="V14" s="6"/>
      <c r="W14" s="6"/>
      <c r="X14" s="6"/>
      <c r="Y14" s="6"/>
      <c r="Z14" s="6"/>
    </row>
    <row r="15" spans="1:28" x14ac:dyDescent="0.25">
      <c r="A15" s="28" t="s">
        <v>86</v>
      </c>
      <c r="B15" s="28" t="s">
        <v>13</v>
      </c>
      <c r="C15" s="41">
        <v>133.69999999999999</v>
      </c>
      <c r="D15" s="41">
        <v>136.5</v>
      </c>
      <c r="E15" s="33">
        <f t="shared" si="1"/>
        <v>2.0942408376963439</v>
      </c>
      <c r="F15" s="6"/>
      <c r="G15" s="6"/>
      <c r="H15" s="28" t="s">
        <v>86</v>
      </c>
      <c r="I15" s="28" t="s">
        <v>13</v>
      </c>
      <c r="J15" s="41">
        <v>136.69999999999999</v>
      </c>
      <c r="K15" s="41">
        <v>155.5</v>
      </c>
      <c r="L15" s="33">
        <f t="shared" si="0"/>
        <v>13.752743233357728</v>
      </c>
      <c r="M15" s="6"/>
      <c r="N15" s="6"/>
      <c r="O15" s="6"/>
      <c r="P15" s="6"/>
      <c r="Q15" s="6"/>
      <c r="R15" s="6"/>
      <c r="S15" s="6"/>
      <c r="T15" s="6"/>
      <c r="U15" s="6"/>
      <c r="V15" s="6"/>
      <c r="W15" s="6"/>
      <c r="X15" s="6"/>
      <c r="Y15" s="6"/>
      <c r="Z15" s="6"/>
    </row>
    <row r="16" spans="1:28" x14ac:dyDescent="0.25">
      <c r="A16" s="28" t="s">
        <v>86</v>
      </c>
      <c r="B16" s="28" t="s">
        <v>46</v>
      </c>
      <c r="C16" s="41">
        <v>155.19999999999999</v>
      </c>
      <c r="D16" s="41">
        <v>159.1</v>
      </c>
      <c r="E16" s="33">
        <f t="shared" si="1"/>
        <v>2.5128865979381483</v>
      </c>
      <c r="F16" s="6"/>
      <c r="G16" s="6"/>
      <c r="H16" s="28" t="s">
        <v>86</v>
      </c>
      <c r="I16" s="28" t="s">
        <v>46</v>
      </c>
      <c r="J16" s="41">
        <v>159.6</v>
      </c>
      <c r="K16" s="41">
        <v>167.5</v>
      </c>
      <c r="L16" s="33">
        <f t="shared" si="0"/>
        <v>4.9498746867167958</v>
      </c>
      <c r="M16" s="6"/>
      <c r="N16" s="6"/>
      <c r="O16" s="6"/>
      <c r="P16" s="6"/>
      <c r="Q16" s="6"/>
      <c r="R16" s="6"/>
      <c r="S16" s="6"/>
      <c r="T16" s="6"/>
      <c r="U16" s="6"/>
      <c r="V16" s="6"/>
      <c r="W16" s="6"/>
      <c r="X16" s="6"/>
      <c r="Y16" s="6"/>
      <c r="Z16" s="6"/>
    </row>
    <row r="17" spans="1:26" x14ac:dyDescent="0.25">
      <c r="A17" s="28" t="s">
        <v>86</v>
      </c>
      <c r="B17" s="28" t="s">
        <v>14</v>
      </c>
      <c r="C17" s="41">
        <v>138.1</v>
      </c>
      <c r="D17" s="41">
        <v>150.5</v>
      </c>
      <c r="E17" s="33">
        <f t="shared" si="1"/>
        <v>8.9790007241129661</v>
      </c>
      <c r="F17" s="6"/>
      <c r="G17" s="6"/>
      <c r="H17" s="28" t="s">
        <v>86</v>
      </c>
      <c r="I17" s="28" t="s">
        <v>14</v>
      </c>
      <c r="J17" s="41">
        <v>148.9</v>
      </c>
      <c r="K17" s="41">
        <v>156.9</v>
      </c>
      <c r="L17" s="33">
        <f t="shared" si="0"/>
        <v>5.3727333781061111</v>
      </c>
      <c r="M17" s="6"/>
      <c r="N17" s="6"/>
      <c r="O17" s="6"/>
      <c r="P17" s="6"/>
      <c r="Q17" s="6"/>
      <c r="R17" s="6"/>
      <c r="S17" s="6"/>
      <c r="T17" s="6"/>
      <c r="U17" s="6"/>
      <c r="V17" s="6"/>
      <c r="W17" s="6"/>
      <c r="X17" s="6"/>
      <c r="Y17" s="6"/>
      <c r="Z17" s="6"/>
    </row>
    <row r="18" spans="1:26" x14ac:dyDescent="0.25">
      <c r="A18" s="28" t="s">
        <v>20</v>
      </c>
      <c r="B18" s="42" t="s">
        <v>20</v>
      </c>
      <c r="C18" s="41">
        <v>139.69999999999999</v>
      </c>
      <c r="D18" s="41">
        <v>147.19999999999999</v>
      </c>
      <c r="E18" s="33">
        <f t="shared" si="1"/>
        <v>5.3686471009305663</v>
      </c>
      <c r="F18" s="6"/>
      <c r="G18" s="6"/>
      <c r="H18" s="28" t="s">
        <v>20</v>
      </c>
      <c r="I18" s="42" t="s">
        <v>20</v>
      </c>
      <c r="J18" s="41">
        <v>148.9</v>
      </c>
      <c r="K18" s="41">
        <v>152.4</v>
      </c>
      <c r="L18" s="33">
        <f t="shared" si="0"/>
        <v>2.350570852921424</v>
      </c>
      <c r="M18" s="6"/>
      <c r="N18" s="6"/>
      <c r="O18" s="6"/>
      <c r="P18" s="6"/>
      <c r="Q18" s="6"/>
      <c r="R18" s="6"/>
      <c r="S18" s="6"/>
      <c r="T18" s="6"/>
      <c r="U18" s="6"/>
      <c r="V18" s="6"/>
      <c r="W18" s="6"/>
      <c r="X18" s="6"/>
      <c r="Y18" s="6"/>
      <c r="Z18" s="6"/>
    </row>
    <row r="19" spans="1:26" x14ac:dyDescent="0.25">
      <c r="A19" s="28" t="s">
        <v>87</v>
      </c>
      <c r="B19" s="42" t="s">
        <v>21</v>
      </c>
      <c r="C19" s="41">
        <v>143.80000000000001</v>
      </c>
      <c r="D19" s="41">
        <v>146.4</v>
      </c>
      <c r="E19" s="33">
        <f t="shared" si="1"/>
        <v>1.8080667593880348</v>
      </c>
      <c r="F19" s="6"/>
      <c r="G19" s="6"/>
      <c r="H19" s="28" t="s">
        <v>87</v>
      </c>
      <c r="I19" s="42" t="s">
        <v>21</v>
      </c>
      <c r="J19" s="41">
        <v>146.4</v>
      </c>
      <c r="K19" s="41">
        <v>150.9</v>
      </c>
      <c r="L19" s="33">
        <f t="shared" si="0"/>
        <v>3.0737704918032787</v>
      </c>
      <c r="M19" s="6"/>
      <c r="N19" s="6"/>
      <c r="O19" s="6"/>
      <c r="P19" s="6"/>
      <c r="Q19" s="6"/>
      <c r="R19" s="6"/>
      <c r="S19" s="6"/>
      <c r="T19" s="6"/>
      <c r="U19" s="6"/>
      <c r="V19" s="6"/>
      <c r="W19" s="6"/>
      <c r="X19" s="6"/>
      <c r="Y19" s="6"/>
      <c r="Z19" s="6"/>
    </row>
    <row r="20" spans="1:26" x14ac:dyDescent="0.25">
      <c r="A20" s="28" t="s">
        <v>22</v>
      </c>
      <c r="B20" s="42" t="s">
        <v>22</v>
      </c>
      <c r="C20" s="41">
        <v>146.19999999999999</v>
      </c>
      <c r="D20" s="41">
        <v>151.69999999999999</v>
      </c>
      <c r="E20" s="33">
        <f t="shared" si="1"/>
        <v>3.7619699042407659</v>
      </c>
      <c r="F20" s="6"/>
      <c r="G20" s="6"/>
      <c r="H20" s="28" t="s">
        <v>22</v>
      </c>
      <c r="I20" s="42" t="s">
        <v>22</v>
      </c>
      <c r="J20" s="41">
        <v>152.30000000000001</v>
      </c>
      <c r="K20" s="41">
        <v>161.30000000000001</v>
      </c>
      <c r="L20" s="33">
        <f t="shared" si="0"/>
        <v>5.9093893630991463</v>
      </c>
      <c r="M20" s="6"/>
      <c r="N20" s="6"/>
      <c r="O20" s="6"/>
      <c r="P20" s="6"/>
      <c r="Q20" s="6"/>
      <c r="R20" s="6"/>
      <c r="S20" s="6"/>
      <c r="T20" s="6"/>
      <c r="U20" s="6"/>
      <c r="V20" s="6"/>
      <c r="W20" s="6"/>
      <c r="X20" s="6"/>
      <c r="Y20" s="6"/>
      <c r="Z20" s="6"/>
    </row>
    <row r="21" spans="1:26" x14ac:dyDescent="0.25">
      <c r="A21" s="28" t="s">
        <v>88</v>
      </c>
      <c r="B21" s="42" t="s">
        <v>23</v>
      </c>
      <c r="C21" s="28">
        <v>124.6</v>
      </c>
      <c r="D21" s="41">
        <v>130.30000000000001</v>
      </c>
      <c r="E21" s="33">
        <f t="shared" si="1"/>
        <v>4.5746388443017798</v>
      </c>
      <c r="F21" s="6"/>
      <c r="G21" s="6"/>
      <c r="H21" s="28" t="s">
        <v>88</v>
      </c>
      <c r="I21" s="42" t="s">
        <v>23</v>
      </c>
      <c r="J21" s="41">
        <v>129.9</v>
      </c>
      <c r="K21" s="41">
        <v>145.1</v>
      </c>
      <c r="L21" s="33">
        <f t="shared" si="0"/>
        <v>11.701308698999222</v>
      </c>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8.75" x14ac:dyDescent="0.3">
      <c r="A23" s="43"/>
      <c r="B23" s="43" t="s">
        <v>89</v>
      </c>
      <c r="C23" s="6"/>
      <c r="D23" s="6"/>
      <c r="E23" s="6"/>
      <c r="F23" s="6"/>
      <c r="G23" s="6"/>
      <c r="H23" s="43"/>
      <c r="I23" s="43" t="s">
        <v>90</v>
      </c>
      <c r="J23" s="6"/>
      <c r="K23" s="6"/>
      <c r="L23" s="6"/>
      <c r="M23" s="6"/>
      <c r="N23" s="6"/>
      <c r="O23" s="6"/>
      <c r="P23" s="6"/>
      <c r="Q23" s="6"/>
      <c r="R23" s="6"/>
      <c r="S23" s="6"/>
      <c r="T23" s="6"/>
      <c r="U23" s="6"/>
      <c r="V23" s="6"/>
      <c r="W23" s="6"/>
      <c r="X23" s="6"/>
      <c r="Y23" s="6"/>
      <c r="Z23" s="6"/>
    </row>
    <row r="24" spans="1:26" x14ac:dyDescent="0.25">
      <c r="A24" s="39" t="s">
        <v>84</v>
      </c>
      <c r="B24" s="40" t="s">
        <v>68</v>
      </c>
      <c r="C24" s="6"/>
      <c r="D24" s="6"/>
      <c r="E24" s="6"/>
      <c r="F24" s="6"/>
      <c r="G24" s="6"/>
      <c r="H24" s="39" t="s">
        <v>84</v>
      </c>
      <c r="I24" s="40" t="s">
        <v>68</v>
      </c>
      <c r="J24" s="6"/>
      <c r="K24" s="6"/>
      <c r="L24" s="6"/>
      <c r="M24" s="6"/>
      <c r="N24" s="6"/>
      <c r="O24" s="6"/>
      <c r="P24" s="6"/>
      <c r="Q24" s="6"/>
      <c r="R24" s="6"/>
      <c r="S24" s="6"/>
      <c r="T24" s="6"/>
      <c r="U24" s="6"/>
      <c r="V24" s="6"/>
      <c r="W24" s="6"/>
      <c r="X24" s="6"/>
      <c r="Y24" s="6"/>
      <c r="Z24" s="6"/>
    </row>
    <row r="25" spans="1:26" x14ac:dyDescent="0.25">
      <c r="A25" s="28" t="s">
        <v>86</v>
      </c>
      <c r="B25" s="33">
        <f>AVERAGE(E5:E17)</f>
        <v>8.525367399861759</v>
      </c>
      <c r="C25" s="28" t="s">
        <v>86</v>
      </c>
      <c r="D25" s="33">
        <f>B25</f>
        <v>8.525367399861759</v>
      </c>
      <c r="E25" s="6"/>
      <c r="F25" s="6"/>
      <c r="G25" s="6"/>
      <c r="H25" s="28" t="s">
        <v>86</v>
      </c>
      <c r="I25" s="33">
        <f>AVERAGE(L5:L17)</f>
        <v>7.6172844372763668</v>
      </c>
      <c r="J25" s="28" t="s">
        <v>86</v>
      </c>
      <c r="K25" s="33">
        <f>I25</f>
        <v>7.6172844372763668</v>
      </c>
      <c r="L25" s="6"/>
      <c r="M25" s="6"/>
      <c r="N25" s="6"/>
      <c r="O25" s="6"/>
      <c r="P25" s="6"/>
      <c r="Q25" s="6"/>
      <c r="R25" s="6"/>
      <c r="S25" s="6"/>
      <c r="T25" s="6"/>
      <c r="U25" s="6"/>
      <c r="V25" s="6"/>
      <c r="W25" s="6"/>
      <c r="X25" s="6"/>
      <c r="Y25" s="6"/>
      <c r="Z25" s="6"/>
    </row>
    <row r="26" spans="1:26" x14ac:dyDescent="0.25">
      <c r="A26" s="28" t="s">
        <v>20</v>
      </c>
      <c r="B26" s="33">
        <f>E18</f>
        <v>5.3686471009305663</v>
      </c>
      <c r="C26" s="28" t="s">
        <v>22</v>
      </c>
      <c r="D26" s="33">
        <f>B28</f>
        <v>3.7619699042407659</v>
      </c>
      <c r="E26" s="6"/>
      <c r="F26" s="6"/>
      <c r="G26" s="6"/>
      <c r="H26" s="28" t="s">
        <v>20</v>
      </c>
      <c r="I26" s="33">
        <f>L18</f>
        <v>2.350570852921424</v>
      </c>
      <c r="J26" s="28" t="s">
        <v>22</v>
      </c>
      <c r="K26" s="33">
        <f>I28</f>
        <v>5.9093893630991463</v>
      </c>
      <c r="L26" s="6"/>
      <c r="M26" s="6"/>
      <c r="N26" s="6"/>
      <c r="O26" s="6"/>
      <c r="P26" s="6"/>
      <c r="Q26" s="6"/>
      <c r="R26" s="6"/>
      <c r="S26" s="6"/>
      <c r="T26" s="6"/>
      <c r="U26" s="6"/>
      <c r="V26" s="6"/>
      <c r="W26" s="6"/>
      <c r="X26" s="6"/>
      <c r="Y26" s="6"/>
      <c r="Z26" s="6"/>
    </row>
    <row r="27" spans="1:26" x14ac:dyDescent="0.25">
      <c r="A27" s="28" t="s">
        <v>87</v>
      </c>
      <c r="B27" s="33">
        <f>E19</f>
        <v>1.8080667593880348</v>
      </c>
      <c r="C27" s="28" t="s">
        <v>91</v>
      </c>
      <c r="D27" s="33">
        <f>AVERAGE(B26,B27,B29)</f>
        <v>3.9171175682067934</v>
      </c>
      <c r="E27" s="6"/>
      <c r="F27" s="6"/>
      <c r="G27" s="6"/>
      <c r="H27" s="28" t="s">
        <v>87</v>
      </c>
      <c r="I27" s="33">
        <f>L19</f>
        <v>3.0737704918032787</v>
      </c>
      <c r="J27" s="28" t="s">
        <v>91</v>
      </c>
      <c r="K27" s="33">
        <f>AVERAGE(I26,I27,I29)</f>
        <v>5.7085500145746408</v>
      </c>
      <c r="L27" s="6"/>
      <c r="M27" s="6"/>
      <c r="N27" s="6"/>
      <c r="O27" s="6"/>
      <c r="P27" s="6"/>
      <c r="Q27" s="6"/>
      <c r="R27" s="6"/>
      <c r="S27" s="6"/>
      <c r="T27" s="6"/>
      <c r="U27" s="6"/>
      <c r="V27" s="6"/>
      <c r="W27" s="6"/>
      <c r="X27" s="6"/>
      <c r="Y27" s="6"/>
      <c r="Z27" s="6"/>
    </row>
    <row r="28" spans="1:26" x14ac:dyDescent="0.25">
      <c r="A28" s="28" t="s">
        <v>22</v>
      </c>
      <c r="B28" s="33">
        <f>E20</f>
        <v>3.7619699042407659</v>
      </c>
      <c r="C28" s="6"/>
      <c r="D28" s="6"/>
      <c r="E28" s="6"/>
      <c r="F28" s="6"/>
      <c r="G28" s="6"/>
      <c r="H28" s="28" t="s">
        <v>22</v>
      </c>
      <c r="I28" s="33">
        <f>L20</f>
        <v>5.9093893630991463</v>
      </c>
      <c r="J28" s="6"/>
      <c r="K28" s="6"/>
      <c r="L28" s="6"/>
      <c r="M28" s="6"/>
      <c r="N28" s="6"/>
      <c r="O28" s="6"/>
      <c r="P28" s="6"/>
      <c r="Q28" s="6"/>
      <c r="R28" s="6"/>
      <c r="S28" s="6"/>
      <c r="T28" s="6"/>
      <c r="U28" s="6"/>
      <c r="V28" s="6"/>
      <c r="W28" s="6"/>
      <c r="X28" s="6"/>
      <c r="Y28" s="6"/>
      <c r="Z28" s="6"/>
    </row>
    <row r="29" spans="1:26" x14ac:dyDescent="0.25">
      <c r="A29" s="28" t="s">
        <v>88</v>
      </c>
      <c r="B29" s="33">
        <f>E21</f>
        <v>4.5746388443017798</v>
      </c>
      <c r="C29" s="6"/>
      <c r="D29" s="6"/>
      <c r="E29" s="6"/>
      <c r="F29" s="6"/>
      <c r="G29" s="6"/>
      <c r="H29" s="28" t="s">
        <v>88</v>
      </c>
      <c r="I29" s="33">
        <f>L21</f>
        <v>11.701308698999222</v>
      </c>
      <c r="J29" s="6"/>
      <c r="K29" s="6"/>
      <c r="L29" s="6"/>
      <c r="M29" s="6"/>
      <c r="N29" s="6"/>
      <c r="O29" s="6"/>
      <c r="P29" s="6"/>
      <c r="Q29" s="6"/>
      <c r="R29" s="6"/>
      <c r="S29" s="6"/>
      <c r="T29" s="6"/>
      <c r="U29" s="6"/>
      <c r="V29" s="6"/>
      <c r="W29" s="6"/>
      <c r="X29" s="6"/>
      <c r="Y29" s="6"/>
      <c r="Z29" s="6"/>
    </row>
    <row r="30" spans="1:2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25">
      <c r="A40" s="6"/>
      <c r="B40" s="6"/>
      <c r="C40" s="6"/>
      <c r="D40" s="6"/>
      <c r="E40" s="6"/>
      <c r="F40" s="6"/>
      <c r="G40" s="6"/>
      <c r="H40" s="6"/>
      <c r="I40" s="6"/>
      <c r="J40" s="6"/>
      <c r="K40" s="6"/>
      <c r="L40" s="6"/>
      <c r="M40" s="6"/>
      <c r="N40" s="6"/>
      <c r="O40" s="6"/>
      <c r="P40" s="6"/>
      <c r="Q40" s="6"/>
      <c r="R40" s="6"/>
      <c r="S40" s="6"/>
    </row>
    <row r="41" spans="1:26" x14ac:dyDescent="0.25">
      <c r="A41" s="6"/>
      <c r="B41" s="6"/>
      <c r="C41" s="6"/>
      <c r="D41" s="6"/>
      <c r="E41" s="6"/>
      <c r="F41" s="6"/>
      <c r="G41" s="6"/>
      <c r="H41" s="6"/>
      <c r="I41" s="6"/>
      <c r="J41" s="6"/>
      <c r="K41" s="6"/>
      <c r="L41" s="6"/>
      <c r="M41" s="6"/>
      <c r="N41" s="6"/>
      <c r="O41" s="6"/>
      <c r="P41" s="6"/>
      <c r="Q41" s="6"/>
      <c r="R41" s="6"/>
      <c r="S41" s="6"/>
    </row>
    <row r="42" spans="1:26" x14ac:dyDescent="0.25">
      <c r="A42" s="6"/>
      <c r="B42" s="6"/>
      <c r="C42" s="6"/>
      <c r="D42" s="6"/>
      <c r="E42" s="6"/>
      <c r="F42" s="6"/>
      <c r="G42" s="6"/>
      <c r="H42" s="6"/>
      <c r="I42" s="6"/>
      <c r="J42" s="6"/>
      <c r="K42" s="6"/>
      <c r="L42" s="6"/>
      <c r="M42" s="6"/>
      <c r="N42" s="6"/>
      <c r="O42" s="6"/>
      <c r="P42" s="6"/>
      <c r="Q42" s="6"/>
      <c r="R42" s="6"/>
      <c r="S42" s="6"/>
    </row>
    <row r="43" spans="1:26" x14ac:dyDescent="0.25">
      <c r="A43" s="6"/>
      <c r="B43" s="6"/>
      <c r="C43" s="6"/>
      <c r="D43" s="6"/>
      <c r="E43" s="6"/>
      <c r="F43" s="6"/>
      <c r="G43" s="6"/>
      <c r="H43" s="6"/>
      <c r="I43" s="6"/>
      <c r="J43" s="6"/>
      <c r="K43" s="6"/>
      <c r="L43" s="6"/>
      <c r="M43" s="6"/>
      <c r="N43" s="6"/>
      <c r="O43" s="6"/>
      <c r="P43" s="6"/>
      <c r="Q43" s="6"/>
      <c r="R43" s="6"/>
      <c r="S43" s="6"/>
    </row>
    <row r="44" spans="1:26" x14ac:dyDescent="0.25">
      <c r="A44" s="6"/>
      <c r="B44" s="6"/>
      <c r="C44" s="6"/>
      <c r="D44" s="6"/>
      <c r="E44" s="6"/>
      <c r="F44" s="6"/>
      <c r="G44" s="6"/>
      <c r="H44" s="6"/>
      <c r="I44" s="6"/>
      <c r="J44" s="6"/>
      <c r="K44" s="6"/>
      <c r="L44" s="6"/>
      <c r="M44" s="6"/>
      <c r="N44" s="6"/>
      <c r="O44" s="6"/>
      <c r="P44" s="6"/>
      <c r="Q44" s="6"/>
      <c r="R44" s="6"/>
      <c r="S44" s="6"/>
    </row>
    <row r="45" spans="1:26" x14ac:dyDescent="0.25">
      <c r="A45" s="6"/>
      <c r="B45" s="6"/>
      <c r="C45" s="6"/>
      <c r="D45" s="6"/>
      <c r="E45" s="6"/>
      <c r="F45" s="6"/>
      <c r="G45" s="6"/>
      <c r="H45" s="6"/>
      <c r="I45" s="6"/>
      <c r="J45" s="6"/>
      <c r="K45" s="6"/>
      <c r="L45" s="6"/>
      <c r="M45" s="6"/>
      <c r="N45" s="6"/>
      <c r="O45" s="6"/>
      <c r="P45" s="6"/>
      <c r="Q45" s="6"/>
      <c r="R45" s="6"/>
      <c r="S45" s="6"/>
    </row>
    <row r="46" spans="1:26" x14ac:dyDescent="0.25">
      <c r="A46" s="6"/>
      <c r="B46" s="6"/>
      <c r="C46" s="6"/>
      <c r="D46" s="6"/>
      <c r="E46" s="6"/>
      <c r="F46" s="6"/>
      <c r="G46" s="6"/>
      <c r="H46" s="6"/>
      <c r="I46" s="6"/>
      <c r="J46" s="6"/>
      <c r="K46" s="6"/>
      <c r="L46" s="6"/>
      <c r="M46" s="6"/>
      <c r="N46" s="6"/>
      <c r="O46" s="6"/>
      <c r="P46" s="6"/>
      <c r="Q46" s="6"/>
      <c r="R46" s="6"/>
      <c r="S46" s="6"/>
    </row>
    <row r="47" spans="1:26" x14ac:dyDescent="0.25">
      <c r="A47" s="6"/>
      <c r="B47" s="6"/>
      <c r="C47" s="6"/>
      <c r="D47" s="6"/>
      <c r="E47" s="6"/>
      <c r="F47" s="6"/>
      <c r="G47" s="6"/>
      <c r="H47" s="6"/>
      <c r="I47" s="6"/>
      <c r="J47" s="6"/>
      <c r="K47" s="6"/>
      <c r="L47" s="6"/>
      <c r="M47" s="6"/>
      <c r="N47" s="6"/>
      <c r="O47" s="6"/>
      <c r="P47" s="6"/>
      <c r="Q47" s="6"/>
      <c r="R47" s="6"/>
      <c r="S47" s="6"/>
    </row>
    <row r="48" spans="1:26" x14ac:dyDescent="0.25">
      <c r="A48" s="6"/>
      <c r="B48" s="6"/>
      <c r="C48" s="6"/>
      <c r="D48" s="6"/>
      <c r="E48" s="6"/>
      <c r="F48" s="6"/>
      <c r="G48" s="6"/>
      <c r="H48" s="6"/>
      <c r="I48" s="6"/>
      <c r="J48" s="6"/>
      <c r="K48" s="6"/>
      <c r="L48" s="6"/>
      <c r="M48" s="6"/>
      <c r="N48" s="6"/>
      <c r="O48" s="6"/>
      <c r="P48" s="6"/>
      <c r="Q48" s="6"/>
      <c r="R48" s="6"/>
      <c r="S48" s="6"/>
    </row>
    <row r="49" spans="1:19" x14ac:dyDescent="0.25">
      <c r="A49" s="6"/>
      <c r="B49" s="6"/>
      <c r="C49" s="6"/>
      <c r="D49" s="6"/>
      <c r="E49" s="6"/>
      <c r="F49" s="6"/>
      <c r="G49" s="6"/>
      <c r="H49" s="6"/>
      <c r="I49" s="6"/>
      <c r="J49" s="6"/>
      <c r="K49" s="6"/>
      <c r="L49" s="6"/>
      <c r="M49" s="6"/>
      <c r="N49" s="6"/>
      <c r="O49" s="6"/>
      <c r="P49" s="6"/>
      <c r="Q49" s="6"/>
      <c r="R49" s="6"/>
      <c r="S49" s="6"/>
    </row>
    <row r="50" spans="1:19" x14ac:dyDescent="0.25">
      <c r="A50" s="6"/>
      <c r="B50" s="6"/>
      <c r="C50" s="6"/>
      <c r="D50" s="6"/>
      <c r="E50" s="6"/>
      <c r="F50" s="6"/>
      <c r="G50" s="6"/>
      <c r="H50" s="6"/>
      <c r="I50" s="6"/>
      <c r="J50" s="6"/>
      <c r="K50" s="6"/>
      <c r="L50" s="6"/>
      <c r="M50" s="6"/>
      <c r="N50" s="6"/>
      <c r="O50" s="6"/>
      <c r="P50" s="6"/>
      <c r="Q50" s="6"/>
      <c r="R50" s="6"/>
      <c r="S50" s="6"/>
    </row>
    <row r="51" spans="1:19" x14ac:dyDescent="0.25">
      <c r="A51" s="6"/>
      <c r="B51" s="6"/>
      <c r="C51" s="6"/>
      <c r="D51" s="6"/>
      <c r="E51" s="6"/>
      <c r="F51" s="6"/>
      <c r="G51" s="6"/>
      <c r="H51" s="6"/>
      <c r="I51" s="6"/>
      <c r="J51" s="6"/>
      <c r="K51" s="6"/>
      <c r="L51" s="6"/>
      <c r="M51" s="6"/>
      <c r="N51" s="6"/>
      <c r="O51" s="6"/>
      <c r="P51" s="6"/>
      <c r="Q51" s="6"/>
      <c r="R51" s="6"/>
      <c r="S51" s="6"/>
    </row>
    <row r="52" spans="1:19" x14ac:dyDescent="0.25">
      <c r="A52" s="6"/>
      <c r="B52" s="6"/>
      <c r="C52" s="6"/>
      <c r="D52" s="6"/>
      <c r="E52" s="6"/>
      <c r="F52" s="6"/>
      <c r="G52" s="6"/>
      <c r="H52" s="6"/>
      <c r="I52" s="6"/>
      <c r="J52" s="6"/>
      <c r="K52" s="6"/>
      <c r="L52" s="6"/>
      <c r="M52" s="6"/>
      <c r="N52" s="6"/>
      <c r="O52" s="6"/>
      <c r="P52" s="6"/>
      <c r="Q52" s="6"/>
      <c r="R52" s="6"/>
      <c r="S52" s="6"/>
    </row>
    <row r="53" spans="1:19" x14ac:dyDescent="0.25">
      <c r="A53" s="6"/>
      <c r="B53" s="6"/>
      <c r="C53" s="6"/>
      <c r="D53" s="6"/>
      <c r="E53" s="6"/>
      <c r="F53" s="6"/>
      <c r="G53" s="6"/>
      <c r="H53" s="6"/>
      <c r="I53" s="6"/>
      <c r="J53" s="6"/>
      <c r="K53" s="6"/>
      <c r="L53" s="6"/>
      <c r="M53" s="6"/>
      <c r="N53" s="6"/>
      <c r="O53" s="6"/>
      <c r="P53" s="6"/>
      <c r="Q53" s="6"/>
      <c r="R53" s="6"/>
      <c r="S53" s="6"/>
    </row>
    <row r="54" spans="1:19" x14ac:dyDescent="0.25">
      <c r="A54" s="6"/>
      <c r="B54" s="6"/>
      <c r="C54" s="6"/>
      <c r="D54" s="6"/>
      <c r="E54" s="6"/>
      <c r="F54" s="6"/>
      <c r="G54" s="6"/>
      <c r="H54" s="6"/>
      <c r="I54" s="6"/>
      <c r="J54" s="6"/>
      <c r="K54" s="6"/>
      <c r="L54" s="6"/>
      <c r="M54" s="6"/>
      <c r="N54" s="6"/>
      <c r="O54" s="6"/>
      <c r="P54" s="6"/>
      <c r="Q54" s="6"/>
      <c r="R54" s="6"/>
      <c r="S54" s="6"/>
    </row>
    <row r="55" spans="1:19" x14ac:dyDescent="0.25">
      <c r="A55" s="6"/>
      <c r="B55" s="6"/>
      <c r="C55" s="6"/>
      <c r="D55" s="6"/>
      <c r="E55" s="6"/>
      <c r="F55" s="6"/>
      <c r="G55" s="6"/>
      <c r="H55" s="6"/>
      <c r="I55" s="6"/>
      <c r="J55" s="6"/>
      <c r="K55" s="6"/>
      <c r="L55" s="6"/>
      <c r="M55" s="6"/>
      <c r="N55" s="6"/>
      <c r="O55" s="6"/>
      <c r="P55" s="6"/>
      <c r="Q55" s="6"/>
      <c r="R55" s="6"/>
      <c r="S55" s="6"/>
    </row>
    <row r="56" spans="1:19" x14ac:dyDescent="0.25">
      <c r="A56" s="6"/>
      <c r="B56" s="6"/>
      <c r="C56" s="6"/>
      <c r="D56" s="6"/>
      <c r="E56" s="6"/>
      <c r="F56" s="6"/>
      <c r="G56" s="6"/>
      <c r="H56" s="6"/>
      <c r="I56" s="6"/>
      <c r="J56" s="6"/>
      <c r="K56" s="6"/>
      <c r="L56" s="6"/>
      <c r="M56" s="6"/>
      <c r="N56" s="6"/>
      <c r="O56" s="6"/>
      <c r="P56" s="6"/>
      <c r="Q56" s="6"/>
      <c r="R56" s="6"/>
      <c r="S56" s="6"/>
    </row>
    <row r="57" spans="1:19" x14ac:dyDescent="0.25">
      <c r="A57" s="6"/>
      <c r="B57" s="6"/>
      <c r="C57" s="6"/>
      <c r="D57" s="6"/>
      <c r="E57" s="6"/>
      <c r="F57" s="6"/>
      <c r="G57" s="6"/>
      <c r="H57" s="6"/>
      <c r="I57" s="6"/>
      <c r="J57" s="6"/>
      <c r="K57" s="6"/>
      <c r="L57" s="6"/>
      <c r="M57" s="6"/>
      <c r="N57" s="6"/>
      <c r="O57" s="6"/>
      <c r="P57" s="6"/>
      <c r="Q57" s="6"/>
      <c r="R57" s="6"/>
      <c r="S57" s="6"/>
    </row>
    <row r="58" spans="1:19" x14ac:dyDescent="0.25">
      <c r="A58" s="6"/>
      <c r="B58" s="6"/>
      <c r="C58" s="6"/>
      <c r="D58" s="6"/>
      <c r="E58" s="6"/>
      <c r="F58" s="6"/>
      <c r="G58" s="6"/>
      <c r="H58" s="6"/>
      <c r="I58" s="6"/>
      <c r="J58" s="6"/>
      <c r="K58" s="6"/>
      <c r="L58" s="6"/>
      <c r="M58" s="6"/>
      <c r="N58" s="6"/>
      <c r="O58" s="6"/>
      <c r="P58" s="6"/>
      <c r="Q58" s="6"/>
      <c r="R58" s="6"/>
      <c r="S58" s="6"/>
    </row>
    <row r="59" spans="1:19" x14ac:dyDescent="0.25">
      <c r="A59" s="6"/>
      <c r="B59" s="6"/>
      <c r="C59" s="6"/>
      <c r="D59" s="6"/>
      <c r="E59" s="6"/>
      <c r="F59" s="6"/>
      <c r="G59" s="6"/>
      <c r="H59" s="6"/>
      <c r="I59" s="6"/>
      <c r="J59" s="6"/>
      <c r="K59" s="6"/>
      <c r="L59" s="6"/>
      <c r="M59" s="6"/>
      <c r="N59" s="6"/>
      <c r="O59" s="6"/>
      <c r="P59" s="6"/>
      <c r="Q59" s="6"/>
      <c r="R59" s="6"/>
      <c r="S59" s="6"/>
    </row>
    <row r="60" spans="1:19" x14ac:dyDescent="0.25">
      <c r="A60" s="6"/>
      <c r="B60" s="6"/>
      <c r="C60" s="6"/>
      <c r="D60" s="6"/>
      <c r="E60" s="6"/>
      <c r="F60" s="6"/>
      <c r="G60" s="6"/>
      <c r="H60" s="6"/>
      <c r="I60" s="6"/>
      <c r="J60" s="6"/>
      <c r="K60" s="6"/>
      <c r="L60" s="6"/>
      <c r="M60" s="6"/>
      <c r="N60" s="6"/>
      <c r="O60" s="6"/>
      <c r="P60" s="6"/>
      <c r="Q60" s="6"/>
      <c r="R60" s="6"/>
      <c r="S60" s="6"/>
    </row>
    <row r="61" spans="1:19" x14ac:dyDescent="0.25">
      <c r="A61" s="6"/>
      <c r="B61" s="6"/>
      <c r="C61" s="6"/>
      <c r="D61" s="6"/>
      <c r="E61" s="6"/>
      <c r="F61" s="6"/>
      <c r="G61" s="6"/>
      <c r="H61" s="6"/>
      <c r="I61" s="6"/>
      <c r="J61" s="6"/>
      <c r="K61" s="6"/>
      <c r="L61" s="6"/>
      <c r="M61" s="6"/>
      <c r="N61" s="6"/>
      <c r="O61" s="6"/>
      <c r="P61" s="6"/>
      <c r="Q61" s="6"/>
      <c r="R61" s="6"/>
      <c r="S61" s="6"/>
    </row>
    <row r="62" spans="1:19" x14ac:dyDescent="0.25">
      <c r="A62" s="6"/>
      <c r="B62" s="6"/>
      <c r="C62" s="6"/>
      <c r="D62" s="6"/>
      <c r="E62" s="6"/>
      <c r="F62" s="6"/>
      <c r="G62" s="6"/>
      <c r="H62" s="6"/>
      <c r="I62" s="6"/>
      <c r="J62" s="6"/>
      <c r="K62" s="6"/>
      <c r="L62" s="6"/>
      <c r="M62" s="6"/>
      <c r="N62" s="6"/>
      <c r="O62" s="6"/>
      <c r="P62" s="6"/>
      <c r="Q62" s="6"/>
      <c r="R62" s="6"/>
      <c r="S62" s="6"/>
    </row>
    <row r="63" spans="1:19" x14ac:dyDescent="0.25">
      <c r="A63" s="6"/>
      <c r="B63" s="6"/>
      <c r="C63" s="6"/>
      <c r="D63" s="6"/>
      <c r="E63" s="6"/>
      <c r="F63" s="6"/>
      <c r="G63" s="6"/>
      <c r="H63" s="6"/>
      <c r="I63" s="6"/>
      <c r="J63" s="6"/>
      <c r="K63" s="6"/>
      <c r="L63" s="6"/>
      <c r="M63" s="6"/>
      <c r="N63" s="6"/>
      <c r="O63" s="6"/>
      <c r="P63" s="6"/>
      <c r="Q63" s="6"/>
      <c r="R63" s="6"/>
      <c r="S63" s="6"/>
    </row>
    <row r="64" spans="1:19" x14ac:dyDescent="0.25">
      <c r="A64" s="6"/>
      <c r="B64" s="6"/>
      <c r="C64" s="6"/>
      <c r="D64" s="6"/>
      <c r="E64" s="6"/>
      <c r="F64" s="6"/>
      <c r="G64" s="6"/>
      <c r="H64" s="6"/>
      <c r="I64" s="6"/>
      <c r="J64" s="6"/>
      <c r="K64" s="6"/>
      <c r="L64" s="6"/>
      <c r="M64" s="6"/>
      <c r="N64" s="6"/>
      <c r="O64" s="6"/>
      <c r="P64" s="6"/>
      <c r="Q64" s="6"/>
      <c r="R64" s="6"/>
      <c r="S64" s="6"/>
    </row>
  </sheetData>
  <sheetProtection algorithmName="SHA-512" hashValue="Iv+vM4gD+fQIfq34lOLCyZBlj91us/L5ywxUyYdzo5BdHltQi75UZPh4vKhoI15BpAnVb0oM/G5DK4Ha0CqW9w==" saltValue="Mj+bz8qrr6zZY7X2cO77eA==" spinCount="100000" sheet="1" objects="1" scenarios="1"/>
  <mergeCells count="1">
    <mergeCell ref="B1:I1"/>
  </mergeCells>
  <conditionalFormatting sqref="B25:B29">
    <cfRule type="colorScale" priority="2">
      <colorScale>
        <cfvo type="min"/>
        <cfvo type="percentile" val="50"/>
        <cfvo type="max"/>
        <color rgb="FFF8696B"/>
        <color rgb="FFFFEB84"/>
        <color rgb="FF63BE7B"/>
      </colorScale>
    </cfRule>
  </conditionalFormatting>
  <conditionalFormatting sqref="E5:E21">
    <cfRule type="colorScale" priority="4">
      <colorScale>
        <cfvo type="min"/>
        <cfvo type="percentile" val="50"/>
        <cfvo type="max"/>
        <color rgb="FFF8696B"/>
        <color rgb="FFFFEB84"/>
        <color rgb="FF63BE7B"/>
      </colorScale>
    </cfRule>
  </conditionalFormatting>
  <conditionalFormatting sqref="I25:I29">
    <cfRule type="colorScale" priority="1">
      <colorScale>
        <cfvo type="min"/>
        <cfvo type="percentile" val="50"/>
        <cfvo type="max"/>
        <color rgb="FFF8696B"/>
        <color rgb="FFFFEB84"/>
        <color rgb="FF63BE7B"/>
      </colorScale>
    </cfRule>
  </conditionalFormatting>
  <conditionalFormatting sqref="L5:L21">
    <cfRule type="colorScale" priority="3">
      <colorScale>
        <cfvo type="min"/>
        <cfvo type="percentile" val="50"/>
        <cfvo type="max"/>
        <color rgb="FFF8696B"/>
        <color rgb="FFFFEB84"/>
        <color rgb="FF63BE7B"/>
      </colorScale>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EC4EE-8A86-411D-86F3-14DD4F324D7F}">
  <dimension ref="A6:AC35"/>
  <sheetViews>
    <sheetView topLeftCell="F1" zoomScale="85" zoomScaleNormal="85" workbookViewId="0">
      <selection activeCell="R7" sqref="R7"/>
    </sheetView>
  </sheetViews>
  <sheetFormatPr defaultRowHeight="15" x14ac:dyDescent="0.25"/>
  <cols>
    <col min="1" max="23" width="9.140625" style="6"/>
    <col min="24" max="24" width="9.85546875" style="6" customWidth="1"/>
    <col min="25" max="27" width="9.140625" style="6"/>
    <col min="28" max="28" width="14.140625" style="6" bestFit="1" customWidth="1"/>
    <col min="29" max="16384" width="9.140625" style="6"/>
  </cols>
  <sheetData>
    <row r="6" spans="1:29" x14ac:dyDescent="0.25">
      <c r="A6" s="44" t="s">
        <v>1</v>
      </c>
      <c r="B6" s="44" t="s">
        <v>2</v>
      </c>
      <c r="C6" s="44" t="s">
        <v>48</v>
      </c>
      <c r="D6" s="44" t="s">
        <v>49</v>
      </c>
      <c r="E6" s="44" t="s">
        <v>50</v>
      </c>
      <c r="F6" s="44" t="s">
        <v>19</v>
      </c>
      <c r="G6" s="44" t="s">
        <v>51</v>
      </c>
      <c r="H6" s="45" t="s">
        <v>21</v>
      </c>
      <c r="I6" s="45" t="s">
        <v>22</v>
      </c>
      <c r="J6" s="45" t="s">
        <v>23</v>
      </c>
      <c r="K6" s="45" t="s">
        <v>24</v>
      </c>
      <c r="L6" s="45" t="s">
        <v>25</v>
      </c>
      <c r="M6" s="45" t="s">
        <v>47</v>
      </c>
      <c r="N6" s="45" t="s">
        <v>26</v>
      </c>
      <c r="O6" s="45" t="s">
        <v>92</v>
      </c>
      <c r="Q6" s="46" t="s">
        <v>48</v>
      </c>
      <c r="R6" s="46" t="s">
        <v>49</v>
      </c>
      <c r="S6" s="46" t="s">
        <v>50</v>
      </c>
      <c r="T6" s="46" t="s">
        <v>19</v>
      </c>
      <c r="U6" s="46" t="s">
        <v>51</v>
      </c>
      <c r="V6" s="47" t="s">
        <v>21</v>
      </c>
      <c r="W6" s="47" t="s">
        <v>22</v>
      </c>
      <c r="X6" s="47" t="s">
        <v>23</v>
      </c>
      <c r="Y6" s="47" t="s">
        <v>24</v>
      </c>
      <c r="Z6" s="47" t="s">
        <v>25</v>
      </c>
      <c r="AA6" s="47" t="s">
        <v>47</v>
      </c>
      <c r="AB6" s="47" t="s">
        <v>26</v>
      </c>
      <c r="AC6" s="48"/>
    </row>
    <row r="7" spans="1:29" x14ac:dyDescent="0.25">
      <c r="A7" s="28">
        <v>2021</v>
      </c>
      <c r="B7" s="28" t="s">
        <v>29</v>
      </c>
      <c r="C7" s="28">
        <v>2076.5</v>
      </c>
      <c r="D7" s="28">
        <v>186.5</v>
      </c>
      <c r="E7" s="28">
        <v>455.8</v>
      </c>
      <c r="F7" s="28">
        <v>157.69999999999999</v>
      </c>
      <c r="G7" s="28">
        <v>147.9</v>
      </c>
      <c r="H7" s="41">
        <v>150</v>
      </c>
      <c r="I7" s="41">
        <v>159.30000000000001</v>
      </c>
      <c r="J7" s="41">
        <v>141.9</v>
      </c>
      <c r="K7" s="41">
        <v>149.6</v>
      </c>
      <c r="L7" s="41">
        <v>159.19999999999999</v>
      </c>
      <c r="M7" s="41">
        <v>156.80000000000001</v>
      </c>
      <c r="N7" s="41">
        <v>151.9</v>
      </c>
      <c r="O7" s="49">
        <v>54.794569624999994</v>
      </c>
      <c r="Q7" s="50">
        <f>CORREL(C7:C35,$O$7:$O$35)</f>
        <v>0.5842048521667621</v>
      </c>
      <c r="R7" s="33">
        <f t="shared" ref="R7:AB7" si="0">CORREL(D7:D35,$O$7:$O$35)</f>
        <v>0.3988405005174494</v>
      </c>
      <c r="S7" s="33">
        <f t="shared" si="0"/>
        <v>0.53102217143092545</v>
      </c>
      <c r="T7" s="33">
        <f t="shared" si="0"/>
        <v>0.42782962698080979</v>
      </c>
      <c r="U7" s="50">
        <f t="shared" si="0"/>
        <v>0.57024198204858501</v>
      </c>
      <c r="V7" s="33">
        <f t="shared" si="0"/>
        <v>0.50593742271222386</v>
      </c>
      <c r="W7" s="33">
        <f t="shared" si="0"/>
        <v>0.4764100838073731</v>
      </c>
      <c r="X7" s="50">
        <f t="shared" si="0"/>
        <v>0.66761514141704836</v>
      </c>
      <c r="Y7" s="50">
        <f t="shared" si="0"/>
        <v>0.58945309296224691</v>
      </c>
      <c r="Z7" s="33">
        <f t="shared" si="0"/>
        <v>0.43781428177292186</v>
      </c>
      <c r="AA7" s="33">
        <f t="shared" si="0"/>
        <v>0.39772091424664807</v>
      </c>
      <c r="AB7" s="33">
        <f t="shared" si="0"/>
        <v>0.53388059253913422</v>
      </c>
    </row>
    <row r="8" spans="1:29" x14ac:dyDescent="0.25">
      <c r="A8" s="28">
        <v>2021</v>
      </c>
      <c r="B8" s="28" t="s">
        <v>32</v>
      </c>
      <c r="C8" s="28">
        <v>2039.3000000000002</v>
      </c>
      <c r="D8" s="28">
        <v>188.3</v>
      </c>
      <c r="E8" s="28">
        <v>460.40000000000003</v>
      </c>
      <c r="F8" s="28">
        <v>159.80000000000001</v>
      </c>
      <c r="G8" s="28">
        <v>152.4</v>
      </c>
      <c r="H8" s="28">
        <v>150.9</v>
      </c>
      <c r="I8" s="28">
        <v>161.30000000000001</v>
      </c>
      <c r="J8" s="28">
        <v>145.1</v>
      </c>
      <c r="K8" s="28">
        <v>151.5</v>
      </c>
      <c r="L8" s="28">
        <v>159.5</v>
      </c>
      <c r="M8" s="28">
        <v>155.80000000000001</v>
      </c>
      <c r="N8" s="28">
        <v>153.4</v>
      </c>
      <c r="O8" s="49">
        <v>61.216117289473672</v>
      </c>
    </row>
    <row r="9" spans="1:29" x14ac:dyDescent="0.25">
      <c r="A9" s="28">
        <v>2021</v>
      </c>
      <c r="B9" s="28" t="s">
        <v>33</v>
      </c>
      <c r="C9" s="28">
        <v>2039.3999999999999</v>
      </c>
      <c r="D9" s="28">
        <v>188.1</v>
      </c>
      <c r="E9" s="28">
        <v>462.1</v>
      </c>
      <c r="F9" s="28">
        <v>159.9</v>
      </c>
      <c r="G9" s="28">
        <v>155.5</v>
      </c>
      <c r="H9" s="41">
        <v>151.19999999999999</v>
      </c>
      <c r="I9" s="41">
        <v>161.69999999999999</v>
      </c>
      <c r="J9" s="41">
        <v>146.19999999999999</v>
      </c>
      <c r="K9" s="41">
        <v>152.6</v>
      </c>
      <c r="L9" s="41">
        <v>160.19999999999999</v>
      </c>
      <c r="M9" s="41">
        <v>153.80000000000001</v>
      </c>
      <c r="N9" s="41">
        <v>153.80000000000001</v>
      </c>
      <c r="O9" s="49">
        <v>64.729496782608663</v>
      </c>
    </row>
    <row r="10" spans="1:29" x14ac:dyDescent="0.25">
      <c r="A10" s="28">
        <v>2021</v>
      </c>
      <c r="B10" s="28" t="s">
        <v>34</v>
      </c>
      <c r="C10" s="28">
        <v>2064.1</v>
      </c>
      <c r="D10" s="28">
        <v>188.8</v>
      </c>
      <c r="E10" s="28">
        <v>464.6</v>
      </c>
      <c r="F10" s="28">
        <v>161.4</v>
      </c>
      <c r="G10" s="28">
        <v>155.6</v>
      </c>
      <c r="H10" s="28">
        <v>151.80000000000001</v>
      </c>
      <c r="I10" s="28">
        <v>162.30000000000001</v>
      </c>
      <c r="J10" s="28">
        <v>146.6</v>
      </c>
      <c r="K10" s="28">
        <v>153.19999999999999</v>
      </c>
      <c r="L10" s="28">
        <v>160.30000000000001</v>
      </c>
      <c r="M10" s="28">
        <v>155.4</v>
      </c>
      <c r="N10" s="28">
        <v>154.4</v>
      </c>
      <c r="O10" s="49">
        <v>63.396976500000008</v>
      </c>
    </row>
    <row r="11" spans="1:29" x14ac:dyDescent="0.25">
      <c r="A11" s="28">
        <v>2021</v>
      </c>
      <c r="B11" s="28" t="s">
        <v>35</v>
      </c>
      <c r="C11" s="28">
        <v>2105.7000000000003</v>
      </c>
      <c r="D11" s="28">
        <v>191.9</v>
      </c>
      <c r="E11" s="28">
        <v>474.29999999999995</v>
      </c>
      <c r="F11" s="28">
        <v>161.6</v>
      </c>
      <c r="G11" s="28">
        <v>159.4</v>
      </c>
      <c r="H11" s="41">
        <v>154.69999999999999</v>
      </c>
      <c r="I11" s="41">
        <v>165.8</v>
      </c>
      <c r="J11" s="41">
        <v>148.9</v>
      </c>
      <c r="K11" s="41">
        <v>155.80000000000001</v>
      </c>
      <c r="L11" s="41">
        <v>161.19999999999999</v>
      </c>
      <c r="M11" s="41">
        <v>158.6</v>
      </c>
      <c r="N11" s="41">
        <v>156.80000000000001</v>
      </c>
      <c r="O11" s="49">
        <v>66.953084852941174</v>
      </c>
    </row>
    <row r="12" spans="1:29" x14ac:dyDescent="0.25">
      <c r="A12" s="28">
        <v>2021</v>
      </c>
      <c r="B12" s="28" t="s">
        <v>36</v>
      </c>
      <c r="C12" s="28">
        <v>2133.9</v>
      </c>
      <c r="D12" s="28">
        <v>190.8</v>
      </c>
      <c r="E12" s="28">
        <v>474.7</v>
      </c>
      <c r="F12" s="28">
        <v>160.5</v>
      </c>
      <c r="G12" s="28">
        <v>159.80000000000001</v>
      </c>
      <c r="H12" s="28">
        <v>154.80000000000001</v>
      </c>
      <c r="I12" s="28">
        <v>166.3</v>
      </c>
      <c r="J12" s="28">
        <v>150.69999999999999</v>
      </c>
      <c r="K12" s="28">
        <v>154.9</v>
      </c>
      <c r="L12" s="28">
        <v>161.69999999999999</v>
      </c>
      <c r="M12" s="28">
        <v>158.80000000000001</v>
      </c>
      <c r="N12" s="28">
        <v>157.6</v>
      </c>
      <c r="O12" s="49">
        <v>71.982647477272721</v>
      </c>
    </row>
    <row r="13" spans="1:29" x14ac:dyDescent="0.25">
      <c r="A13" s="28">
        <v>2021</v>
      </c>
      <c r="B13" s="28" t="s">
        <v>37</v>
      </c>
      <c r="C13" s="28">
        <v>2147</v>
      </c>
      <c r="D13" s="28">
        <v>191.2</v>
      </c>
      <c r="E13" s="28">
        <v>477.29999999999995</v>
      </c>
      <c r="F13" s="28">
        <v>161.5</v>
      </c>
      <c r="G13" s="28">
        <v>160.69999999999999</v>
      </c>
      <c r="H13" s="41">
        <v>155.80000000000001</v>
      </c>
      <c r="I13" s="41">
        <v>167</v>
      </c>
      <c r="J13" s="41">
        <v>153.1</v>
      </c>
      <c r="K13" s="41">
        <v>155.30000000000001</v>
      </c>
      <c r="L13" s="41">
        <v>163.19999999999999</v>
      </c>
      <c r="M13" s="41">
        <v>160.1</v>
      </c>
      <c r="N13" s="41">
        <v>159</v>
      </c>
      <c r="O13" s="49">
        <v>73.539060523809511</v>
      </c>
    </row>
    <row r="14" spans="1:29" x14ac:dyDescent="0.25">
      <c r="A14" s="28">
        <v>2021</v>
      </c>
      <c r="B14" s="28" t="s">
        <v>38</v>
      </c>
      <c r="C14" s="28">
        <v>2142</v>
      </c>
      <c r="D14" s="28">
        <v>192.1</v>
      </c>
      <c r="E14" s="28">
        <v>483</v>
      </c>
      <c r="F14" s="28">
        <v>162.1</v>
      </c>
      <c r="G14" s="28">
        <v>162.6</v>
      </c>
      <c r="H14" s="28">
        <v>157.5</v>
      </c>
      <c r="I14" s="28">
        <v>168.4</v>
      </c>
      <c r="J14" s="28">
        <v>154</v>
      </c>
      <c r="K14" s="28">
        <v>157.6</v>
      </c>
      <c r="L14" s="28">
        <v>163.80000000000001</v>
      </c>
      <c r="M14" s="28">
        <v>160</v>
      </c>
      <c r="N14" s="28">
        <v>160</v>
      </c>
      <c r="O14" s="49">
        <v>69.804724424999989</v>
      </c>
    </row>
    <row r="15" spans="1:29" x14ac:dyDescent="0.25">
      <c r="A15" s="28">
        <v>2021</v>
      </c>
      <c r="B15" s="28" t="s">
        <v>39</v>
      </c>
      <c r="C15" s="28">
        <v>2142</v>
      </c>
      <c r="D15" s="28">
        <v>192.1</v>
      </c>
      <c r="E15" s="28">
        <v>483.2</v>
      </c>
      <c r="F15" s="28">
        <v>162.1</v>
      </c>
      <c r="G15" s="28">
        <v>162.6</v>
      </c>
      <c r="H15" s="41">
        <v>157.5</v>
      </c>
      <c r="I15" s="41">
        <v>168.4</v>
      </c>
      <c r="J15" s="41">
        <v>154</v>
      </c>
      <c r="K15" s="41">
        <v>157.69999999999999</v>
      </c>
      <c r="L15" s="41">
        <v>163.69999999999999</v>
      </c>
      <c r="M15" s="41">
        <v>160</v>
      </c>
      <c r="N15" s="41">
        <v>160</v>
      </c>
      <c r="O15" s="49">
        <v>73.130738295454549</v>
      </c>
    </row>
    <row r="16" spans="1:29" x14ac:dyDescent="0.25">
      <c r="A16" s="28">
        <v>2021</v>
      </c>
      <c r="B16" s="28" t="s">
        <v>40</v>
      </c>
      <c r="C16" s="28">
        <v>2175.5</v>
      </c>
      <c r="D16" s="28">
        <v>192.7</v>
      </c>
      <c r="E16" s="28">
        <v>486.3</v>
      </c>
      <c r="F16" s="28">
        <v>163.6</v>
      </c>
      <c r="G16" s="28">
        <v>164.2</v>
      </c>
      <c r="H16" s="28">
        <v>158.4</v>
      </c>
      <c r="I16" s="28">
        <v>169.1</v>
      </c>
      <c r="J16" s="28">
        <v>155.69999999999999</v>
      </c>
      <c r="K16" s="28">
        <v>158.6</v>
      </c>
      <c r="L16" s="28">
        <v>163.9</v>
      </c>
      <c r="M16" s="28">
        <v>160.80000000000001</v>
      </c>
      <c r="N16" s="28">
        <v>161</v>
      </c>
      <c r="O16" s="49">
        <v>82.107393785714294</v>
      </c>
    </row>
    <row r="17" spans="1:15" x14ac:dyDescent="0.25">
      <c r="A17" s="28">
        <v>2021</v>
      </c>
      <c r="B17" s="28" t="s">
        <v>42</v>
      </c>
      <c r="C17" s="28">
        <v>2194.1</v>
      </c>
      <c r="D17" s="28">
        <v>192.9</v>
      </c>
      <c r="E17" s="28">
        <v>490.40000000000003</v>
      </c>
      <c r="F17" s="28">
        <v>164.2</v>
      </c>
      <c r="G17" s="28">
        <v>163.9</v>
      </c>
      <c r="H17" s="41">
        <v>159.30000000000001</v>
      </c>
      <c r="I17" s="41">
        <v>169.9</v>
      </c>
      <c r="J17" s="41">
        <v>154.80000000000001</v>
      </c>
      <c r="K17" s="41">
        <v>159.80000000000001</v>
      </c>
      <c r="L17" s="41">
        <v>164.3</v>
      </c>
      <c r="M17" s="41">
        <v>162.19999999999999</v>
      </c>
      <c r="N17" s="41">
        <v>161.4</v>
      </c>
      <c r="O17" s="49">
        <v>80.637301023809528</v>
      </c>
    </row>
    <row r="18" spans="1:15" x14ac:dyDescent="0.25">
      <c r="A18" s="28">
        <v>2021</v>
      </c>
      <c r="B18" s="28" t="s">
        <v>43</v>
      </c>
      <c r="C18" s="28">
        <v>2180.9</v>
      </c>
      <c r="D18" s="28">
        <v>192.4</v>
      </c>
      <c r="E18" s="28">
        <v>494.2</v>
      </c>
      <c r="F18" s="28">
        <v>163.4</v>
      </c>
      <c r="G18" s="28">
        <v>164.1</v>
      </c>
      <c r="H18" s="28">
        <v>160.19999999999999</v>
      </c>
      <c r="I18" s="28">
        <v>170.6</v>
      </c>
      <c r="J18" s="28">
        <v>155.69999999999999</v>
      </c>
      <c r="K18" s="28">
        <v>160.6</v>
      </c>
      <c r="L18" s="28">
        <v>164.4</v>
      </c>
      <c r="M18" s="28">
        <v>162.6</v>
      </c>
      <c r="N18" s="28">
        <v>162</v>
      </c>
      <c r="O18" s="49">
        <v>73.298823523809531</v>
      </c>
    </row>
    <row r="19" spans="1:15" x14ac:dyDescent="0.25">
      <c r="A19" s="28">
        <v>2022</v>
      </c>
      <c r="B19" s="28" t="s">
        <v>29</v>
      </c>
      <c r="C19" s="28">
        <v>2164.1999999999998</v>
      </c>
      <c r="D19" s="28">
        <v>192.2</v>
      </c>
      <c r="E19" s="28">
        <v>499.1</v>
      </c>
      <c r="F19" s="28">
        <v>164.5</v>
      </c>
      <c r="G19" s="28">
        <v>164.2</v>
      </c>
      <c r="H19" s="41">
        <v>161.1</v>
      </c>
      <c r="I19" s="41">
        <v>171.4</v>
      </c>
      <c r="J19" s="41">
        <v>156.5</v>
      </c>
      <c r="K19" s="41">
        <v>161.19999999999999</v>
      </c>
      <c r="L19" s="41">
        <v>164.7</v>
      </c>
      <c r="M19" s="41">
        <v>163</v>
      </c>
      <c r="N19" s="41">
        <v>162.69999999999999</v>
      </c>
      <c r="O19" s="49">
        <v>84.666318799999985</v>
      </c>
    </row>
    <row r="20" spans="1:15" x14ac:dyDescent="0.25">
      <c r="A20" s="28">
        <v>2022</v>
      </c>
      <c r="B20" s="28" t="s">
        <v>32</v>
      </c>
      <c r="C20" s="28">
        <v>2161.2000000000003</v>
      </c>
      <c r="D20" s="28">
        <v>192.8</v>
      </c>
      <c r="E20" s="28">
        <v>502.80000000000007</v>
      </c>
      <c r="F20" s="28">
        <v>165.5</v>
      </c>
      <c r="G20" s="28">
        <v>165.7</v>
      </c>
      <c r="H20" s="28">
        <v>161.80000000000001</v>
      </c>
      <c r="I20" s="28">
        <v>172.2</v>
      </c>
      <c r="J20" s="28">
        <v>156.9</v>
      </c>
      <c r="K20" s="28">
        <v>162.1</v>
      </c>
      <c r="L20" s="28">
        <v>165.4</v>
      </c>
      <c r="M20" s="28">
        <v>164.4</v>
      </c>
      <c r="N20" s="28">
        <v>163.5</v>
      </c>
      <c r="O20" s="49">
        <v>94.067715194444446</v>
      </c>
    </row>
    <row r="21" spans="1:15" x14ac:dyDescent="0.25">
      <c r="A21" s="28">
        <v>2022</v>
      </c>
      <c r="B21" s="28" t="s">
        <v>33</v>
      </c>
      <c r="C21" s="28">
        <v>2184.2000000000003</v>
      </c>
      <c r="D21" s="28">
        <v>193.7</v>
      </c>
      <c r="E21" s="28">
        <v>507.79999999999995</v>
      </c>
      <c r="F21" s="28">
        <v>165.3</v>
      </c>
      <c r="G21" s="28">
        <v>167.2</v>
      </c>
      <c r="H21" s="41">
        <v>162.80000000000001</v>
      </c>
      <c r="I21" s="41">
        <v>173</v>
      </c>
      <c r="J21" s="41">
        <v>157.9</v>
      </c>
      <c r="K21" s="41">
        <v>163.30000000000001</v>
      </c>
      <c r="L21" s="41">
        <v>166</v>
      </c>
      <c r="M21" s="41">
        <v>167.2</v>
      </c>
      <c r="N21" s="41">
        <v>164.6</v>
      </c>
      <c r="O21" s="49">
        <v>112.87479254347826</v>
      </c>
    </row>
    <row r="22" spans="1:15" x14ac:dyDescent="0.25">
      <c r="A22" s="28">
        <v>2022</v>
      </c>
      <c r="B22" s="28" t="s">
        <v>34</v>
      </c>
      <c r="C22" s="28">
        <v>2214.3000000000002</v>
      </c>
      <c r="D22" s="28">
        <v>193.9</v>
      </c>
      <c r="E22" s="28">
        <v>513.20000000000005</v>
      </c>
      <c r="F22" s="28">
        <v>167</v>
      </c>
      <c r="G22" s="28">
        <v>172.2</v>
      </c>
      <c r="H22" s="28">
        <v>164</v>
      </c>
      <c r="I22" s="28">
        <v>174</v>
      </c>
      <c r="J22" s="28">
        <v>162.6</v>
      </c>
      <c r="K22" s="28">
        <v>164.4</v>
      </c>
      <c r="L22" s="28">
        <v>166.9</v>
      </c>
      <c r="M22" s="28">
        <v>168.8</v>
      </c>
      <c r="N22" s="28">
        <v>166.8</v>
      </c>
      <c r="O22" s="49">
        <v>102.96599786842103</v>
      </c>
    </row>
    <row r="23" spans="1:15" x14ac:dyDescent="0.25">
      <c r="A23" s="28">
        <v>2022</v>
      </c>
      <c r="B23" s="28" t="s">
        <v>35</v>
      </c>
      <c r="C23" s="28">
        <v>2238.9000000000005</v>
      </c>
      <c r="D23" s="28">
        <v>194.1</v>
      </c>
      <c r="E23" s="28">
        <v>518.6</v>
      </c>
      <c r="F23" s="28">
        <v>167.5</v>
      </c>
      <c r="G23" s="28">
        <v>174.6</v>
      </c>
      <c r="H23" s="41">
        <v>165.2</v>
      </c>
      <c r="I23" s="41">
        <v>174.8</v>
      </c>
      <c r="J23" s="41">
        <v>163</v>
      </c>
      <c r="K23" s="41">
        <v>165.1</v>
      </c>
      <c r="L23" s="41">
        <v>167.9</v>
      </c>
      <c r="M23" s="41">
        <v>168.4</v>
      </c>
      <c r="N23" s="41">
        <v>167.5</v>
      </c>
      <c r="O23" s="49">
        <v>109.50503773684208</v>
      </c>
    </row>
    <row r="24" spans="1:15" x14ac:dyDescent="0.25">
      <c r="A24" s="28">
        <v>2022</v>
      </c>
      <c r="B24" s="28" t="s">
        <v>36</v>
      </c>
      <c r="C24" s="28">
        <v>2261.9</v>
      </c>
      <c r="D24" s="28">
        <v>194.3</v>
      </c>
      <c r="E24" s="28">
        <v>523</v>
      </c>
      <c r="F24" s="28">
        <v>166.8</v>
      </c>
      <c r="G24" s="28">
        <v>176</v>
      </c>
      <c r="H24" s="28">
        <v>166.4</v>
      </c>
      <c r="I24" s="28">
        <v>175.4</v>
      </c>
      <c r="J24" s="28">
        <v>161.1</v>
      </c>
      <c r="K24" s="28">
        <v>165.8</v>
      </c>
      <c r="L24" s="28">
        <v>169</v>
      </c>
      <c r="M24" s="28">
        <v>169.4</v>
      </c>
      <c r="N24" s="28">
        <v>167.5</v>
      </c>
      <c r="O24" s="49">
        <v>116.01138504999999</v>
      </c>
    </row>
    <row r="25" spans="1:15" x14ac:dyDescent="0.25">
      <c r="A25" s="28">
        <v>2022</v>
      </c>
      <c r="B25" s="28" t="s">
        <v>37</v>
      </c>
      <c r="C25" s="28">
        <v>2266.3000000000002</v>
      </c>
      <c r="D25" s="28">
        <v>194.6</v>
      </c>
      <c r="E25" s="28">
        <v>526.90000000000009</v>
      </c>
      <c r="F25" s="28">
        <v>167.8</v>
      </c>
      <c r="G25" s="28">
        <v>179.6</v>
      </c>
      <c r="H25" s="41">
        <v>167.4</v>
      </c>
      <c r="I25" s="41">
        <v>176.1</v>
      </c>
      <c r="J25" s="41">
        <v>161.6</v>
      </c>
      <c r="K25" s="41">
        <v>166.3</v>
      </c>
      <c r="L25" s="41">
        <v>171.4</v>
      </c>
      <c r="M25" s="41">
        <v>169.7</v>
      </c>
      <c r="N25" s="41">
        <v>168.4</v>
      </c>
      <c r="O25" s="49">
        <v>105.49124737500001</v>
      </c>
    </row>
    <row r="26" spans="1:15" x14ac:dyDescent="0.25">
      <c r="A26" s="28">
        <v>2022</v>
      </c>
      <c r="B26" s="28" t="s">
        <v>38</v>
      </c>
      <c r="C26" s="28">
        <v>2269.2000000000003</v>
      </c>
      <c r="D26" s="28">
        <v>195</v>
      </c>
      <c r="E26" s="28">
        <v>530.70000000000005</v>
      </c>
      <c r="F26" s="28">
        <v>169</v>
      </c>
      <c r="G26" s="28">
        <v>178.8</v>
      </c>
      <c r="H26" s="28">
        <v>168.5</v>
      </c>
      <c r="I26" s="28">
        <v>176.8</v>
      </c>
      <c r="J26" s="28">
        <v>161.9</v>
      </c>
      <c r="K26" s="28">
        <v>166.9</v>
      </c>
      <c r="L26" s="28">
        <v>172.3</v>
      </c>
      <c r="M26" s="28">
        <v>171.2</v>
      </c>
      <c r="N26" s="28">
        <v>169.1</v>
      </c>
      <c r="O26" s="49">
        <v>97.404465428571427</v>
      </c>
    </row>
    <row r="27" spans="1:15" x14ac:dyDescent="0.25">
      <c r="A27" s="28">
        <v>2022</v>
      </c>
      <c r="B27" s="28" t="s">
        <v>39</v>
      </c>
      <c r="C27" s="28">
        <v>2280.9</v>
      </c>
      <c r="D27" s="28">
        <v>195.9</v>
      </c>
      <c r="E27" s="28">
        <v>535.1</v>
      </c>
      <c r="F27" s="28">
        <v>169.5</v>
      </c>
      <c r="G27" s="28">
        <v>179.5</v>
      </c>
      <c r="H27" s="41">
        <v>169.5</v>
      </c>
      <c r="I27" s="41">
        <v>177.8</v>
      </c>
      <c r="J27" s="41">
        <v>162.30000000000001</v>
      </c>
      <c r="K27" s="41">
        <v>167.6</v>
      </c>
      <c r="L27" s="41">
        <v>173.1</v>
      </c>
      <c r="M27" s="41">
        <v>170.9</v>
      </c>
      <c r="N27" s="41">
        <v>169.7</v>
      </c>
      <c r="O27" s="49">
        <v>90.706344809523813</v>
      </c>
    </row>
    <row r="28" spans="1:15" x14ac:dyDescent="0.25">
      <c r="A28" s="28">
        <v>2022</v>
      </c>
      <c r="B28" s="28" t="s">
        <v>40</v>
      </c>
      <c r="C28" s="28">
        <v>2297.3000000000002</v>
      </c>
      <c r="D28" s="28">
        <v>196.3</v>
      </c>
      <c r="E28" s="28">
        <v>538.20000000000005</v>
      </c>
      <c r="F28" s="28">
        <v>171.2</v>
      </c>
      <c r="G28" s="28">
        <v>180.5</v>
      </c>
      <c r="H28" s="28">
        <v>170.4</v>
      </c>
      <c r="I28" s="28">
        <v>178.7</v>
      </c>
      <c r="J28" s="28">
        <v>162.9</v>
      </c>
      <c r="K28" s="28">
        <v>168.2</v>
      </c>
      <c r="L28" s="28">
        <v>173.4</v>
      </c>
      <c r="M28" s="28">
        <v>172.1</v>
      </c>
      <c r="N28" s="28">
        <v>170.5</v>
      </c>
      <c r="O28" s="49">
        <v>91.698948700000003</v>
      </c>
    </row>
    <row r="29" spans="1:15" x14ac:dyDescent="0.25">
      <c r="A29" s="28">
        <v>2022</v>
      </c>
      <c r="B29" s="28" t="s">
        <v>42</v>
      </c>
      <c r="C29" s="28">
        <v>2296.8000000000002</v>
      </c>
      <c r="D29" s="28">
        <v>196.9</v>
      </c>
      <c r="E29" s="28">
        <v>541.4</v>
      </c>
      <c r="F29" s="28">
        <v>171.8</v>
      </c>
      <c r="G29" s="28">
        <v>181.3</v>
      </c>
      <c r="H29" s="41">
        <v>171.4</v>
      </c>
      <c r="I29" s="41">
        <v>179.8</v>
      </c>
      <c r="J29" s="41">
        <v>163</v>
      </c>
      <c r="K29" s="41">
        <v>168.5</v>
      </c>
      <c r="L29" s="41">
        <v>173.7</v>
      </c>
      <c r="M29" s="41">
        <v>173.6</v>
      </c>
      <c r="N29" s="41">
        <v>171.1</v>
      </c>
      <c r="O29" s="49">
        <v>87.552266068181822</v>
      </c>
    </row>
    <row r="30" spans="1:15" x14ac:dyDescent="0.25">
      <c r="A30" s="28">
        <v>2022</v>
      </c>
      <c r="B30" s="28" t="s">
        <v>43</v>
      </c>
      <c r="C30" s="28">
        <v>2283.4</v>
      </c>
      <c r="D30" s="28">
        <v>197.3</v>
      </c>
      <c r="E30" s="28">
        <v>544</v>
      </c>
      <c r="F30" s="28">
        <v>170.7</v>
      </c>
      <c r="G30" s="28">
        <v>182</v>
      </c>
      <c r="H30" s="28">
        <v>172.1</v>
      </c>
      <c r="I30" s="28">
        <v>181.1</v>
      </c>
      <c r="J30" s="28">
        <v>163.4</v>
      </c>
      <c r="K30" s="28">
        <v>168.9</v>
      </c>
      <c r="L30" s="28">
        <v>174.1</v>
      </c>
      <c r="M30" s="28">
        <v>175.8</v>
      </c>
      <c r="N30" s="28">
        <v>172</v>
      </c>
      <c r="O30" s="49">
        <v>78.100942275000008</v>
      </c>
    </row>
    <row r="31" spans="1:15" x14ac:dyDescent="0.25">
      <c r="A31" s="28">
        <v>2023</v>
      </c>
      <c r="B31" s="28" t="s">
        <v>29</v>
      </c>
      <c r="C31" s="28">
        <v>2292.6999999999998</v>
      </c>
      <c r="D31" s="28">
        <v>198.2</v>
      </c>
      <c r="E31" s="28">
        <v>546.29999999999995</v>
      </c>
      <c r="F31" s="28">
        <v>172.1</v>
      </c>
      <c r="G31" s="28">
        <v>182</v>
      </c>
      <c r="H31" s="41">
        <v>172.9</v>
      </c>
      <c r="I31" s="41">
        <v>182.3</v>
      </c>
      <c r="J31" s="41">
        <v>163.6</v>
      </c>
      <c r="K31" s="41">
        <v>169.5</v>
      </c>
      <c r="L31" s="41">
        <v>174.3</v>
      </c>
      <c r="M31" s="41">
        <v>178.6</v>
      </c>
      <c r="N31" s="41">
        <v>172.8</v>
      </c>
      <c r="O31" s="49">
        <v>80.922269684210534</v>
      </c>
    </row>
    <row r="32" spans="1:15" x14ac:dyDescent="0.25">
      <c r="A32" s="28">
        <v>2023</v>
      </c>
      <c r="B32" s="28" t="s">
        <v>32</v>
      </c>
      <c r="C32" s="28">
        <v>2279.1</v>
      </c>
      <c r="D32" s="28">
        <v>199.5</v>
      </c>
      <c r="E32" s="28">
        <v>550</v>
      </c>
      <c r="F32" s="28">
        <v>173.5</v>
      </c>
      <c r="G32" s="28">
        <v>182.1</v>
      </c>
      <c r="H32" s="28">
        <v>174.2</v>
      </c>
      <c r="I32" s="28">
        <v>184.4</v>
      </c>
      <c r="J32" s="28">
        <v>164.2</v>
      </c>
      <c r="K32" s="28">
        <v>170.3</v>
      </c>
      <c r="L32" s="28">
        <v>175</v>
      </c>
      <c r="M32" s="28">
        <v>181</v>
      </c>
      <c r="N32" s="28">
        <v>174.1</v>
      </c>
      <c r="O32" s="49">
        <v>82.278706675000009</v>
      </c>
    </row>
    <row r="33" spans="1:15" x14ac:dyDescent="0.25">
      <c r="A33" s="28">
        <v>2023</v>
      </c>
      <c r="B33" s="28" t="s">
        <v>33</v>
      </c>
      <c r="C33" s="28">
        <v>2279.1999999999998</v>
      </c>
      <c r="D33" s="28">
        <v>199.5</v>
      </c>
      <c r="E33" s="28">
        <v>549.9</v>
      </c>
      <c r="F33" s="28">
        <v>173.5</v>
      </c>
      <c r="G33" s="28">
        <v>181.9</v>
      </c>
      <c r="H33" s="41">
        <v>174.2</v>
      </c>
      <c r="I33" s="41">
        <v>184.4</v>
      </c>
      <c r="J33" s="41">
        <v>164.2</v>
      </c>
      <c r="K33" s="41">
        <v>170.3</v>
      </c>
      <c r="L33" s="41">
        <v>175</v>
      </c>
      <c r="M33" s="41">
        <v>181</v>
      </c>
      <c r="N33" s="41">
        <v>174.1</v>
      </c>
      <c r="O33" s="49">
        <v>78.539480282608693</v>
      </c>
    </row>
    <row r="34" spans="1:15" x14ac:dyDescent="0.25">
      <c r="A34" s="28">
        <v>2023</v>
      </c>
      <c r="B34" s="28" t="s">
        <v>34</v>
      </c>
      <c r="C34" s="28">
        <v>2289.6000000000004</v>
      </c>
      <c r="D34" s="28">
        <v>200.6</v>
      </c>
      <c r="E34" s="28">
        <v>551.79999999999995</v>
      </c>
      <c r="F34" s="28">
        <v>175.2</v>
      </c>
      <c r="G34" s="28">
        <v>181.7</v>
      </c>
      <c r="H34" s="28">
        <v>174.6</v>
      </c>
      <c r="I34" s="28">
        <v>185</v>
      </c>
      <c r="J34" s="28">
        <v>164.5</v>
      </c>
      <c r="K34" s="28">
        <v>170.7</v>
      </c>
      <c r="L34" s="28">
        <v>176.4</v>
      </c>
      <c r="M34" s="28">
        <v>184</v>
      </c>
      <c r="N34" s="28">
        <v>175</v>
      </c>
      <c r="O34" s="49">
        <v>83.755358416666667</v>
      </c>
    </row>
    <row r="35" spans="1:15" x14ac:dyDescent="0.25">
      <c r="A35" s="28">
        <v>2023</v>
      </c>
      <c r="B35" s="28" t="s">
        <v>35</v>
      </c>
      <c r="C35" s="28">
        <v>2306.9</v>
      </c>
      <c r="D35" s="28">
        <v>201</v>
      </c>
      <c r="E35" s="28">
        <v>553.20000000000005</v>
      </c>
      <c r="F35" s="28">
        <v>175.6</v>
      </c>
      <c r="G35" s="28">
        <v>182.8</v>
      </c>
      <c r="H35" s="41">
        <v>175.2</v>
      </c>
      <c r="I35" s="41">
        <v>185.7</v>
      </c>
      <c r="J35" s="41">
        <v>164.8</v>
      </c>
      <c r="K35" s="41">
        <v>171.2</v>
      </c>
      <c r="L35" s="41">
        <v>177.1</v>
      </c>
      <c r="M35" s="41">
        <v>185.2</v>
      </c>
      <c r="N35" s="41">
        <v>175.7</v>
      </c>
      <c r="O35" s="49">
        <v>74.981547824999993</v>
      </c>
    </row>
  </sheetData>
  <sheetProtection algorithmName="SHA-512" hashValue="Eh9L9ZcHYmzs14jMeXxDm67YDHYU3FH/JzsvmqWLQ0XtBD+8FJEbGGQ9gMjh03GuevhX35WYD/zZ4sp95r4VRQ==" saltValue="p43fbW8vJQqkBUGn9JauRQ==" spinCount="100000" sheet="1" objects="1" scenarios="1"/>
  <conditionalFormatting sqref="Q6:AB7">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3544D3-2470-468D-8A7A-6A15DB10F5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Working sheet</vt:lpstr>
      <vt:lpstr>Clean data</vt:lpstr>
      <vt:lpstr>Classification</vt:lpstr>
      <vt:lpstr>Case-study overview</vt:lpstr>
      <vt:lpstr>CPI Contribution</vt:lpstr>
      <vt:lpstr>YOY Analysis</vt:lpstr>
      <vt:lpstr>Food Inflation Analysis</vt:lpstr>
      <vt:lpstr>Covid inflation Analysis</vt:lpstr>
      <vt:lpstr>Crude oil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Rahul Chhabra</cp:lastModifiedBy>
  <dcterms:created xsi:type="dcterms:W3CDTF">2026-04-11T08:28:28Z</dcterms:created>
  <dcterms:modified xsi:type="dcterms:W3CDTF">2026-04-12T07:19:59Z</dcterms:modified>
</cp:coreProperties>
</file>